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chartsheets/sheet4.xml" ContentType="application/vnd.openxmlformats-officedocument.spreadsheetml.chartsheet+xml"/>
  <Override PartName="/xl/worksheets/sheet12.xml" ContentType="application/vnd.openxmlformats-officedocument.spreadsheetml.worksheet+xml"/>
  <Override PartName="/xl/chartsheets/sheet5.xml" ContentType="application/vnd.openxmlformats-officedocument.spreadsheetml.chart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rinterSettings/printerSettings1.bin" ContentType="application/vnd.openxmlformats-officedocument.spreadsheetml.printerSettings"/>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printerSettings/printerSettings2.bin" ContentType="application/vnd.openxmlformats-officedocument.spreadsheetml.printerSettings"/>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printerSettings/printerSettings3.bin" ContentType="application/vnd.openxmlformats-officedocument.spreadsheetml.printerSettings"/>
  <Override PartName="/xl/drawings/drawing5.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printerSettings/printerSettings4.bin" ContentType="application/vnd.openxmlformats-officedocument.spreadsheetml.printerSettings"/>
  <Override PartName="/xl/drawings/drawing8.xml" ContentType="application/vnd.openxmlformats-officedocument.drawing+xml"/>
  <Override PartName="/xl/charts/chart5.xml" ContentType="application/vnd.openxmlformats-officedocument.drawingml.chart+xml"/>
  <Override PartName="/xl/theme/themeOverride4.xml" ContentType="application/vnd.openxmlformats-officedocument.themeOverride+xml"/>
  <Override PartName="/xl/drawings/drawing9.xml" ContentType="application/vnd.openxmlformats-officedocument.drawingml.chartshapes+xml"/>
  <Override PartName="/xl/drawings/drawing10.xml" ContentType="application/vnd.openxmlformats-officedocument.drawing+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printerSettings/printerSettings5.bin" ContentType="application/vnd.openxmlformats-officedocument.spreadsheetml.printerSettings"/>
  <Override PartName="/xl/drawings/drawing11.xml" ContentType="application/vnd.openxmlformats-officedocument.drawing+xml"/>
  <Override PartName="/xl/charts/chart7.xml" ContentType="application/vnd.openxmlformats-officedocument.drawingml.chart+xml"/>
  <Override PartName="/xl/theme/themeOverride5.xml" ContentType="application/vnd.openxmlformats-officedocument.themeOverride+xml"/>
  <Override PartName="/xl/drawings/drawing1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Z:\UK Team\UK Weekly\"/>
    </mc:Choice>
  </mc:AlternateContent>
  <xr:revisionPtr revIDLastSave="0" documentId="13_ncr:1_{ADBB5A5E-009B-4E86-821C-911D513CBFCB}" xr6:coauthVersionLast="47" xr6:coauthVersionMax="47" xr10:uidLastSave="{00000000-0000-0000-0000-000000000000}"/>
  <bookViews>
    <workbookView xWindow="-120" yWindow="-120" windowWidth="29040" windowHeight="15840" firstSheet="7" activeTab="9" xr2:uid="{1391B843-F532-4564-AB0E-92D0CFC0EA94}"/>
  </bookViews>
  <sheets>
    <sheet name="Data---&gt;" sheetId="11" r:id="rId1"/>
    <sheet name="GMW" sheetId="2" r:id="rId2"/>
    <sheet name="OBR" sheetId="6" r:id="rId3"/>
    <sheet name="NATO1" sheetId="7" r:id="rId4"/>
    <sheet name="NATO2" sheetId="8" r:id="rId5"/>
    <sheet name="Sheet2" sheetId="20" r:id="rId6"/>
    <sheet name="HAVERM" sheetId="15" r:id="rId7"/>
    <sheet name="Charts---&gt;" sheetId="12" r:id="rId8"/>
    <sheet name="Analysis---&gt;" sheetId="13" r:id="rId9"/>
    <sheet name="Chart1" sheetId="10" r:id="rId10"/>
    <sheet name="Chart5" sheetId="30" r:id="rId11"/>
    <sheet name="Chart2" sheetId="23" r:id="rId12"/>
    <sheet name="International Comparison" sheetId="9" r:id="rId13"/>
    <sheet name="Fiscal position" sheetId="5" r:id="rId14"/>
    <sheet name="Chart3" sheetId="29" r:id="rId15"/>
    <sheet name="Sheet7" sheetId="14" r:id="rId16"/>
    <sheet name="Chart4" sheetId="18" r:id="rId17"/>
  </sheets>
  <externalReferences>
    <externalReference r:id="rId18"/>
  </externalReferences>
  <definedNames>
    <definedName name="_DLX1.INC">OBR!#REF!</definedName>
    <definedName name="_DLX2.INC">HAVERM!$A$4:$G$8</definedName>
    <definedName name="_xlnm._FilterDatabase" localSheetId="4" hidden="1">NATO2!$P$9:$Q$40</definedName>
    <definedName name="Data">[1]sheet0!$C$2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6" i="5" l="1"/>
  <c r="L38" i="5"/>
  <c r="L37" i="5"/>
  <c r="BI4" i="5"/>
  <c r="AF34" i="5"/>
  <c r="AE34" i="5"/>
  <c r="AY9" i="5" l="1"/>
  <c r="AN34" i="5"/>
  <c r="AM34" i="5"/>
  <c r="V11" i="8" l="1"/>
  <c r="V10" i="8"/>
  <c r="AD1" i="14"/>
  <c r="AC1" i="14"/>
  <c r="AB1" i="14"/>
  <c r="AA1" i="14"/>
  <c r="Z1" i="14"/>
  <c r="AG5" i="14"/>
  <c r="AG6" i="14"/>
  <c r="AG7" i="14"/>
  <c r="AG8" i="14"/>
  <c r="AG9" i="14"/>
  <c r="AG10" i="14"/>
  <c r="AG11" i="14"/>
  <c r="AG12" i="14"/>
  <c r="AG13" i="14"/>
  <c r="AG14" i="14"/>
  <c r="AG15" i="14"/>
  <c r="AG16" i="14"/>
  <c r="AG17" i="14"/>
  <c r="AG18" i="14"/>
  <c r="AG19" i="14"/>
  <c r="AG20" i="14"/>
  <c r="AG21" i="14"/>
  <c r="AG22" i="14"/>
  <c r="AG23" i="14"/>
  <c r="AG24" i="14"/>
  <c r="AG25" i="14"/>
  <c r="AG26" i="14"/>
  <c r="AG27" i="14"/>
  <c r="AG28" i="14"/>
  <c r="AG29" i="14"/>
  <c r="AG30" i="14"/>
  <c r="AG31" i="14"/>
  <c r="AG32" i="14"/>
  <c r="AG33" i="14"/>
  <c r="AG34" i="14"/>
  <c r="AG35" i="14"/>
  <c r="AG36" i="14"/>
  <c r="AG37" i="14"/>
  <c r="AG38" i="14"/>
  <c r="AG39" i="14"/>
  <c r="AG40" i="14"/>
  <c r="AG41" i="14"/>
  <c r="AG42" i="14"/>
  <c r="AG43" i="14"/>
  <c r="AG44" i="14"/>
  <c r="AG45" i="14"/>
  <c r="AG46" i="14"/>
  <c r="AG47" i="14"/>
  <c r="AG48" i="14"/>
  <c r="AG49" i="14"/>
  <c r="AG50" i="14"/>
  <c r="AG51" i="14"/>
  <c r="AG52" i="14"/>
  <c r="AG53" i="14"/>
  <c r="AG54" i="14"/>
  <c r="AG55" i="14"/>
  <c r="AG56" i="14"/>
  <c r="AG57" i="14"/>
  <c r="AG58" i="14"/>
  <c r="AG59" i="14"/>
  <c r="AG60" i="14"/>
  <c r="AG61" i="14"/>
  <c r="AG62" i="14"/>
  <c r="AG63" i="14"/>
  <c r="AG64" i="14"/>
  <c r="AG65" i="14"/>
  <c r="AG66" i="14"/>
  <c r="AG67" i="14"/>
  <c r="AG68" i="14"/>
  <c r="AG69" i="14"/>
  <c r="AG70" i="14"/>
  <c r="AG71" i="14"/>
  <c r="AG72" i="14"/>
  <c r="AG73" i="14"/>
  <c r="AG74" i="14"/>
  <c r="AG75" i="14"/>
  <c r="AG76" i="14"/>
  <c r="AG77" i="14"/>
  <c r="AG78" i="14"/>
  <c r="AG79" i="14"/>
  <c r="AG80" i="14"/>
  <c r="AG81" i="14"/>
  <c r="AG82" i="14"/>
  <c r="AG83" i="14"/>
  <c r="AG84" i="14"/>
  <c r="AG85" i="14"/>
  <c r="AG86" i="14"/>
  <c r="AG87" i="14"/>
  <c r="AG88" i="14"/>
  <c r="AG89" i="14"/>
  <c r="AG90" i="14"/>
  <c r="AG91" i="14"/>
  <c r="AG92" i="14"/>
  <c r="AG93" i="14"/>
  <c r="AG94" i="14"/>
  <c r="AG95" i="14"/>
  <c r="AG96" i="14"/>
  <c r="AG97" i="14"/>
  <c r="AG98" i="14"/>
  <c r="AG99" i="14"/>
  <c r="AG100" i="14"/>
  <c r="AG101" i="14"/>
  <c r="AG102" i="14"/>
  <c r="AG103" i="14"/>
  <c r="AG104" i="14"/>
  <c r="AG105" i="14"/>
  <c r="AG106" i="14"/>
  <c r="AG107" i="14"/>
  <c r="AG108" i="14"/>
  <c r="AG109" i="14"/>
  <c r="AG110" i="14"/>
  <c r="AG111" i="14"/>
  <c r="AG112" i="14"/>
  <c r="AG113" i="14"/>
  <c r="AG114" i="14"/>
  <c r="AG115" i="14"/>
  <c r="AG116" i="14"/>
  <c r="AG117" i="14"/>
  <c r="AG118" i="14"/>
  <c r="AG119" i="14"/>
  <c r="AG120" i="14"/>
  <c r="AG121" i="14"/>
  <c r="AG122" i="14"/>
  <c r="AG123" i="14"/>
  <c r="AG124" i="14"/>
  <c r="AG125" i="14"/>
  <c r="AG126" i="14"/>
  <c r="AG127" i="14"/>
  <c r="AG128" i="14"/>
  <c r="AG129" i="14"/>
  <c r="AG130" i="14"/>
  <c r="AG131" i="14"/>
  <c r="AG132" i="14"/>
  <c r="AG133" i="14"/>
  <c r="AG134" i="14"/>
  <c r="AG135" i="14"/>
  <c r="AG136" i="14"/>
  <c r="AG137" i="14"/>
  <c r="AG138" i="14"/>
  <c r="AG139" i="14"/>
  <c r="AG140" i="14"/>
  <c r="AG141" i="14"/>
  <c r="AG142" i="14"/>
  <c r="AG143" i="14"/>
  <c r="AG144" i="14"/>
  <c r="AG145" i="14"/>
  <c r="AG146" i="14"/>
  <c r="AG147" i="14"/>
  <c r="AG148" i="14"/>
  <c r="AG149" i="14"/>
  <c r="AG150" i="14"/>
  <c r="AG151" i="14"/>
  <c r="AG152" i="14"/>
  <c r="AG153" i="14"/>
  <c r="AG154" i="14"/>
  <c r="AG155" i="14"/>
  <c r="AG156" i="14"/>
  <c r="AG157" i="14"/>
  <c r="AG158" i="14"/>
  <c r="AG159" i="14"/>
  <c r="AG160" i="14"/>
  <c r="AG161" i="14"/>
  <c r="AG162" i="14"/>
  <c r="AG163" i="14"/>
  <c r="AG164" i="14"/>
  <c r="AG165" i="14"/>
  <c r="AG166" i="14"/>
  <c r="AG167" i="14"/>
  <c r="AG168" i="14"/>
  <c r="AG169" i="14"/>
  <c r="AG170" i="14"/>
  <c r="AG171" i="14"/>
  <c r="AG172" i="14"/>
  <c r="AG173" i="14"/>
  <c r="AG174" i="14"/>
  <c r="AG175" i="14"/>
  <c r="AG176" i="14"/>
  <c r="AG177" i="14"/>
  <c r="AG178" i="14"/>
  <c r="AG179" i="14"/>
  <c r="AG180" i="14"/>
  <c r="AG181" i="14"/>
  <c r="AG182" i="14"/>
  <c r="AG183" i="14"/>
  <c r="AG4" i="14"/>
  <c r="AD181" i="14"/>
  <c r="AC181" i="14"/>
  <c r="AC172" i="14"/>
  <c r="AB172" i="14"/>
  <c r="AC167" i="14"/>
  <c r="AC163" i="14"/>
  <c r="AC157" i="14"/>
  <c r="AC156" i="14"/>
  <c r="AC155" i="14"/>
  <c r="AC148" i="14"/>
  <c r="AD146" i="14"/>
  <c r="AD140" i="14"/>
  <c r="AC129" i="14"/>
  <c r="AC126" i="14"/>
  <c r="AC117" i="14"/>
  <c r="AC115" i="14"/>
  <c r="AC114" i="14"/>
  <c r="AD109" i="14"/>
  <c r="AC109" i="14"/>
  <c r="AC107" i="14"/>
  <c r="AC105" i="14"/>
  <c r="AC103" i="14"/>
  <c r="AD97" i="14"/>
  <c r="AC97" i="14"/>
  <c r="AC96" i="14"/>
  <c r="AC95" i="14"/>
  <c r="AC93" i="14"/>
  <c r="AD88" i="14"/>
  <c r="AC88" i="14"/>
  <c r="AC85" i="14"/>
  <c r="AC84" i="14"/>
  <c r="AC76" i="14"/>
  <c r="AC73" i="14"/>
  <c r="AC72" i="14"/>
  <c r="AD68" i="14"/>
  <c r="AC66" i="14"/>
  <c r="AD64" i="14"/>
  <c r="AC64" i="14"/>
  <c r="AC60" i="14"/>
  <c r="AC55" i="14"/>
  <c r="AC54" i="14"/>
  <c r="AC52" i="14"/>
  <c r="AD47" i="14"/>
  <c r="AC47" i="14"/>
  <c r="AC45" i="14"/>
  <c r="AC43" i="14"/>
  <c r="AB40" i="14"/>
  <c r="AC35" i="14"/>
  <c r="AC33" i="14"/>
  <c r="AB33" i="14"/>
  <c r="AD31" i="14"/>
  <c r="AC31" i="14"/>
  <c r="AD25" i="14"/>
  <c r="AC25" i="14"/>
  <c r="AC23" i="14"/>
  <c r="AC20" i="14"/>
  <c r="AC19" i="14"/>
  <c r="AD17" i="14"/>
  <c r="AC16" i="14"/>
  <c r="AC15" i="14"/>
  <c r="AC10" i="14"/>
  <c r="AC9" i="14"/>
  <c r="AC8" i="14"/>
  <c r="AD5" i="14"/>
  <c r="AC5" i="14"/>
  <c r="AD4" i="14"/>
  <c r="R183" i="14"/>
  <c r="R182" i="14"/>
  <c r="R181" i="14"/>
  <c r="R180" i="14"/>
  <c r="R179" i="14"/>
  <c r="R178" i="14"/>
  <c r="R177" i="14"/>
  <c r="R176" i="14"/>
  <c r="R175" i="14"/>
  <c r="R174" i="14"/>
  <c r="R173" i="14"/>
  <c r="R172" i="14"/>
  <c r="R171" i="14"/>
  <c r="R170" i="14"/>
  <c r="R169" i="14"/>
  <c r="R168" i="14"/>
  <c r="R167" i="14"/>
  <c r="R166" i="14"/>
  <c r="R165" i="14"/>
  <c r="R164" i="14"/>
  <c r="R163" i="14"/>
  <c r="R162" i="14"/>
  <c r="R161" i="14"/>
  <c r="R160" i="14"/>
  <c r="R159" i="14"/>
  <c r="R158" i="14"/>
  <c r="R157" i="14"/>
  <c r="R156" i="14"/>
  <c r="R155" i="14"/>
  <c r="R154" i="14"/>
  <c r="R153" i="14"/>
  <c r="R152" i="14"/>
  <c r="R151" i="14"/>
  <c r="R150" i="14"/>
  <c r="R149" i="14"/>
  <c r="R148" i="14"/>
  <c r="R147" i="14"/>
  <c r="R146" i="14"/>
  <c r="R145" i="14"/>
  <c r="R144" i="14"/>
  <c r="R143" i="14"/>
  <c r="R142" i="14"/>
  <c r="R141" i="14"/>
  <c r="R140" i="14"/>
  <c r="R139" i="14"/>
  <c r="R138" i="14"/>
  <c r="R137" i="14"/>
  <c r="R136" i="14"/>
  <c r="R135" i="14"/>
  <c r="R134" i="14"/>
  <c r="R133" i="14"/>
  <c r="R132" i="14"/>
  <c r="R131" i="14"/>
  <c r="R130" i="14"/>
  <c r="R129" i="14"/>
  <c r="R128" i="14"/>
  <c r="R127" i="14"/>
  <c r="R126" i="14"/>
  <c r="R125" i="14"/>
  <c r="R124" i="14"/>
  <c r="R123" i="14"/>
  <c r="R122" i="14"/>
  <c r="R121" i="14"/>
  <c r="R120" i="14"/>
  <c r="R119" i="14"/>
  <c r="R118" i="14"/>
  <c r="R117" i="14"/>
  <c r="R116" i="14"/>
  <c r="R115" i="14"/>
  <c r="R114" i="14"/>
  <c r="R113" i="14"/>
  <c r="R112" i="14"/>
  <c r="R111" i="14"/>
  <c r="R110" i="14"/>
  <c r="R109" i="14"/>
  <c r="R108" i="14"/>
  <c r="R107" i="14"/>
  <c r="R106" i="14"/>
  <c r="R105" i="14"/>
  <c r="R104" i="14"/>
  <c r="R103" i="14"/>
  <c r="R102" i="14"/>
  <c r="R101" i="14"/>
  <c r="R100" i="14"/>
  <c r="R99" i="14"/>
  <c r="R98" i="14"/>
  <c r="R97" i="14"/>
  <c r="R96" i="14"/>
  <c r="R95" i="14"/>
  <c r="R94" i="14"/>
  <c r="R93" i="14"/>
  <c r="R92" i="14"/>
  <c r="R91" i="14"/>
  <c r="R90" i="14"/>
  <c r="R89" i="14"/>
  <c r="R88" i="14"/>
  <c r="R87" i="14"/>
  <c r="R86" i="14"/>
  <c r="R85" i="14"/>
  <c r="R84" i="14"/>
  <c r="R83" i="14"/>
  <c r="R82" i="14"/>
  <c r="R81" i="14"/>
  <c r="R80" i="14"/>
  <c r="R79" i="14"/>
  <c r="R78" i="14"/>
  <c r="R77" i="14"/>
  <c r="R76" i="14"/>
  <c r="R75" i="14"/>
  <c r="R74" i="14"/>
  <c r="R73" i="14"/>
  <c r="R72" i="14"/>
  <c r="R71" i="14"/>
  <c r="R70" i="14"/>
  <c r="R69" i="14"/>
  <c r="R68" i="14"/>
  <c r="R67" i="14"/>
  <c r="R66" i="14"/>
  <c r="R65" i="14"/>
  <c r="R64" i="14"/>
  <c r="R63" i="14"/>
  <c r="R62" i="14"/>
  <c r="R61" i="14"/>
  <c r="R60" i="14"/>
  <c r="R59" i="14"/>
  <c r="R58" i="14"/>
  <c r="R57" i="14"/>
  <c r="R56" i="14"/>
  <c r="R55" i="14"/>
  <c r="R54" i="14"/>
  <c r="R53" i="14"/>
  <c r="R52" i="14"/>
  <c r="R51" i="14"/>
  <c r="R50" i="14"/>
  <c r="R49" i="14"/>
  <c r="R48" i="14"/>
  <c r="R47" i="14"/>
  <c r="R46" i="14"/>
  <c r="R45" i="14"/>
  <c r="R44" i="14"/>
  <c r="R43" i="14"/>
  <c r="R42" i="14"/>
  <c r="R41" i="14"/>
  <c r="R40" i="14"/>
  <c r="R39" i="14"/>
  <c r="R38" i="14"/>
  <c r="R37" i="14"/>
  <c r="R36" i="14"/>
  <c r="R35" i="14"/>
  <c r="R34" i="14"/>
  <c r="R33" i="14"/>
  <c r="R32" i="14"/>
  <c r="R31" i="14"/>
  <c r="R30" i="14"/>
  <c r="R29" i="14"/>
  <c r="R28" i="14"/>
  <c r="R27" i="14"/>
  <c r="R26" i="14"/>
  <c r="R25" i="14"/>
  <c r="R24" i="14"/>
  <c r="R23" i="14"/>
  <c r="R22" i="14"/>
  <c r="R21" i="14"/>
  <c r="R20" i="14"/>
  <c r="R19" i="14"/>
  <c r="R18" i="14"/>
  <c r="R17" i="14"/>
  <c r="R16" i="14"/>
  <c r="R15" i="14"/>
  <c r="R14" i="14"/>
  <c r="R13" i="14"/>
  <c r="R12" i="14"/>
  <c r="R11" i="14"/>
  <c r="R10" i="14"/>
  <c r="R9" i="14"/>
  <c r="R8" i="14"/>
  <c r="R7" i="14"/>
  <c r="R6" i="14"/>
  <c r="R5" i="14"/>
  <c r="R4" i="14"/>
  <c r="N49" i="14"/>
  <c r="M49" i="14"/>
  <c r="L49" i="14"/>
  <c r="K49" i="14"/>
  <c r="J49" i="14"/>
  <c r="I49" i="14"/>
  <c r="H49" i="14"/>
  <c r="G49" i="14"/>
  <c r="F49" i="14"/>
  <c r="E49" i="14"/>
  <c r="N48" i="14"/>
  <c r="M48" i="14"/>
  <c r="L48" i="14"/>
  <c r="K48" i="14"/>
  <c r="J48" i="14"/>
  <c r="I48" i="14"/>
  <c r="H48" i="14"/>
  <c r="G48" i="14"/>
  <c r="F48" i="14"/>
  <c r="E48" i="14"/>
  <c r="N47" i="14"/>
  <c r="M47" i="14"/>
  <c r="L47" i="14"/>
  <c r="K47" i="14"/>
  <c r="J47" i="14"/>
  <c r="I47" i="14"/>
  <c r="H47" i="14"/>
  <c r="G47" i="14"/>
  <c r="F47" i="14"/>
  <c r="E47" i="14"/>
  <c r="N46" i="14"/>
  <c r="M46" i="14"/>
  <c r="L46" i="14"/>
  <c r="K46" i="14"/>
  <c r="J46" i="14"/>
  <c r="I46" i="14"/>
  <c r="H46" i="14"/>
  <c r="G46" i="14"/>
  <c r="F46" i="14"/>
  <c r="E46" i="14"/>
  <c r="N45" i="14"/>
  <c r="M45" i="14"/>
  <c r="L45" i="14"/>
  <c r="K45" i="14"/>
  <c r="J45" i="14"/>
  <c r="I45" i="14"/>
  <c r="H45" i="14"/>
  <c r="G45" i="14"/>
  <c r="F45" i="14"/>
  <c r="E45" i="14"/>
  <c r="N44" i="14"/>
  <c r="M44" i="14"/>
  <c r="L44" i="14"/>
  <c r="K44" i="14"/>
  <c r="J44" i="14"/>
  <c r="I44" i="14"/>
  <c r="H44" i="14"/>
  <c r="G44" i="14"/>
  <c r="F44" i="14"/>
  <c r="E44" i="14"/>
  <c r="N43" i="14"/>
  <c r="M43" i="14"/>
  <c r="L43" i="14"/>
  <c r="K43" i="14"/>
  <c r="J43" i="14"/>
  <c r="I43" i="14"/>
  <c r="H43" i="14"/>
  <c r="G43" i="14"/>
  <c r="F43" i="14"/>
  <c r="E43" i="14"/>
  <c r="N42" i="14"/>
  <c r="M42" i="14"/>
  <c r="L42" i="14"/>
  <c r="K42" i="14"/>
  <c r="J42" i="14"/>
  <c r="I42" i="14"/>
  <c r="H42" i="14"/>
  <c r="G42" i="14"/>
  <c r="F42" i="14"/>
  <c r="E42" i="14"/>
  <c r="N41" i="14"/>
  <c r="M41" i="14"/>
  <c r="L41" i="14"/>
  <c r="K41" i="14"/>
  <c r="J41" i="14"/>
  <c r="I41" i="14"/>
  <c r="H41" i="14"/>
  <c r="G41" i="14"/>
  <c r="F41" i="14"/>
  <c r="E41" i="14"/>
  <c r="N40" i="14"/>
  <c r="M40" i="14"/>
  <c r="L40" i="14"/>
  <c r="K40" i="14"/>
  <c r="J40" i="14"/>
  <c r="I40" i="14"/>
  <c r="H40" i="14"/>
  <c r="G40" i="14"/>
  <c r="F40" i="14"/>
  <c r="E40" i="14"/>
  <c r="N39" i="14"/>
  <c r="M39" i="14"/>
  <c r="L39" i="14"/>
  <c r="K39" i="14"/>
  <c r="J39" i="14"/>
  <c r="I39" i="14"/>
  <c r="H39" i="14"/>
  <c r="G39" i="14"/>
  <c r="F39" i="14"/>
  <c r="E39" i="14"/>
  <c r="N38" i="14"/>
  <c r="M38" i="14"/>
  <c r="L38" i="14"/>
  <c r="K38" i="14"/>
  <c r="J38" i="14"/>
  <c r="I38" i="14"/>
  <c r="H38" i="14"/>
  <c r="G38" i="14"/>
  <c r="F38" i="14"/>
  <c r="E38" i="14"/>
  <c r="N37" i="14"/>
  <c r="M37" i="14"/>
  <c r="L37" i="14"/>
  <c r="K37" i="14"/>
  <c r="J37" i="14"/>
  <c r="I37" i="14"/>
  <c r="H37" i="14"/>
  <c r="G37" i="14"/>
  <c r="F37" i="14"/>
  <c r="E37" i="14"/>
  <c r="N36" i="14"/>
  <c r="M36" i="14"/>
  <c r="L36" i="14"/>
  <c r="K36" i="14"/>
  <c r="J36" i="14"/>
  <c r="I36" i="14"/>
  <c r="H36" i="14"/>
  <c r="G36" i="14"/>
  <c r="F36" i="14"/>
  <c r="E36" i="14"/>
  <c r="N35" i="14"/>
  <c r="M35" i="14"/>
  <c r="L35" i="14"/>
  <c r="K35" i="14"/>
  <c r="J35" i="14"/>
  <c r="I35" i="14"/>
  <c r="H35" i="14"/>
  <c r="G35" i="14"/>
  <c r="F35" i="14"/>
  <c r="E35" i="14"/>
  <c r="N34" i="14"/>
  <c r="M34" i="14"/>
  <c r="L34" i="14"/>
  <c r="K34" i="14"/>
  <c r="J34" i="14"/>
  <c r="I34" i="14"/>
  <c r="H34" i="14"/>
  <c r="G34" i="14"/>
  <c r="F34" i="14"/>
  <c r="E34" i="14"/>
  <c r="N33" i="14"/>
  <c r="M33" i="14"/>
  <c r="L33" i="14"/>
  <c r="K33" i="14"/>
  <c r="J33" i="14"/>
  <c r="I33" i="14"/>
  <c r="H33" i="14"/>
  <c r="G33" i="14"/>
  <c r="F33" i="14"/>
  <c r="E33" i="14"/>
  <c r="N32" i="14"/>
  <c r="M32" i="14"/>
  <c r="L32" i="14"/>
  <c r="K32" i="14"/>
  <c r="J32" i="14"/>
  <c r="I32" i="14"/>
  <c r="H32" i="14"/>
  <c r="G32" i="14"/>
  <c r="F32" i="14"/>
  <c r="E32" i="14"/>
  <c r="N31" i="14"/>
  <c r="M31" i="14"/>
  <c r="L31" i="14"/>
  <c r="K31" i="14"/>
  <c r="J31" i="14"/>
  <c r="I31" i="14"/>
  <c r="H31" i="14"/>
  <c r="G31" i="14"/>
  <c r="F31" i="14"/>
  <c r="E31" i="14"/>
  <c r="N30" i="14"/>
  <c r="M30" i="14"/>
  <c r="L30" i="14"/>
  <c r="K30" i="14"/>
  <c r="J30" i="14"/>
  <c r="I30" i="14"/>
  <c r="H30" i="14"/>
  <c r="G30" i="14"/>
  <c r="F30" i="14"/>
  <c r="E30" i="14"/>
  <c r="N29" i="14"/>
  <c r="M29" i="14"/>
  <c r="L29" i="14"/>
  <c r="K29" i="14"/>
  <c r="J29" i="14"/>
  <c r="I29" i="14"/>
  <c r="H29" i="14"/>
  <c r="G29" i="14"/>
  <c r="F29" i="14"/>
  <c r="E29" i="14"/>
  <c r="N28" i="14"/>
  <c r="M28" i="14"/>
  <c r="L28" i="14"/>
  <c r="K28" i="14"/>
  <c r="J28" i="14"/>
  <c r="I28" i="14"/>
  <c r="H28" i="14"/>
  <c r="G28" i="14"/>
  <c r="F28" i="14"/>
  <c r="E28" i="14"/>
  <c r="D49" i="14"/>
  <c r="D48" i="14"/>
  <c r="D47" i="14"/>
  <c r="D46" i="14"/>
  <c r="D45" i="14"/>
  <c r="D44" i="14"/>
  <c r="D43" i="14"/>
  <c r="D42" i="14"/>
  <c r="D41" i="14"/>
  <c r="D40" i="14"/>
  <c r="D39" i="14"/>
  <c r="D38" i="14"/>
  <c r="D37" i="14"/>
  <c r="D36" i="14"/>
  <c r="D35" i="14"/>
  <c r="D34" i="14"/>
  <c r="D33" i="14"/>
  <c r="D32" i="14"/>
  <c r="D31" i="14"/>
  <c r="D30" i="14"/>
  <c r="D29" i="14"/>
  <c r="D28" i="14"/>
  <c r="S5" i="14"/>
  <c r="T5" i="14"/>
  <c r="U5" i="14"/>
  <c r="V5" i="14"/>
  <c r="W5" i="14"/>
  <c r="X5" i="14"/>
  <c r="S6" i="14"/>
  <c r="T6" i="14"/>
  <c r="U6" i="14"/>
  <c r="V6" i="14"/>
  <c r="W6" i="14"/>
  <c r="X6" i="14"/>
  <c r="S7" i="14"/>
  <c r="T7" i="14"/>
  <c r="U7" i="14"/>
  <c r="V7" i="14"/>
  <c r="AC7" i="14" s="1"/>
  <c r="W7" i="14"/>
  <c r="X7" i="14"/>
  <c r="S8" i="14"/>
  <c r="T8" i="14"/>
  <c r="U8" i="14"/>
  <c r="V8" i="14"/>
  <c r="W8" i="14"/>
  <c r="X8" i="14"/>
  <c r="S9" i="14"/>
  <c r="T9" i="14"/>
  <c r="U9" i="14"/>
  <c r="V9" i="14"/>
  <c r="W9" i="14"/>
  <c r="X9" i="14"/>
  <c r="S10" i="14"/>
  <c r="T10" i="14"/>
  <c r="U10" i="14"/>
  <c r="V10" i="14"/>
  <c r="W10" i="14"/>
  <c r="X10" i="14"/>
  <c r="S11" i="14"/>
  <c r="T11" i="14"/>
  <c r="U11" i="14"/>
  <c r="V11" i="14"/>
  <c r="AC11" i="14" s="1"/>
  <c r="W11" i="14"/>
  <c r="X11" i="14"/>
  <c r="S12" i="14"/>
  <c r="T12" i="14"/>
  <c r="U12" i="14"/>
  <c r="V12" i="14"/>
  <c r="AC12" i="14" s="1"/>
  <c r="W12" i="14"/>
  <c r="AD12" i="14" s="1"/>
  <c r="X12" i="14"/>
  <c r="S13" i="14"/>
  <c r="T13" i="14"/>
  <c r="U13" i="14"/>
  <c r="V13" i="14"/>
  <c r="AC13" i="14" s="1"/>
  <c r="W13" i="14"/>
  <c r="X13" i="14"/>
  <c r="S14" i="14"/>
  <c r="T14" i="14"/>
  <c r="U14" i="14"/>
  <c r="V14" i="14"/>
  <c r="AC14" i="14" s="1"/>
  <c r="W14" i="14"/>
  <c r="X14" i="14"/>
  <c r="S15" i="14"/>
  <c r="T15" i="14"/>
  <c r="U15" i="14"/>
  <c r="V15" i="14"/>
  <c r="W15" i="14"/>
  <c r="X15" i="14"/>
  <c r="S16" i="14"/>
  <c r="T16" i="14"/>
  <c r="U16" i="14"/>
  <c r="V16" i="14"/>
  <c r="W16" i="14"/>
  <c r="X16" i="14"/>
  <c r="S17" i="14"/>
  <c r="T17" i="14"/>
  <c r="U17" i="14"/>
  <c r="V17" i="14"/>
  <c r="AC17" i="14" s="1"/>
  <c r="W17" i="14"/>
  <c r="X17" i="14"/>
  <c r="S18" i="14"/>
  <c r="T18" i="14"/>
  <c r="U18" i="14"/>
  <c r="V18" i="14"/>
  <c r="AC18" i="14" s="1"/>
  <c r="W18" i="14"/>
  <c r="X18" i="14"/>
  <c r="S19" i="14"/>
  <c r="T19" i="14"/>
  <c r="U19" i="14"/>
  <c r="V19" i="14"/>
  <c r="W19" i="14"/>
  <c r="X19" i="14"/>
  <c r="S20" i="14"/>
  <c r="T20" i="14"/>
  <c r="U20" i="14"/>
  <c r="V20" i="14"/>
  <c r="W20" i="14"/>
  <c r="X20" i="14"/>
  <c r="S21" i="14"/>
  <c r="T21" i="14"/>
  <c r="U21" i="14"/>
  <c r="V21" i="14"/>
  <c r="AC21" i="14" s="1"/>
  <c r="W21" i="14"/>
  <c r="X21" i="14"/>
  <c r="S22" i="14"/>
  <c r="T22" i="14"/>
  <c r="U22" i="14"/>
  <c r="V22" i="14"/>
  <c r="AC22" i="14" s="1"/>
  <c r="W22" i="14"/>
  <c r="X22" i="14"/>
  <c r="S23" i="14"/>
  <c r="T23" i="14"/>
  <c r="U23" i="14"/>
  <c r="V23" i="14"/>
  <c r="W23" i="14"/>
  <c r="X23" i="14"/>
  <c r="S24" i="14"/>
  <c r="T24" i="14"/>
  <c r="U24" i="14"/>
  <c r="V24" i="14"/>
  <c r="AC24" i="14" s="1"/>
  <c r="W24" i="14"/>
  <c r="X24" i="14"/>
  <c r="S25" i="14"/>
  <c r="T25" i="14"/>
  <c r="U25" i="14"/>
  <c r="V25" i="14"/>
  <c r="W25" i="14"/>
  <c r="X25" i="14"/>
  <c r="S26" i="14"/>
  <c r="T26" i="14"/>
  <c r="U26" i="14"/>
  <c r="V26" i="14"/>
  <c r="W26" i="14"/>
  <c r="X26" i="14"/>
  <c r="S27" i="14"/>
  <c r="Z27" i="14" s="1"/>
  <c r="T27" i="14"/>
  <c r="U27" i="14"/>
  <c r="V27" i="14"/>
  <c r="W27" i="14"/>
  <c r="X27" i="14"/>
  <c r="S28" i="14"/>
  <c r="T28" i="14"/>
  <c r="U28" i="14"/>
  <c r="V28" i="14"/>
  <c r="AC28" i="14" s="1"/>
  <c r="W28" i="14"/>
  <c r="X28" i="14"/>
  <c r="S29" i="14"/>
  <c r="T29" i="14"/>
  <c r="U29" i="14"/>
  <c r="V29" i="14"/>
  <c r="W29" i="14"/>
  <c r="X29" i="14"/>
  <c r="S30" i="14"/>
  <c r="T30" i="14"/>
  <c r="U30" i="14"/>
  <c r="V30" i="14"/>
  <c r="AC30" i="14" s="1"/>
  <c r="W30" i="14"/>
  <c r="X30" i="14"/>
  <c r="S31" i="14"/>
  <c r="T31" i="14"/>
  <c r="U31" i="14"/>
  <c r="V31" i="14"/>
  <c r="W31" i="14"/>
  <c r="X31" i="14"/>
  <c r="S32" i="14"/>
  <c r="T32" i="14"/>
  <c r="U32" i="14"/>
  <c r="V32" i="14"/>
  <c r="W32" i="14"/>
  <c r="X32" i="14"/>
  <c r="S33" i="14"/>
  <c r="T33" i="14"/>
  <c r="U33" i="14"/>
  <c r="V33" i="14"/>
  <c r="W33" i="14"/>
  <c r="X33" i="14"/>
  <c r="S34" i="14"/>
  <c r="T34" i="14"/>
  <c r="U34" i="14"/>
  <c r="V34" i="14"/>
  <c r="W34" i="14"/>
  <c r="X34" i="14"/>
  <c r="S35" i="14"/>
  <c r="T35" i="14"/>
  <c r="U35" i="14"/>
  <c r="V35" i="14"/>
  <c r="W35" i="14"/>
  <c r="X35" i="14"/>
  <c r="S36" i="14"/>
  <c r="T36" i="14"/>
  <c r="U36" i="14"/>
  <c r="V36" i="14"/>
  <c r="AC36" i="14" s="1"/>
  <c r="W36" i="14"/>
  <c r="X36" i="14"/>
  <c r="S37" i="14"/>
  <c r="T37" i="14"/>
  <c r="U37" i="14"/>
  <c r="V37" i="14"/>
  <c r="AC37" i="14" s="1"/>
  <c r="W37" i="14"/>
  <c r="X37" i="14"/>
  <c r="S38" i="14"/>
  <c r="T38" i="14"/>
  <c r="U38" i="14"/>
  <c r="V38" i="14"/>
  <c r="W38" i="14"/>
  <c r="X38" i="14"/>
  <c r="S39" i="14"/>
  <c r="T39" i="14"/>
  <c r="U39" i="14"/>
  <c r="V39" i="14"/>
  <c r="W39" i="14"/>
  <c r="X39" i="14"/>
  <c r="S40" i="14"/>
  <c r="T40" i="14"/>
  <c r="U40" i="14"/>
  <c r="V40" i="14"/>
  <c r="AC40" i="14" s="1"/>
  <c r="W40" i="14"/>
  <c r="X40" i="14"/>
  <c r="S41" i="14"/>
  <c r="T41" i="14"/>
  <c r="U41" i="14"/>
  <c r="V41" i="14"/>
  <c r="W41" i="14"/>
  <c r="X41" i="14"/>
  <c r="S42" i="14"/>
  <c r="T42" i="14"/>
  <c r="U42" i="14"/>
  <c r="V42" i="14"/>
  <c r="AC42" i="14" s="1"/>
  <c r="W42" i="14"/>
  <c r="X42" i="14"/>
  <c r="S43" i="14"/>
  <c r="T43" i="14"/>
  <c r="U43" i="14"/>
  <c r="V43" i="14"/>
  <c r="W43" i="14"/>
  <c r="X43" i="14"/>
  <c r="S44" i="14"/>
  <c r="T44" i="14"/>
  <c r="U44" i="14"/>
  <c r="V44" i="14"/>
  <c r="W44" i="14"/>
  <c r="X44" i="14"/>
  <c r="S45" i="14"/>
  <c r="T45" i="14"/>
  <c r="U45" i="14"/>
  <c r="V45" i="14"/>
  <c r="W45" i="14"/>
  <c r="X45" i="14"/>
  <c r="S46" i="14"/>
  <c r="T46" i="14"/>
  <c r="U46" i="14"/>
  <c r="V46" i="14"/>
  <c r="W46" i="14"/>
  <c r="X46" i="14"/>
  <c r="S47" i="14"/>
  <c r="T47" i="14"/>
  <c r="U47" i="14"/>
  <c r="V47" i="14"/>
  <c r="W47" i="14"/>
  <c r="X47" i="14"/>
  <c r="S48" i="14"/>
  <c r="T48" i="14"/>
  <c r="U48" i="14"/>
  <c r="V48" i="14"/>
  <c r="AC48" i="14" s="1"/>
  <c r="W48" i="14"/>
  <c r="X48" i="14"/>
  <c r="S49" i="14"/>
  <c r="T49" i="14"/>
  <c r="U49" i="14"/>
  <c r="V49" i="14"/>
  <c r="AC49" i="14" s="1"/>
  <c r="W49" i="14"/>
  <c r="X49" i="14"/>
  <c r="S50" i="14"/>
  <c r="T50" i="14"/>
  <c r="U50" i="14"/>
  <c r="V50" i="14"/>
  <c r="W50" i="14"/>
  <c r="X50" i="14"/>
  <c r="S51" i="14"/>
  <c r="T51" i="14"/>
  <c r="U51" i="14"/>
  <c r="V51" i="14"/>
  <c r="W51" i="14"/>
  <c r="X51" i="14"/>
  <c r="S52" i="14"/>
  <c r="T52" i="14"/>
  <c r="U52" i="14"/>
  <c r="V52" i="14"/>
  <c r="W52" i="14"/>
  <c r="X52" i="14"/>
  <c r="S53" i="14"/>
  <c r="T53" i="14"/>
  <c r="U53" i="14"/>
  <c r="V53" i="14"/>
  <c r="W53" i="14"/>
  <c r="X53" i="14"/>
  <c r="S54" i="14"/>
  <c r="T54" i="14"/>
  <c r="U54" i="14"/>
  <c r="V54" i="14"/>
  <c r="W54" i="14"/>
  <c r="X54" i="14"/>
  <c r="S55" i="14"/>
  <c r="T55" i="14"/>
  <c r="U55" i="14"/>
  <c r="V55" i="14"/>
  <c r="W55" i="14"/>
  <c r="X55" i="14"/>
  <c r="S56" i="14"/>
  <c r="T56" i="14"/>
  <c r="U56" i="14"/>
  <c r="V56" i="14"/>
  <c r="W56" i="14"/>
  <c r="AD56" i="14" s="1"/>
  <c r="X56" i="14"/>
  <c r="S57" i="14"/>
  <c r="Z57" i="14" s="1"/>
  <c r="T57" i="14"/>
  <c r="U57" i="14"/>
  <c r="V57" i="14"/>
  <c r="AC57" i="14" s="1"/>
  <c r="W57" i="14"/>
  <c r="X57" i="14"/>
  <c r="S58" i="14"/>
  <c r="T58" i="14"/>
  <c r="U58" i="14"/>
  <c r="V58" i="14"/>
  <c r="W58" i="14"/>
  <c r="X58" i="14"/>
  <c r="S59" i="14"/>
  <c r="T59" i="14"/>
  <c r="U59" i="14"/>
  <c r="V59" i="14"/>
  <c r="AC59" i="14" s="1"/>
  <c r="W59" i="14"/>
  <c r="X59" i="14"/>
  <c r="S60" i="14"/>
  <c r="T60" i="14"/>
  <c r="U60" i="14"/>
  <c r="V60" i="14"/>
  <c r="W60" i="14"/>
  <c r="X60" i="14"/>
  <c r="S61" i="14"/>
  <c r="T61" i="14"/>
  <c r="U61" i="14"/>
  <c r="V61" i="14"/>
  <c r="AC61" i="14" s="1"/>
  <c r="W61" i="14"/>
  <c r="X61" i="14"/>
  <c r="S62" i="14"/>
  <c r="T62" i="14"/>
  <c r="U62" i="14"/>
  <c r="V62" i="14"/>
  <c r="W62" i="14"/>
  <c r="X62" i="14"/>
  <c r="S63" i="14"/>
  <c r="T63" i="14"/>
  <c r="U63" i="14"/>
  <c r="V63" i="14"/>
  <c r="W63" i="14"/>
  <c r="X63" i="14"/>
  <c r="S64" i="14"/>
  <c r="T64" i="14"/>
  <c r="U64" i="14"/>
  <c r="V64" i="14"/>
  <c r="W64" i="14"/>
  <c r="X64" i="14"/>
  <c r="S65" i="14"/>
  <c r="T65" i="14"/>
  <c r="U65" i="14"/>
  <c r="V65" i="14"/>
  <c r="W65" i="14"/>
  <c r="X65" i="14"/>
  <c r="S66" i="14"/>
  <c r="T66" i="14"/>
  <c r="U66" i="14"/>
  <c r="V66" i="14"/>
  <c r="W66" i="14"/>
  <c r="X66" i="14"/>
  <c r="S67" i="14"/>
  <c r="T67" i="14"/>
  <c r="U67" i="14"/>
  <c r="V67" i="14"/>
  <c r="AC67" i="14" s="1"/>
  <c r="W67" i="14"/>
  <c r="X67" i="14"/>
  <c r="S68" i="14"/>
  <c r="T68" i="14"/>
  <c r="U68" i="14"/>
  <c r="V68" i="14"/>
  <c r="W68" i="14"/>
  <c r="X68" i="14"/>
  <c r="S69" i="14"/>
  <c r="T69" i="14"/>
  <c r="U69" i="14"/>
  <c r="V69" i="14"/>
  <c r="AC69" i="14" s="1"/>
  <c r="W69" i="14"/>
  <c r="X69" i="14"/>
  <c r="S70" i="14"/>
  <c r="T70" i="14"/>
  <c r="U70" i="14"/>
  <c r="V70" i="14"/>
  <c r="W70" i="14"/>
  <c r="X70" i="14"/>
  <c r="S71" i="14"/>
  <c r="T71" i="14"/>
  <c r="U71" i="14"/>
  <c r="V71" i="14"/>
  <c r="AC71" i="14" s="1"/>
  <c r="W71" i="14"/>
  <c r="X71" i="14"/>
  <c r="S72" i="14"/>
  <c r="T72" i="14"/>
  <c r="U72" i="14"/>
  <c r="V72" i="14"/>
  <c r="W72" i="14"/>
  <c r="X72" i="14"/>
  <c r="S73" i="14"/>
  <c r="T73" i="14"/>
  <c r="U73" i="14"/>
  <c r="V73" i="14"/>
  <c r="W73" i="14"/>
  <c r="X73" i="14"/>
  <c r="S74" i="14"/>
  <c r="T74" i="14"/>
  <c r="U74" i="14"/>
  <c r="V74" i="14"/>
  <c r="W74" i="14"/>
  <c r="X74" i="14"/>
  <c r="S75" i="14"/>
  <c r="T75" i="14"/>
  <c r="U75" i="14"/>
  <c r="V75" i="14"/>
  <c r="W75" i="14"/>
  <c r="X75" i="14"/>
  <c r="S76" i="14"/>
  <c r="T76" i="14"/>
  <c r="U76" i="14"/>
  <c r="V76" i="14"/>
  <c r="W76" i="14"/>
  <c r="X76" i="14"/>
  <c r="S77" i="14"/>
  <c r="T77" i="14"/>
  <c r="U77" i="14"/>
  <c r="V77" i="14"/>
  <c r="W77" i="14"/>
  <c r="X77" i="14"/>
  <c r="S78" i="14"/>
  <c r="T78" i="14"/>
  <c r="U78" i="14"/>
  <c r="V78" i="14"/>
  <c r="AC78" i="14" s="1"/>
  <c r="W78" i="14"/>
  <c r="X78" i="14"/>
  <c r="S79" i="14"/>
  <c r="T79" i="14"/>
  <c r="U79" i="14"/>
  <c r="V79" i="14"/>
  <c r="AC79" i="14" s="1"/>
  <c r="W79" i="14"/>
  <c r="X79" i="14"/>
  <c r="S80" i="14"/>
  <c r="T80" i="14"/>
  <c r="U80" i="14"/>
  <c r="V80" i="14"/>
  <c r="W80" i="14"/>
  <c r="AD80" i="14" s="1"/>
  <c r="X80" i="14"/>
  <c r="S81" i="14"/>
  <c r="T81" i="14"/>
  <c r="U81" i="14"/>
  <c r="V81" i="14"/>
  <c r="AC81" i="14" s="1"/>
  <c r="W81" i="14"/>
  <c r="X81" i="14"/>
  <c r="S82" i="14"/>
  <c r="T82" i="14"/>
  <c r="U82" i="14"/>
  <c r="V82" i="14"/>
  <c r="W82" i="14"/>
  <c r="X82" i="14"/>
  <c r="S83" i="14"/>
  <c r="T83" i="14"/>
  <c r="U83" i="14"/>
  <c r="V83" i="14"/>
  <c r="AC83" i="14" s="1"/>
  <c r="W83" i="14"/>
  <c r="X83" i="14"/>
  <c r="S84" i="14"/>
  <c r="T84" i="14"/>
  <c r="U84" i="14"/>
  <c r="V84" i="14"/>
  <c r="W84" i="14"/>
  <c r="X84" i="14"/>
  <c r="S85" i="14"/>
  <c r="T85" i="14"/>
  <c r="U85" i="14"/>
  <c r="V85" i="14"/>
  <c r="W85" i="14"/>
  <c r="X85" i="14"/>
  <c r="S86" i="14"/>
  <c r="T86" i="14"/>
  <c r="U86" i="14"/>
  <c r="V86" i="14"/>
  <c r="W86" i="14"/>
  <c r="X86" i="14"/>
  <c r="S87" i="14"/>
  <c r="T87" i="14"/>
  <c r="U87" i="14"/>
  <c r="V87" i="14"/>
  <c r="W87" i="14"/>
  <c r="X87" i="14"/>
  <c r="S88" i="14"/>
  <c r="T88" i="14"/>
  <c r="U88" i="14"/>
  <c r="V88" i="14"/>
  <c r="W88" i="14"/>
  <c r="X88" i="14"/>
  <c r="AE88" i="14" s="1"/>
  <c r="S89" i="14"/>
  <c r="T89" i="14"/>
  <c r="U89" i="14"/>
  <c r="V89" i="14"/>
  <c r="W89" i="14"/>
  <c r="X89" i="14"/>
  <c r="S90" i="14"/>
  <c r="T90" i="14"/>
  <c r="U90" i="14"/>
  <c r="V90" i="14"/>
  <c r="AC90" i="14" s="1"/>
  <c r="W90" i="14"/>
  <c r="X90" i="14"/>
  <c r="S91" i="14"/>
  <c r="T91" i="14"/>
  <c r="U91" i="14"/>
  <c r="V91" i="14"/>
  <c r="AC91" i="14" s="1"/>
  <c r="W91" i="14"/>
  <c r="X91" i="14"/>
  <c r="S92" i="14"/>
  <c r="T92" i="14"/>
  <c r="U92" i="14"/>
  <c r="V92" i="14"/>
  <c r="W92" i="14"/>
  <c r="X92" i="14"/>
  <c r="S93" i="14"/>
  <c r="T93" i="14"/>
  <c r="U93" i="14"/>
  <c r="V93" i="14"/>
  <c r="W93" i="14"/>
  <c r="X93" i="14"/>
  <c r="S94" i="14"/>
  <c r="T94" i="14"/>
  <c r="U94" i="14"/>
  <c r="V94" i="14"/>
  <c r="W94" i="14"/>
  <c r="X94" i="14"/>
  <c r="S95" i="14"/>
  <c r="T95" i="14"/>
  <c r="U95" i="14"/>
  <c r="V95" i="14"/>
  <c r="W95" i="14"/>
  <c r="X95" i="14"/>
  <c r="S96" i="14"/>
  <c r="T96" i="14"/>
  <c r="U96" i="14"/>
  <c r="V96" i="14"/>
  <c r="W96" i="14"/>
  <c r="X96" i="14"/>
  <c r="S97" i="14"/>
  <c r="T97" i="14"/>
  <c r="U97" i="14"/>
  <c r="V97" i="14"/>
  <c r="W97" i="14"/>
  <c r="X97" i="14"/>
  <c r="S98" i="14"/>
  <c r="T98" i="14"/>
  <c r="U98" i="14"/>
  <c r="V98" i="14"/>
  <c r="W98" i="14"/>
  <c r="X98" i="14"/>
  <c r="S99" i="14"/>
  <c r="T99" i="14"/>
  <c r="U99" i="14"/>
  <c r="V99" i="14"/>
  <c r="W99" i="14"/>
  <c r="X99" i="14"/>
  <c r="S100" i="14"/>
  <c r="T100" i="14"/>
  <c r="U100" i="14"/>
  <c r="V100" i="14"/>
  <c r="AC100" i="14" s="1"/>
  <c r="W100" i="14"/>
  <c r="X100" i="14"/>
  <c r="S101" i="14"/>
  <c r="Z101" i="14" s="1"/>
  <c r="T101" i="14"/>
  <c r="U101" i="14"/>
  <c r="V101" i="14"/>
  <c r="W101" i="14"/>
  <c r="X101" i="14"/>
  <c r="S102" i="14"/>
  <c r="T102" i="14"/>
  <c r="U102" i="14"/>
  <c r="V102" i="14"/>
  <c r="AC102" i="14" s="1"/>
  <c r="W102" i="14"/>
  <c r="X102" i="14"/>
  <c r="S103" i="14"/>
  <c r="T103" i="14"/>
  <c r="AA103" i="14" s="1"/>
  <c r="U103" i="14"/>
  <c r="V103" i="14"/>
  <c r="W103" i="14"/>
  <c r="X103" i="14"/>
  <c r="S104" i="14"/>
  <c r="T104" i="14"/>
  <c r="U104" i="14"/>
  <c r="V104" i="14"/>
  <c r="W104" i="14"/>
  <c r="X104" i="14"/>
  <c r="S105" i="14"/>
  <c r="T105" i="14"/>
  <c r="U105" i="14"/>
  <c r="V105" i="14"/>
  <c r="W105" i="14"/>
  <c r="X105" i="14"/>
  <c r="S106" i="14"/>
  <c r="T106" i="14"/>
  <c r="U106" i="14"/>
  <c r="V106" i="14"/>
  <c r="W106" i="14"/>
  <c r="X106" i="14"/>
  <c r="S107" i="14"/>
  <c r="T107" i="14"/>
  <c r="U107" i="14"/>
  <c r="V107" i="14"/>
  <c r="W107" i="14"/>
  <c r="X107" i="14"/>
  <c r="S108" i="14"/>
  <c r="T108" i="14"/>
  <c r="U108" i="14"/>
  <c r="V108" i="14"/>
  <c r="AC108" i="14" s="1"/>
  <c r="W108" i="14"/>
  <c r="X108" i="14"/>
  <c r="S109" i="14"/>
  <c r="T109" i="14"/>
  <c r="U109" i="14"/>
  <c r="V109" i="14"/>
  <c r="W109" i="14"/>
  <c r="X109" i="14"/>
  <c r="S110" i="14"/>
  <c r="T110" i="14"/>
  <c r="U110" i="14"/>
  <c r="V110" i="14"/>
  <c r="W110" i="14"/>
  <c r="X110" i="14"/>
  <c r="S111" i="14"/>
  <c r="T111" i="14"/>
  <c r="U111" i="14"/>
  <c r="V111" i="14"/>
  <c r="W111" i="14"/>
  <c r="X111" i="14"/>
  <c r="S112" i="14"/>
  <c r="T112" i="14"/>
  <c r="U112" i="14"/>
  <c r="AB41" i="14" s="1"/>
  <c r="V112" i="14"/>
  <c r="AC112" i="14" s="1"/>
  <c r="W112" i="14"/>
  <c r="AD55" i="14" s="1"/>
  <c r="X112" i="14"/>
  <c r="S113" i="14"/>
  <c r="Z58" i="14" s="1"/>
  <c r="T113" i="14"/>
  <c r="U113" i="14"/>
  <c r="V113" i="14"/>
  <c r="W113" i="14"/>
  <c r="X113" i="14"/>
  <c r="S114" i="14"/>
  <c r="T114" i="14"/>
  <c r="U114" i="14"/>
  <c r="V114" i="14"/>
  <c r="W114" i="14"/>
  <c r="X114" i="14"/>
  <c r="S115" i="14"/>
  <c r="T115" i="14"/>
  <c r="U115" i="14"/>
  <c r="V115" i="14"/>
  <c r="W115" i="14"/>
  <c r="X115" i="14"/>
  <c r="S116" i="14"/>
  <c r="T116" i="14"/>
  <c r="U116" i="14"/>
  <c r="V116" i="14"/>
  <c r="W116" i="14"/>
  <c r="X116" i="14"/>
  <c r="S117" i="14"/>
  <c r="T117" i="14"/>
  <c r="U117" i="14"/>
  <c r="V117" i="14"/>
  <c r="W117" i="14"/>
  <c r="X117" i="14"/>
  <c r="S118" i="14"/>
  <c r="T118" i="14"/>
  <c r="U118" i="14"/>
  <c r="V118" i="14"/>
  <c r="W118" i="14"/>
  <c r="X118" i="14"/>
  <c r="S119" i="14"/>
  <c r="T119" i="14"/>
  <c r="U119" i="14"/>
  <c r="V119" i="14"/>
  <c r="AC119" i="14" s="1"/>
  <c r="W119" i="14"/>
  <c r="X119" i="14"/>
  <c r="S120" i="14"/>
  <c r="T120" i="14"/>
  <c r="U120" i="14"/>
  <c r="AB120" i="14" s="1"/>
  <c r="V120" i="14"/>
  <c r="AC120" i="14" s="1"/>
  <c r="W120" i="14"/>
  <c r="X120" i="14"/>
  <c r="AE120" i="14" s="1"/>
  <c r="S121" i="14"/>
  <c r="T121" i="14"/>
  <c r="U121" i="14"/>
  <c r="V121" i="14"/>
  <c r="AC121" i="14" s="1"/>
  <c r="W121" i="14"/>
  <c r="X121" i="14"/>
  <c r="S122" i="14"/>
  <c r="T122" i="14"/>
  <c r="U122" i="14"/>
  <c r="AB122" i="14" s="1"/>
  <c r="V122" i="14"/>
  <c r="AC122" i="14" s="1"/>
  <c r="W122" i="14"/>
  <c r="AD122" i="14" s="1"/>
  <c r="X122" i="14"/>
  <c r="S123" i="14"/>
  <c r="Z123" i="14" s="1"/>
  <c r="T123" i="14"/>
  <c r="AA123" i="14" s="1"/>
  <c r="U123" i="14"/>
  <c r="V123" i="14"/>
  <c r="W123" i="14"/>
  <c r="X123" i="14"/>
  <c r="S124" i="14"/>
  <c r="T124" i="14"/>
  <c r="U124" i="14"/>
  <c r="AB124" i="14" s="1"/>
  <c r="V124" i="14"/>
  <c r="AC124" i="14" s="1"/>
  <c r="W124" i="14"/>
  <c r="AD124" i="14" s="1"/>
  <c r="X124" i="14"/>
  <c r="AE124" i="14" s="1"/>
  <c r="S125" i="14"/>
  <c r="Z125" i="14" s="1"/>
  <c r="T125" i="14"/>
  <c r="AA125" i="14" s="1"/>
  <c r="U125" i="14"/>
  <c r="V125" i="14"/>
  <c r="W125" i="14"/>
  <c r="X125" i="14"/>
  <c r="S126" i="14"/>
  <c r="T126" i="14"/>
  <c r="U126" i="14"/>
  <c r="AB126" i="14" s="1"/>
  <c r="V126" i="14"/>
  <c r="W126" i="14"/>
  <c r="AD126" i="14" s="1"/>
  <c r="X126" i="14"/>
  <c r="S127" i="14"/>
  <c r="Z127" i="14" s="1"/>
  <c r="T127" i="14"/>
  <c r="AA127" i="14" s="1"/>
  <c r="U127" i="14"/>
  <c r="V127" i="14"/>
  <c r="AC127" i="14" s="1"/>
  <c r="W127" i="14"/>
  <c r="X127" i="14"/>
  <c r="S128" i="14"/>
  <c r="T128" i="14"/>
  <c r="U128" i="14"/>
  <c r="AB128" i="14" s="1"/>
  <c r="V128" i="14"/>
  <c r="AC128" i="14" s="1"/>
  <c r="W128" i="14"/>
  <c r="AD128" i="14" s="1"/>
  <c r="X128" i="14"/>
  <c r="S129" i="14"/>
  <c r="Z129" i="14" s="1"/>
  <c r="T129" i="14"/>
  <c r="AA129" i="14" s="1"/>
  <c r="U129" i="14"/>
  <c r="V129" i="14"/>
  <c r="W129" i="14"/>
  <c r="X129" i="14"/>
  <c r="S130" i="14"/>
  <c r="T130" i="14"/>
  <c r="U130" i="14"/>
  <c r="AB130" i="14" s="1"/>
  <c r="V130" i="14"/>
  <c r="AC130" i="14" s="1"/>
  <c r="W130" i="14"/>
  <c r="AD130" i="14" s="1"/>
  <c r="X130" i="14"/>
  <c r="S131" i="14"/>
  <c r="Z131" i="14" s="1"/>
  <c r="T131" i="14"/>
  <c r="AA131" i="14" s="1"/>
  <c r="U131" i="14"/>
  <c r="V131" i="14"/>
  <c r="AC131" i="14" s="1"/>
  <c r="W131" i="14"/>
  <c r="X131" i="14"/>
  <c r="S132" i="14"/>
  <c r="T132" i="14"/>
  <c r="U132" i="14"/>
  <c r="AB132" i="14" s="1"/>
  <c r="V132" i="14"/>
  <c r="AC132" i="14" s="1"/>
  <c r="W132" i="14"/>
  <c r="AD132" i="14" s="1"/>
  <c r="X132" i="14"/>
  <c r="S133" i="14"/>
  <c r="Z133" i="14" s="1"/>
  <c r="T133" i="14"/>
  <c r="AA133" i="14" s="1"/>
  <c r="U133" i="14"/>
  <c r="V133" i="14"/>
  <c r="AC133" i="14" s="1"/>
  <c r="W133" i="14"/>
  <c r="X133" i="14"/>
  <c r="S134" i="14"/>
  <c r="T134" i="14"/>
  <c r="U134" i="14"/>
  <c r="AB134" i="14" s="1"/>
  <c r="V134" i="14"/>
  <c r="AC134" i="14" s="1"/>
  <c r="W134" i="14"/>
  <c r="AD134" i="14" s="1"/>
  <c r="X134" i="14"/>
  <c r="S135" i="14"/>
  <c r="Z135" i="14" s="1"/>
  <c r="T135" i="14"/>
  <c r="AA135" i="14" s="1"/>
  <c r="U135" i="14"/>
  <c r="V135" i="14"/>
  <c r="AC135" i="14" s="1"/>
  <c r="W135" i="14"/>
  <c r="X135" i="14"/>
  <c r="S136" i="14"/>
  <c r="T136" i="14"/>
  <c r="U136" i="14"/>
  <c r="AB136" i="14" s="1"/>
  <c r="V136" i="14"/>
  <c r="AC136" i="14" s="1"/>
  <c r="W136" i="14"/>
  <c r="AD136" i="14" s="1"/>
  <c r="X136" i="14"/>
  <c r="AE136" i="14" s="1"/>
  <c r="S137" i="14"/>
  <c r="Z137" i="14" s="1"/>
  <c r="T137" i="14"/>
  <c r="AA137" i="14" s="1"/>
  <c r="U137" i="14"/>
  <c r="V137" i="14"/>
  <c r="AC137" i="14" s="1"/>
  <c r="W137" i="14"/>
  <c r="X137" i="14"/>
  <c r="S138" i="14"/>
  <c r="T138" i="14"/>
  <c r="U138" i="14"/>
  <c r="AB138" i="14" s="1"/>
  <c r="V138" i="14"/>
  <c r="AC138" i="14" s="1"/>
  <c r="W138" i="14"/>
  <c r="AD138" i="14" s="1"/>
  <c r="X138" i="14"/>
  <c r="AE138" i="14" s="1"/>
  <c r="S139" i="14"/>
  <c r="Z139" i="14" s="1"/>
  <c r="T139" i="14"/>
  <c r="AA139" i="14" s="1"/>
  <c r="U139" i="14"/>
  <c r="V139" i="14"/>
  <c r="AC139" i="14" s="1"/>
  <c r="W139" i="14"/>
  <c r="X139" i="14"/>
  <c r="S140" i="14"/>
  <c r="T140" i="14"/>
  <c r="U140" i="14"/>
  <c r="AB140" i="14" s="1"/>
  <c r="V140" i="14"/>
  <c r="AC140" i="14" s="1"/>
  <c r="W140" i="14"/>
  <c r="X140" i="14"/>
  <c r="S141" i="14"/>
  <c r="Z141" i="14" s="1"/>
  <c r="T141" i="14"/>
  <c r="AA141" i="14" s="1"/>
  <c r="U141" i="14"/>
  <c r="V141" i="14"/>
  <c r="AC141" i="14" s="1"/>
  <c r="W141" i="14"/>
  <c r="X141" i="14"/>
  <c r="S142" i="14"/>
  <c r="T142" i="14"/>
  <c r="U142" i="14"/>
  <c r="AB142" i="14" s="1"/>
  <c r="V142" i="14"/>
  <c r="AC142" i="14" s="1"/>
  <c r="W142" i="14"/>
  <c r="AD142" i="14" s="1"/>
  <c r="X142" i="14"/>
  <c r="S143" i="14"/>
  <c r="Z143" i="14" s="1"/>
  <c r="T143" i="14"/>
  <c r="AA143" i="14" s="1"/>
  <c r="U143" i="14"/>
  <c r="V143" i="14"/>
  <c r="AC143" i="14" s="1"/>
  <c r="W143" i="14"/>
  <c r="X143" i="14"/>
  <c r="S144" i="14"/>
  <c r="T144" i="14"/>
  <c r="U144" i="14"/>
  <c r="AB144" i="14" s="1"/>
  <c r="V144" i="14"/>
  <c r="AC144" i="14" s="1"/>
  <c r="W144" i="14"/>
  <c r="AD144" i="14" s="1"/>
  <c r="X144" i="14"/>
  <c r="S145" i="14"/>
  <c r="Z145" i="14" s="1"/>
  <c r="T145" i="14"/>
  <c r="AA145" i="14" s="1"/>
  <c r="U145" i="14"/>
  <c r="V145" i="14"/>
  <c r="AC145" i="14" s="1"/>
  <c r="W145" i="14"/>
  <c r="X145" i="14"/>
  <c r="S146" i="14"/>
  <c r="T146" i="14"/>
  <c r="U146" i="14"/>
  <c r="AB146" i="14" s="1"/>
  <c r="V146" i="14"/>
  <c r="AC146" i="14" s="1"/>
  <c r="W146" i="14"/>
  <c r="X146" i="14"/>
  <c r="S147" i="14"/>
  <c r="Z147" i="14" s="1"/>
  <c r="T147" i="14"/>
  <c r="AA147" i="14" s="1"/>
  <c r="U147" i="14"/>
  <c r="V147" i="14"/>
  <c r="AC147" i="14" s="1"/>
  <c r="W147" i="14"/>
  <c r="X147" i="14"/>
  <c r="S148" i="14"/>
  <c r="T148" i="14"/>
  <c r="U148" i="14"/>
  <c r="AB148" i="14" s="1"/>
  <c r="V148" i="14"/>
  <c r="W148" i="14"/>
  <c r="AD148" i="14" s="1"/>
  <c r="X148" i="14"/>
  <c r="AE148" i="14" s="1"/>
  <c r="S149" i="14"/>
  <c r="Z149" i="14" s="1"/>
  <c r="T149" i="14"/>
  <c r="AA149" i="14" s="1"/>
  <c r="U149" i="14"/>
  <c r="V149" i="14"/>
  <c r="AC149" i="14" s="1"/>
  <c r="W149" i="14"/>
  <c r="X149" i="14"/>
  <c r="S150" i="14"/>
  <c r="T150" i="14"/>
  <c r="U150" i="14"/>
  <c r="AB150" i="14" s="1"/>
  <c r="V150" i="14"/>
  <c r="AC150" i="14" s="1"/>
  <c r="W150" i="14"/>
  <c r="AD150" i="14" s="1"/>
  <c r="X150" i="14"/>
  <c r="AE150" i="14" s="1"/>
  <c r="S151" i="14"/>
  <c r="Z151" i="14" s="1"/>
  <c r="T151" i="14"/>
  <c r="AA151" i="14" s="1"/>
  <c r="U151" i="14"/>
  <c r="V151" i="14"/>
  <c r="AC151" i="14" s="1"/>
  <c r="W151" i="14"/>
  <c r="X151" i="14"/>
  <c r="S152" i="14"/>
  <c r="T152" i="14"/>
  <c r="U152" i="14"/>
  <c r="AB152" i="14" s="1"/>
  <c r="V152" i="14"/>
  <c r="AC152" i="14" s="1"/>
  <c r="W152" i="14"/>
  <c r="AD152" i="14" s="1"/>
  <c r="X152" i="14"/>
  <c r="AE152" i="14" s="1"/>
  <c r="S153" i="14"/>
  <c r="Z153" i="14" s="1"/>
  <c r="T153" i="14"/>
  <c r="AA153" i="14" s="1"/>
  <c r="U153" i="14"/>
  <c r="V153" i="14"/>
  <c r="AC153" i="14" s="1"/>
  <c r="W153" i="14"/>
  <c r="X153" i="14"/>
  <c r="S154" i="14"/>
  <c r="T154" i="14"/>
  <c r="U154" i="14"/>
  <c r="AB154" i="14" s="1"/>
  <c r="V154" i="14"/>
  <c r="AC154" i="14" s="1"/>
  <c r="W154" i="14"/>
  <c r="AD154" i="14" s="1"/>
  <c r="X154" i="14"/>
  <c r="AE154" i="14" s="1"/>
  <c r="S155" i="14"/>
  <c r="Z155" i="14" s="1"/>
  <c r="T155" i="14"/>
  <c r="AA155" i="14" s="1"/>
  <c r="U155" i="14"/>
  <c r="V155" i="14"/>
  <c r="W155" i="14"/>
  <c r="X155" i="14"/>
  <c r="S156" i="14"/>
  <c r="T156" i="14"/>
  <c r="U156" i="14"/>
  <c r="AB156" i="14" s="1"/>
  <c r="V156" i="14"/>
  <c r="W156" i="14"/>
  <c r="AD156" i="14" s="1"/>
  <c r="X156" i="14"/>
  <c r="AE156" i="14" s="1"/>
  <c r="S157" i="14"/>
  <c r="Z157" i="14" s="1"/>
  <c r="T157" i="14"/>
  <c r="AA157" i="14" s="1"/>
  <c r="U157" i="14"/>
  <c r="V157" i="14"/>
  <c r="W157" i="14"/>
  <c r="X157" i="14"/>
  <c r="S158" i="14"/>
  <c r="T158" i="14"/>
  <c r="U158" i="14"/>
  <c r="AB158" i="14" s="1"/>
  <c r="V158" i="14"/>
  <c r="AC158" i="14" s="1"/>
  <c r="W158" i="14"/>
  <c r="AD158" i="14" s="1"/>
  <c r="X158" i="14"/>
  <c r="AE158" i="14" s="1"/>
  <c r="S159" i="14"/>
  <c r="Z159" i="14" s="1"/>
  <c r="T159" i="14"/>
  <c r="AA159" i="14" s="1"/>
  <c r="U159" i="14"/>
  <c r="V159" i="14"/>
  <c r="AC159" i="14" s="1"/>
  <c r="W159" i="14"/>
  <c r="X159" i="14"/>
  <c r="S160" i="14"/>
  <c r="T160" i="14"/>
  <c r="U160" i="14"/>
  <c r="AB160" i="14" s="1"/>
  <c r="V160" i="14"/>
  <c r="AC160" i="14" s="1"/>
  <c r="W160" i="14"/>
  <c r="AD160" i="14" s="1"/>
  <c r="X160" i="14"/>
  <c r="AE160" i="14" s="1"/>
  <c r="S161" i="14"/>
  <c r="Z161" i="14" s="1"/>
  <c r="T161" i="14"/>
  <c r="AA161" i="14" s="1"/>
  <c r="U161" i="14"/>
  <c r="V161" i="14"/>
  <c r="AC161" i="14" s="1"/>
  <c r="W161" i="14"/>
  <c r="X161" i="14"/>
  <c r="S162" i="14"/>
  <c r="T162" i="14"/>
  <c r="U162" i="14"/>
  <c r="AB162" i="14" s="1"/>
  <c r="V162" i="14"/>
  <c r="AC162" i="14" s="1"/>
  <c r="W162" i="14"/>
  <c r="AD162" i="14" s="1"/>
  <c r="X162" i="14"/>
  <c r="AE162" i="14" s="1"/>
  <c r="S163" i="14"/>
  <c r="Z163" i="14" s="1"/>
  <c r="T163" i="14"/>
  <c r="AA163" i="14" s="1"/>
  <c r="U163" i="14"/>
  <c r="V163" i="14"/>
  <c r="W163" i="14"/>
  <c r="X163" i="14"/>
  <c r="S164" i="14"/>
  <c r="T164" i="14"/>
  <c r="U164" i="14"/>
  <c r="AB164" i="14" s="1"/>
  <c r="V164" i="14"/>
  <c r="AC164" i="14" s="1"/>
  <c r="W164" i="14"/>
  <c r="AD164" i="14" s="1"/>
  <c r="X164" i="14"/>
  <c r="AE164" i="14" s="1"/>
  <c r="S165" i="14"/>
  <c r="Z165" i="14" s="1"/>
  <c r="T165" i="14"/>
  <c r="AA165" i="14" s="1"/>
  <c r="U165" i="14"/>
  <c r="V165" i="14"/>
  <c r="AC165" i="14" s="1"/>
  <c r="W165" i="14"/>
  <c r="X165" i="14"/>
  <c r="S166" i="14"/>
  <c r="T166" i="14"/>
  <c r="U166" i="14"/>
  <c r="AB166" i="14" s="1"/>
  <c r="V166" i="14"/>
  <c r="AC166" i="14" s="1"/>
  <c r="W166" i="14"/>
  <c r="AD166" i="14" s="1"/>
  <c r="X166" i="14"/>
  <c r="AE166" i="14" s="1"/>
  <c r="S167" i="14"/>
  <c r="Z167" i="14" s="1"/>
  <c r="T167" i="14"/>
  <c r="AA167" i="14" s="1"/>
  <c r="U167" i="14"/>
  <c r="V167" i="14"/>
  <c r="W167" i="14"/>
  <c r="X167" i="14"/>
  <c r="S168" i="14"/>
  <c r="T168" i="14"/>
  <c r="U168" i="14"/>
  <c r="AB168" i="14" s="1"/>
  <c r="V168" i="14"/>
  <c r="AC168" i="14" s="1"/>
  <c r="W168" i="14"/>
  <c r="AD168" i="14" s="1"/>
  <c r="X168" i="14"/>
  <c r="AE168" i="14" s="1"/>
  <c r="S169" i="14"/>
  <c r="Z169" i="14" s="1"/>
  <c r="T169" i="14"/>
  <c r="AA169" i="14" s="1"/>
  <c r="U169" i="14"/>
  <c r="V169" i="14"/>
  <c r="AC169" i="14" s="1"/>
  <c r="W169" i="14"/>
  <c r="X169" i="14"/>
  <c r="S170" i="14"/>
  <c r="T170" i="14"/>
  <c r="U170" i="14"/>
  <c r="AB170" i="14" s="1"/>
  <c r="V170" i="14"/>
  <c r="AC170" i="14" s="1"/>
  <c r="W170" i="14"/>
  <c r="AD170" i="14" s="1"/>
  <c r="X170" i="14"/>
  <c r="AE170" i="14" s="1"/>
  <c r="S171" i="14"/>
  <c r="Z171" i="14" s="1"/>
  <c r="T171" i="14"/>
  <c r="AA171" i="14" s="1"/>
  <c r="U171" i="14"/>
  <c r="V171" i="14"/>
  <c r="AC171" i="14" s="1"/>
  <c r="W171" i="14"/>
  <c r="X171" i="14"/>
  <c r="S172" i="14"/>
  <c r="T172" i="14"/>
  <c r="U172" i="14"/>
  <c r="V172" i="14"/>
  <c r="W172" i="14"/>
  <c r="AD172" i="14" s="1"/>
  <c r="X172" i="14"/>
  <c r="AE172" i="14" s="1"/>
  <c r="S173" i="14"/>
  <c r="Z173" i="14" s="1"/>
  <c r="T173" i="14"/>
  <c r="AA173" i="14" s="1"/>
  <c r="U173" i="14"/>
  <c r="V173" i="14"/>
  <c r="AC173" i="14" s="1"/>
  <c r="W173" i="14"/>
  <c r="X173" i="14"/>
  <c r="S174" i="14"/>
  <c r="T174" i="14"/>
  <c r="U174" i="14"/>
  <c r="AB174" i="14" s="1"/>
  <c r="V174" i="14"/>
  <c r="AC174" i="14" s="1"/>
  <c r="W174" i="14"/>
  <c r="AD174" i="14" s="1"/>
  <c r="X174" i="14"/>
  <c r="AE174" i="14" s="1"/>
  <c r="S175" i="14"/>
  <c r="Z175" i="14" s="1"/>
  <c r="T175" i="14"/>
  <c r="AA175" i="14" s="1"/>
  <c r="U175" i="14"/>
  <c r="V175" i="14"/>
  <c r="AC175" i="14" s="1"/>
  <c r="W175" i="14"/>
  <c r="X175" i="14"/>
  <c r="S176" i="14"/>
  <c r="T176" i="14"/>
  <c r="U176" i="14"/>
  <c r="AB176" i="14" s="1"/>
  <c r="V176" i="14"/>
  <c r="AC176" i="14" s="1"/>
  <c r="W176" i="14"/>
  <c r="AD176" i="14" s="1"/>
  <c r="X176" i="14"/>
  <c r="AE176" i="14" s="1"/>
  <c r="S177" i="14"/>
  <c r="Z177" i="14" s="1"/>
  <c r="T177" i="14"/>
  <c r="AA177" i="14" s="1"/>
  <c r="U177" i="14"/>
  <c r="V177" i="14"/>
  <c r="AC177" i="14" s="1"/>
  <c r="W177" i="14"/>
  <c r="X177" i="14"/>
  <c r="S178" i="14"/>
  <c r="T178" i="14"/>
  <c r="U178" i="14"/>
  <c r="AB178" i="14" s="1"/>
  <c r="V178" i="14"/>
  <c r="AC178" i="14" s="1"/>
  <c r="W178" i="14"/>
  <c r="AD178" i="14" s="1"/>
  <c r="X178" i="14"/>
  <c r="AE178" i="14" s="1"/>
  <c r="S179" i="14"/>
  <c r="Z179" i="14" s="1"/>
  <c r="T179" i="14"/>
  <c r="AA179" i="14" s="1"/>
  <c r="U179" i="14"/>
  <c r="V179" i="14"/>
  <c r="AC179" i="14" s="1"/>
  <c r="W179" i="14"/>
  <c r="X179" i="14"/>
  <c r="S180" i="14"/>
  <c r="T180" i="14"/>
  <c r="U180" i="14"/>
  <c r="AB180" i="14" s="1"/>
  <c r="V180" i="14"/>
  <c r="AC180" i="14" s="1"/>
  <c r="W180" i="14"/>
  <c r="AD180" i="14" s="1"/>
  <c r="X180" i="14"/>
  <c r="AE180" i="14" s="1"/>
  <c r="S181" i="14"/>
  <c r="Z181" i="14" s="1"/>
  <c r="T181" i="14"/>
  <c r="AA181" i="14" s="1"/>
  <c r="U181" i="14"/>
  <c r="V181" i="14"/>
  <c r="W181" i="14"/>
  <c r="X181" i="14"/>
  <c r="S182" i="14"/>
  <c r="T182" i="14"/>
  <c r="U182" i="14"/>
  <c r="AB182" i="14" s="1"/>
  <c r="V182" i="14"/>
  <c r="AC182" i="14" s="1"/>
  <c r="W182" i="14"/>
  <c r="AD182" i="14" s="1"/>
  <c r="X182" i="14"/>
  <c r="AE182" i="14" s="1"/>
  <c r="S183" i="14"/>
  <c r="Z183" i="14" s="1"/>
  <c r="T183" i="14"/>
  <c r="AA183" i="14" s="1"/>
  <c r="U183" i="14"/>
  <c r="V183" i="14"/>
  <c r="AC183" i="14" s="1"/>
  <c r="W183" i="14"/>
  <c r="X183" i="14"/>
  <c r="X4" i="14"/>
  <c r="W4" i="14"/>
  <c r="V4" i="14"/>
  <c r="AC4" i="14" s="1"/>
  <c r="U4" i="14"/>
  <c r="T4" i="14"/>
  <c r="S4" i="14"/>
  <c r="P5" i="14"/>
  <c r="P6" i="14"/>
  <c r="P7" i="14"/>
  <c r="P8" i="14"/>
  <c r="P9" i="14"/>
  <c r="P10" i="14"/>
  <c r="P11" i="14"/>
  <c r="P12" i="14"/>
  <c r="P13" i="14"/>
  <c r="P14" i="14"/>
  <c r="P15" i="14"/>
  <c r="P16" i="14"/>
  <c r="P17" i="14"/>
  <c r="P18" i="14"/>
  <c r="P19" i="14"/>
  <c r="P20" i="14"/>
  <c r="P21" i="14"/>
  <c r="P22" i="14"/>
  <c r="P23" i="14"/>
  <c r="P24" i="14"/>
  <c r="P25" i="14"/>
  <c r="P26" i="14"/>
  <c r="P4" i="14"/>
  <c r="E6" i="9"/>
  <c r="E7" i="9"/>
  <c r="E8" i="9"/>
  <c r="E9" i="9"/>
  <c r="E10" i="9"/>
  <c r="E11" i="9"/>
  <c r="E12" i="9"/>
  <c r="E13" i="9"/>
  <c r="K6" i="9" s="1"/>
  <c r="E14" i="9"/>
  <c r="K7" i="9" s="1"/>
  <c r="E15" i="9"/>
  <c r="K8" i="9" s="1"/>
  <c r="E5" i="9"/>
  <c r="C6" i="9"/>
  <c r="D6" i="9"/>
  <c r="C7" i="9"/>
  <c r="D7" i="9"/>
  <c r="C8" i="9"/>
  <c r="D8" i="9"/>
  <c r="C9" i="9"/>
  <c r="D9" i="9"/>
  <c r="C10" i="9"/>
  <c r="D10" i="9"/>
  <c r="C11" i="9"/>
  <c r="D11" i="9"/>
  <c r="C12" i="9"/>
  <c r="D12" i="9"/>
  <c r="C13" i="9"/>
  <c r="I6" i="9" s="1"/>
  <c r="D13" i="9"/>
  <c r="J6" i="9" s="1"/>
  <c r="C14" i="9"/>
  <c r="I7" i="9" s="1"/>
  <c r="D14" i="9"/>
  <c r="J7" i="9" s="1"/>
  <c r="C15" i="9"/>
  <c r="I8" i="9" s="1"/>
  <c r="D15" i="9"/>
  <c r="J8" i="9" s="1"/>
  <c r="D5" i="9"/>
  <c r="C5" i="9"/>
  <c r="B15" i="9"/>
  <c r="H8" i="9" s="1"/>
  <c r="B14" i="9"/>
  <c r="H7" i="9" s="1"/>
  <c r="B13" i="9"/>
  <c r="H6" i="9" s="1"/>
  <c r="B12" i="9"/>
  <c r="B11" i="9"/>
  <c r="B10" i="9"/>
  <c r="B9" i="9"/>
  <c r="B8" i="9"/>
  <c r="B7" i="9"/>
  <c r="B6" i="9"/>
  <c r="B5" i="9"/>
  <c r="A6" i="9"/>
  <c r="A7" i="9" s="1"/>
  <c r="A8" i="9" s="1"/>
  <c r="A9" i="9" s="1"/>
  <c r="A10" i="9" s="1"/>
  <c r="A11" i="9" s="1"/>
  <c r="A12" i="9" s="1"/>
  <c r="A13" i="9" s="1"/>
  <c r="A14" i="9" s="1"/>
  <c r="A15" i="9" s="1"/>
  <c r="W20" i="5"/>
  <c r="W21" i="5"/>
  <c r="W22" i="5"/>
  <c r="W23" i="5"/>
  <c r="W24" i="5"/>
  <c r="W25" i="5"/>
  <c r="W26" i="5"/>
  <c r="W27" i="5"/>
  <c r="W28" i="5"/>
  <c r="V28" i="5" s="1"/>
  <c r="W29" i="5"/>
  <c r="V29" i="5" s="1"/>
  <c r="W30" i="5" s="1"/>
  <c r="Y30" i="5" s="1"/>
  <c r="W19" i="5"/>
  <c r="Q28" i="5"/>
  <c r="Q29" i="5"/>
  <c r="Q30" i="5"/>
  <c r="AY10" i="5" s="1"/>
  <c r="AY12" i="5" s="1"/>
  <c r="L6" i="5"/>
  <c r="L7" i="5"/>
  <c r="L8" i="5"/>
  <c r="L9" i="5"/>
  <c r="L10" i="5"/>
  <c r="L11" i="5"/>
  <c r="L12" i="5"/>
  <c r="L13" i="5"/>
  <c r="L14" i="5"/>
  <c r="L15" i="5"/>
  <c r="L16" i="5"/>
  <c r="L17" i="5"/>
  <c r="L18" i="5"/>
  <c r="L19" i="5"/>
  <c r="L20" i="5"/>
  <c r="L21" i="5"/>
  <c r="L22" i="5"/>
  <c r="L23" i="5"/>
  <c r="L24" i="5"/>
  <c r="L25" i="5"/>
  <c r="L26" i="5"/>
  <c r="L27" i="5"/>
  <c r="L28" i="5"/>
  <c r="L29" i="5"/>
  <c r="L30" i="5"/>
  <c r="L31" i="5"/>
  <c r="AD31" i="5" s="1"/>
  <c r="L32" i="5"/>
  <c r="AD32" i="5" s="1"/>
  <c r="L33" i="5"/>
  <c r="AD33" i="5" s="1"/>
  <c r="L34" i="5"/>
  <c r="L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5" i="5"/>
  <c r="E5" i="5"/>
  <c r="B13" i="5"/>
  <c r="B17" i="5" s="1"/>
  <c r="B21" i="5" s="1"/>
  <c r="B25" i="5" s="1"/>
  <c r="B29" i="5" s="1"/>
  <c r="B33" i="5" s="1"/>
  <c r="B37" i="5" s="1"/>
  <c r="B41" i="5" s="1"/>
  <c r="B45" i="5" s="1"/>
  <c r="B49" i="5" s="1"/>
  <c r="B53" i="5" s="1"/>
  <c r="B57" i="5" s="1"/>
  <c r="B61" i="5" s="1"/>
  <c r="B65" i="5" s="1"/>
  <c r="B69" i="5" s="1"/>
  <c r="B73" i="5" s="1"/>
  <c r="B77" i="5" s="1"/>
  <c r="B81" i="5" s="1"/>
  <c r="B85" i="5" s="1"/>
  <c r="B89" i="5" s="1"/>
  <c r="B93" i="5" s="1"/>
  <c r="B97" i="5" s="1"/>
  <c r="B101" i="5" s="1"/>
  <c r="B105" i="5" s="1"/>
  <c r="B109" i="5" s="1"/>
  <c r="B113" i="5" s="1"/>
  <c r="B117" i="5" s="1"/>
  <c r="B121" i="5" s="1"/>
  <c r="B125" i="5" s="1"/>
  <c r="B12" i="5"/>
  <c r="B16" i="5" s="1"/>
  <c r="B20" i="5" s="1"/>
  <c r="B24" i="5" s="1"/>
  <c r="B28" i="5" s="1"/>
  <c r="B32" i="5" s="1"/>
  <c r="B36" i="5" s="1"/>
  <c r="B40" i="5" s="1"/>
  <c r="B44" i="5" s="1"/>
  <c r="B48" i="5" s="1"/>
  <c r="B52" i="5" s="1"/>
  <c r="B56" i="5" s="1"/>
  <c r="B60" i="5" s="1"/>
  <c r="B64" i="5" s="1"/>
  <c r="B68" i="5" s="1"/>
  <c r="B72" i="5" s="1"/>
  <c r="B76" i="5" s="1"/>
  <c r="B80" i="5" s="1"/>
  <c r="B84" i="5" s="1"/>
  <c r="B88" i="5" s="1"/>
  <c r="B92" i="5" s="1"/>
  <c r="B96" i="5" s="1"/>
  <c r="B100" i="5" s="1"/>
  <c r="B104" i="5" s="1"/>
  <c r="B108" i="5" s="1"/>
  <c r="B112" i="5" s="1"/>
  <c r="B116" i="5" s="1"/>
  <c r="B120" i="5" s="1"/>
  <c r="B124" i="5" s="1"/>
  <c r="B128" i="5" s="1"/>
  <c r="A12" i="5"/>
  <c r="A16" i="5" s="1"/>
  <c r="A20" i="5" s="1"/>
  <c r="A24" i="5" s="1"/>
  <c r="A28" i="5" s="1"/>
  <c r="A32" i="5" s="1"/>
  <c r="A36" i="5" s="1"/>
  <c r="A40" i="5" s="1"/>
  <c r="A44" i="5" s="1"/>
  <c r="A48" i="5" s="1"/>
  <c r="A52" i="5" s="1"/>
  <c r="A56" i="5" s="1"/>
  <c r="A60" i="5" s="1"/>
  <c r="A64" i="5" s="1"/>
  <c r="A68" i="5" s="1"/>
  <c r="A72" i="5" s="1"/>
  <c r="A76" i="5" s="1"/>
  <c r="A80" i="5" s="1"/>
  <c r="A84" i="5" s="1"/>
  <c r="A88" i="5" s="1"/>
  <c r="A92" i="5" s="1"/>
  <c r="A96" i="5" s="1"/>
  <c r="A100" i="5" s="1"/>
  <c r="A104" i="5" s="1"/>
  <c r="A108" i="5" s="1"/>
  <c r="A112" i="5" s="1"/>
  <c r="A116" i="5" s="1"/>
  <c r="A120" i="5" s="1"/>
  <c r="A124" i="5" s="1"/>
  <c r="A128" i="5" s="1"/>
  <c r="B11" i="5"/>
  <c r="B15" i="5" s="1"/>
  <c r="A11" i="5"/>
  <c r="A15" i="5" s="1"/>
  <c r="A19" i="5" s="1"/>
  <c r="A23" i="5" s="1"/>
  <c r="A27" i="5" s="1"/>
  <c r="A31" i="5" s="1"/>
  <c r="A35" i="5" s="1"/>
  <c r="A39" i="5" s="1"/>
  <c r="A43" i="5" s="1"/>
  <c r="A47" i="5" s="1"/>
  <c r="A51" i="5" s="1"/>
  <c r="A55" i="5" s="1"/>
  <c r="A59" i="5" s="1"/>
  <c r="A63" i="5" s="1"/>
  <c r="A67" i="5" s="1"/>
  <c r="A71" i="5" s="1"/>
  <c r="A75" i="5" s="1"/>
  <c r="A79" i="5" s="1"/>
  <c r="A83" i="5" s="1"/>
  <c r="A87" i="5" s="1"/>
  <c r="A91" i="5" s="1"/>
  <c r="A95" i="5" s="1"/>
  <c r="A99" i="5" s="1"/>
  <c r="A103" i="5" s="1"/>
  <c r="A107" i="5" s="1"/>
  <c r="A111" i="5" s="1"/>
  <c r="A115" i="5" s="1"/>
  <c r="A119" i="5" s="1"/>
  <c r="A123" i="5" s="1"/>
  <c r="A127" i="5" s="1"/>
  <c r="B10" i="5"/>
  <c r="B14" i="5" s="1"/>
  <c r="B18" i="5" s="1"/>
  <c r="B22" i="5" s="1"/>
  <c r="B26" i="5" s="1"/>
  <c r="B30" i="5" s="1"/>
  <c r="B34" i="5" s="1"/>
  <c r="B38" i="5" s="1"/>
  <c r="B42" i="5" s="1"/>
  <c r="B46" i="5" s="1"/>
  <c r="B50" i="5" s="1"/>
  <c r="B54" i="5" s="1"/>
  <c r="B58" i="5" s="1"/>
  <c r="B62" i="5" s="1"/>
  <c r="B66" i="5" s="1"/>
  <c r="B70" i="5" s="1"/>
  <c r="B74" i="5" s="1"/>
  <c r="B78" i="5" s="1"/>
  <c r="B82" i="5" s="1"/>
  <c r="B86" i="5" s="1"/>
  <c r="B90" i="5" s="1"/>
  <c r="B94" i="5" s="1"/>
  <c r="B98" i="5" s="1"/>
  <c r="B102" i="5" s="1"/>
  <c r="B106" i="5" s="1"/>
  <c r="B110" i="5" s="1"/>
  <c r="B114" i="5" s="1"/>
  <c r="B118" i="5" s="1"/>
  <c r="B122" i="5" s="1"/>
  <c r="B126" i="5" s="1"/>
  <c r="A10" i="5"/>
  <c r="A14" i="5" s="1"/>
  <c r="A18" i="5" s="1"/>
  <c r="A22" i="5" s="1"/>
  <c r="A26" i="5" s="1"/>
  <c r="A30" i="5" s="1"/>
  <c r="A34" i="5" s="1"/>
  <c r="A38" i="5" s="1"/>
  <c r="A42" i="5" s="1"/>
  <c r="A46" i="5" s="1"/>
  <c r="A50" i="5" s="1"/>
  <c r="A54" i="5" s="1"/>
  <c r="A58" i="5" s="1"/>
  <c r="A62" i="5" s="1"/>
  <c r="A66" i="5" s="1"/>
  <c r="A70" i="5" s="1"/>
  <c r="A74" i="5" s="1"/>
  <c r="A78" i="5" s="1"/>
  <c r="A82" i="5" s="1"/>
  <c r="A86" i="5" s="1"/>
  <c r="A90" i="5" s="1"/>
  <c r="A94" i="5" s="1"/>
  <c r="A98" i="5" s="1"/>
  <c r="A102" i="5" s="1"/>
  <c r="A106" i="5" s="1"/>
  <c r="A110" i="5" s="1"/>
  <c r="A114" i="5" s="1"/>
  <c r="A118" i="5" s="1"/>
  <c r="A122" i="5" s="1"/>
  <c r="A126" i="5" s="1"/>
  <c r="A9" i="5"/>
  <c r="A13" i="5" s="1"/>
  <c r="A17" i="5" s="1"/>
  <c r="A21" i="5" s="1"/>
  <c r="A25" i="5" s="1"/>
  <c r="A29" i="5" s="1"/>
  <c r="A33" i="5" s="1"/>
  <c r="A37" i="5" s="1"/>
  <c r="A41" i="5" s="1"/>
  <c r="A45" i="5" s="1"/>
  <c r="A49" i="5" s="1"/>
  <c r="A53" i="5" s="1"/>
  <c r="A57" i="5" s="1"/>
  <c r="A61" i="5" s="1"/>
  <c r="A65" i="5" s="1"/>
  <c r="A69" i="5" s="1"/>
  <c r="A73" i="5" s="1"/>
  <c r="A77" i="5" s="1"/>
  <c r="A81" i="5" s="1"/>
  <c r="A85" i="5" s="1"/>
  <c r="A89" i="5" s="1"/>
  <c r="A93" i="5" s="1"/>
  <c r="A97" i="5" s="1"/>
  <c r="A101" i="5" s="1"/>
  <c r="A105" i="5" s="1"/>
  <c r="A109" i="5" s="1"/>
  <c r="A113" i="5" s="1"/>
  <c r="A117" i="5" s="1"/>
  <c r="A121" i="5" s="1"/>
  <c r="A125" i="5" s="1"/>
  <c r="AN37" i="5" l="1"/>
  <c r="AD34" i="5"/>
  <c r="AQ34" i="5"/>
  <c r="AU34" i="5" s="1"/>
  <c r="U30" i="5"/>
  <c r="R33" i="5" s="1"/>
  <c r="U33" i="5" s="1"/>
  <c r="AD30" i="5"/>
  <c r="U28" i="5"/>
  <c r="AD28" i="5"/>
  <c r="S29" i="5"/>
  <c r="AD29" i="5"/>
  <c r="N8" i="5"/>
  <c r="N32" i="5"/>
  <c r="N20" i="5"/>
  <c r="N16" i="5"/>
  <c r="AJ37" i="5"/>
  <c r="AI37" i="5"/>
  <c r="AM37" i="5"/>
  <c r="AN35" i="5"/>
  <c r="AJ35" i="5"/>
  <c r="AI35" i="5"/>
  <c r="AM35" i="5"/>
  <c r="AM38" i="5" s="1"/>
  <c r="R32" i="5"/>
  <c r="U32" i="5" s="1"/>
  <c r="AY11" i="5"/>
  <c r="Z20" i="5"/>
  <c r="U29" i="5"/>
  <c r="N28" i="5"/>
  <c r="N15" i="5"/>
  <c r="T29" i="5"/>
  <c r="T28" i="5"/>
  <c r="S28" i="5"/>
  <c r="Z19" i="5"/>
  <c r="N24" i="5"/>
  <c r="N12" i="5"/>
  <c r="N33" i="5"/>
  <c r="N21" i="5"/>
  <c r="N9" i="5"/>
  <c r="N27" i="5"/>
  <c r="T30" i="5"/>
  <c r="Q31" i="5" s="1"/>
  <c r="T31" i="5" s="1"/>
  <c r="Z21" i="5"/>
  <c r="N30" i="5"/>
  <c r="N6" i="5"/>
  <c r="AB30" i="5"/>
  <c r="S30" i="5"/>
  <c r="N18" i="5"/>
  <c r="N26" i="5"/>
  <c r="N14" i="5"/>
  <c r="R34" i="5"/>
  <c r="U34" i="5" s="1"/>
  <c r="Z27" i="5"/>
  <c r="N25" i="5"/>
  <c r="N13" i="5"/>
  <c r="N31" i="5"/>
  <c r="N19" i="5"/>
  <c r="N7" i="5"/>
  <c r="Z26" i="5"/>
  <c r="Z25" i="5"/>
  <c r="N5" i="5"/>
  <c r="N23" i="5"/>
  <c r="N11" i="5"/>
  <c r="N29" i="5"/>
  <c r="N17" i="5"/>
  <c r="N34" i="5"/>
  <c r="Z24" i="5"/>
  <c r="N22" i="5"/>
  <c r="N10" i="5"/>
  <c r="Z23" i="5"/>
  <c r="Z22" i="5"/>
  <c r="AA121" i="14"/>
  <c r="AA117" i="14"/>
  <c r="AA115" i="14"/>
  <c r="AA58" i="14"/>
  <c r="AA146" i="14"/>
  <c r="AA142" i="14"/>
  <c r="AA113" i="14"/>
  <c r="AA18" i="14"/>
  <c r="AA52" i="14"/>
  <c r="AA40" i="14"/>
  <c r="AA122" i="14"/>
  <c r="AA50" i="14"/>
  <c r="AA154" i="14"/>
  <c r="AA64" i="14"/>
  <c r="AA8" i="14"/>
  <c r="AA134" i="14"/>
  <c r="AA14" i="14"/>
  <c r="AA130" i="14"/>
  <c r="AA124" i="14"/>
  <c r="AA172" i="14"/>
  <c r="AA111" i="14"/>
  <c r="AA107" i="14"/>
  <c r="AA105" i="14"/>
  <c r="AA101" i="14"/>
  <c r="AA99" i="14"/>
  <c r="AA97" i="14"/>
  <c r="AA95" i="14"/>
  <c r="AA93" i="14"/>
  <c r="AA91" i="14"/>
  <c r="AA89" i="14"/>
  <c r="AA87" i="14"/>
  <c r="AA85" i="14"/>
  <c r="AA81" i="14"/>
  <c r="AA79" i="14"/>
  <c r="AA77" i="14"/>
  <c r="AA75" i="14"/>
  <c r="AA73" i="14"/>
  <c r="AA69" i="14"/>
  <c r="AA27" i="14"/>
  <c r="AA13" i="14"/>
  <c r="AA119" i="14"/>
  <c r="AA109" i="14"/>
  <c r="AA83" i="14"/>
  <c r="Z25" i="14"/>
  <c r="Z21" i="14"/>
  <c r="Z17" i="14"/>
  <c r="Z15" i="14"/>
  <c r="Z13" i="14"/>
  <c r="Z5" i="14"/>
  <c r="AE146" i="14"/>
  <c r="AE144" i="14"/>
  <c r="AE142" i="14"/>
  <c r="AE140" i="14"/>
  <c r="AE134" i="14"/>
  <c r="AE130" i="14"/>
  <c r="AE128" i="14"/>
  <c r="AE126" i="14"/>
  <c r="AE122" i="14"/>
  <c r="AE118" i="14"/>
  <c r="AE116" i="14"/>
  <c r="AE114" i="14"/>
  <c r="AE112" i="14"/>
  <c r="AE43" i="14"/>
  <c r="AE108" i="14"/>
  <c r="AE106" i="14"/>
  <c r="AE104" i="14"/>
  <c r="AE102" i="14"/>
  <c r="AE100" i="14"/>
  <c r="AE98" i="14"/>
  <c r="AE96" i="14"/>
  <c r="AE94" i="14"/>
  <c r="AE90" i="14"/>
  <c r="AE86" i="14"/>
  <c r="AE84" i="14"/>
  <c r="AE82" i="14"/>
  <c r="AE80" i="14"/>
  <c r="AE78" i="14"/>
  <c r="AE76" i="14"/>
  <c r="AE74" i="14"/>
  <c r="AE40" i="14"/>
  <c r="AB118" i="14"/>
  <c r="AB114" i="14"/>
  <c r="AB110" i="14"/>
  <c r="AB106" i="14"/>
  <c r="AB104" i="14"/>
  <c r="AB100" i="14"/>
  <c r="AB98" i="14"/>
  <c r="AB94" i="14"/>
  <c r="AB92" i="14"/>
  <c r="AB88" i="14"/>
  <c r="AB86" i="14"/>
  <c r="AB84" i="14"/>
  <c r="AB82" i="14"/>
  <c r="AB80" i="14"/>
  <c r="AB76" i="14"/>
  <c r="AB74" i="14"/>
  <c r="AB72" i="14"/>
  <c r="AB70" i="14"/>
  <c r="AB68" i="14"/>
  <c r="AB66" i="14"/>
  <c r="AB64" i="14"/>
  <c r="AB62" i="14"/>
  <c r="AB60" i="14"/>
  <c r="AB58" i="14"/>
  <c r="AB56" i="14"/>
  <c r="AB54" i="14"/>
  <c r="AB52" i="14"/>
  <c r="AB50" i="14"/>
  <c r="AB48" i="14"/>
  <c r="AB46" i="14"/>
  <c r="AB44" i="14"/>
  <c r="AB42" i="14"/>
  <c r="AB38" i="14"/>
  <c r="AB36" i="14"/>
  <c r="AB34" i="14"/>
  <c r="AB32" i="14"/>
  <c r="AB28" i="14"/>
  <c r="AB26" i="14"/>
  <c r="AB24" i="14"/>
  <c r="AB22" i="14"/>
  <c r="AB20" i="14"/>
  <c r="AB18" i="14"/>
  <c r="AB16" i="14"/>
  <c r="AB14" i="14"/>
  <c r="AB12" i="14"/>
  <c r="AB10" i="14"/>
  <c r="AB8" i="14"/>
  <c r="AB6" i="14"/>
  <c r="AA65" i="14"/>
  <c r="AA59" i="14"/>
  <c r="AA47" i="14"/>
  <c r="AA37" i="14"/>
  <c r="AA15" i="14"/>
  <c r="Z119" i="14"/>
  <c r="Z113" i="14"/>
  <c r="Z107" i="14"/>
  <c r="Z99" i="14"/>
  <c r="Z91" i="14"/>
  <c r="Z85" i="14"/>
  <c r="Z79" i="14"/>
  <c r="Z69" i="14"/>
  <c r="Z63" i="14"/>
  <c r="Z55" i="14"/>
  <c r="Z45" i="14"/>
  <c r="Z39" i="14"/>
  <c r="Z35" i="14"/>
  <c r="Z29" i="14"/>
  <c r="Z19" i="14"/>
  <c r="Z7" i="14"/>
  <c r="AB116" i="14"/>
  <c r="AB112" i="14"/>
  <c r="AB11" i="14"/>
  <c r="AB29" i="14"/>
  <c r="AB95" i="14"/>
  <c r="AB101" i="14"/>
  <c r="AB93" i="14"/>
  <c r="AB125" i="14"/>
  <c r="AB117" i="14"/>
  <c r="AB35" i="14"/>
  <c r="AB165" i="14"/>
  <c r="AB83" i="14"/>
  <c r="AB113" i="14"/>
  <c r="AB155" i="14"/>
  <c r="AB167" i="14"/>
  <c r="AB15" i="14"/>
  <c r="AB105" i="14"/>
  <c r="AB23" i="14"/>
  <c r="AB89" i="14"/>
  <c r="AB108" i="14"/>
  <c r="AB102" i="14"/>
  <c r="AB96" i="14"/>
  <c r="AB90" i="14"/>
  <c r="AB78" i="14"/>
  <c r="AB30" i="14"/>
  <c r="AA182" i="14"/>
  <c r="AA180" i="14"/>
  <c r="AA178" i="14"/>
  <c r="AA118" i="14"/>
  <c r="AA112" i="14"/>
  <c r="AA110" i="14"/>
  <c r="AA71" i="14"/>
  <c r="AA61" i="14"/>
  <c r="AA57" i="14"/>
  <c r="AA51" i="14"/>
  <c r="AA45" i="14"/>
  <c r="AA39" i="14"/>
  <c r="AA33" i="14"/>
  <c r="AA31" i="14"/>
  <c r="AA25" i="14"/>
  <c r="AA23" i="14"/>
  <c r="AA19" i="14"/>
  <c r="AA9" i="14"/>
  <c r="Z121" i="14"/>
  <c r="Z115" i="14"/>
  <c r="Z109" i="14"/>
  <c r="Z105" i="14"/>
  <c r="Z97" i="14"/>
  <c r="Z93" i="14"/>
  <c r="Z87" i="14"/>
  <c r="Z81" i="14"/>
  <c r="Z75" i="14"/>
  <c r="Z71" i="14"/>
  <c r="Z67" i="14"/>
  <c r="Z59" i="14"/>
  <c r="Z53" i="14"/>
  <c r="Z49" i="14"/>
  <c r="Z47" i="14"/>
  <c r="Z41" i="14"/>
  <c r="Z37" i="14"/>
  <c r="Z31" i="14"/>
  <c r="Z23" i="14"/>
  <c r="Z9" i="14"/>
  <c r="AE4" i="14"/>
  <c r="Z174" i="14"/>
  <c r="Z166" i="14"/>
  <c r="Z160" i="14"/>
  <c r="Z152" i="14"/>
  <c r="Z148" i="14"/>
  <c r="Z144" i="14"/>
  <c r="Z140" i="14"/>
  <c r="Z138" i="14"/>
  <c r="Z134" i="14"/>
  <c r="Z128" i="14"/>
  <c r="Z126" i="14"/>
  <c r="Z124" i="14"/>
  <c r="Z122" i="14"/>
  <c r="Z120" i="14"/>
  <c r="Z116" i="14"/>
  <c r="Z114" i="14"/>
  <c r="Z112" i="14"/>
  <c r="Z110" i="14"/>
  <c r="Z108" i="14"/>
  <c r="Z106" i="14"/>
  <c r="Z104" i="14"/>
  <c r="Z102" i="14"/>
  <c r="Z100" i="14"/>
  <c r="Z98" i="14"/>
  <c r="Z96" i="14"/>
  <c r="Z94" i="14"/>
  <c r="Z92" i="14"/>
  <c r="Z90" i="14"/>
  <c r="Z88" i="14"/>
  <c r="Z86" i="14"/>
  <c r="Z84" i="14"/>
  <c r="Z82" i="14"/>
  <c r="Z80" i="14"/>
  <c r="Z78" i="14"/>
  <c r="Z76" i="14"/>
  <c r="Z74" i="14"/>
  <c r="Z72" i="14"/>
  <c r="Z70" i="14"/>
  <c r="Z68" i="14"/>
  <c r="Z66" i="14"/>
  <c r="Z64" i="14"/>
  <c r="Z62" i="14"/>
  <c r="Z60" i="14"/>
  <c r="Z56" i="14"/>
  <c r="Z54" i="14"/>
  <c r="Z52" i="14"/>
  <c r="Z50" i="14"/>
  <c r="Z48" i="14"/>
  <c r="Z46" i="14"/>
  <c r="Z40" i="14"/>
  <c r="Z8" i="14"/>
  <c r="AE41" i="14"/>
  <c r="AA63" i="14"/>
  <c r="AA55" i="14"/>
  <c r="AA49" i="14"/>
  <c r="AA43" i="14"/>
  <c r="AA35" i="14"/>
  <c r="AA29" i="14"/>
  <c r="Z117" i="14"/>
  <c r="Z111" i="14"/>
  <c r="Z103" i="14"/>
  <c r="Z95" i="14"/>
  <c r="Z89" i="14"/>
  <c r="Z83" i="14"/>
  <c r="Z77" i="14"/>
  <c r="Z73" i="14"/>
  <c r="Z65" i="14"/>
  <c r="Z61" i="14"/>
  <c r="Z51" i="14"/>
  <c r="Z43" i="14"/>
  <c r="Z33" i="14"/>
  <c r="Z11" i="14"/>
  <c r="Z4" i="14"/>
  <c r="AE92" i="14"/>
  <c r="Z18" i="14"/>
  <c r="Z182" i="14"/>
  <c r="Z176" i="14"/>
  <c r="Z168" i="14"/>
  <c r="Z162" i="14"/>
  <c r="Z156" i="14"/>
  <c r="Z150" i="14"/>
  <c r="Z146" i="14"/>
  <c r="Z142" i="14"/>
  <c r="Z136" i="14"/>
  <c r="Z118" i="14"/>
  <c r="AE161" i="14"/>
  <c r="AE149" i="14"/>
  <c r="AE113" i="14"/>
  <c r="AE91" i="14"/>
  <c r="AE65" i="14"/>
  <c r="AE53" i="14"/>
  <c r="AE17" i="14"/>
  <c r="AE5" i="14"/>
  <c r="AB9" i="14"/>
  <c r="AE42" i="14"/>
  <c r="AA67" i="14"/>
  <c r="AA53" i="14"/>
  <c r="AA41" i="14"/>
  <c r="AA17" i="14"/>
  <c r="Z180" i="14"/>
  <c r="Z172" i="14"/>
  <c r="Z164" i="14"/>
  <c r="Z154" i="14"/>
  <c r="Z132" i="14"/>
  <c r="AE101" i="14"/>
  <c r="AE89" i="14"/>
  <c r="AA21" i="14"/>
  <c r="AA11" i="14"/>
  <c r="AE132" i="14"/>
  <c r="AE110" i="14"/>
  <c r="Z178" i="14"/>
  <c r="Z170" i="14"/>
  <c r="Z158" i="14"/>
  <c r="Z130" i="14"/>
  <c r="AE139" i="14"/>
  <c r="AB81" i="14"/>
  <c r="AE137" i="14"/>
  <c r="AA7" i="14"/>
  <c r="AA5" i="14"/>
  <c r="AB13" i="14"/>
  <c r="Z42" i="14"/>
  <c r="Z34" i="14"/>
  <c r="Z30" i="14"/>
  <c r="Z26" i="14"/>
  <c r="Z22" i="14"/>
  <c r="Z16" i="14"/>
  <c r="Z12" i="14"/>
  <c r="Z6" i="14"/>
  <c r="AE183" i="14"/>
  <c r="AE179" i="14"/>
  <c r="AE175" i="14"/>
  <c r="AE169" i="14"/>
  <c r="AE167" i="14"/>
  <c r="AE157" i="14"/>
  <c r="AE153" i="14"/>
  <c r="AE147" i="14"/>
  <c r="AE143" i="14"/>
  <c r="AE135" i="14"/>
  <c r="AE131" i="14"/>
  <c r="AE127" i="14"/>
  <c r="AE121" i="14"/>
  <c r="AE117" i="14"/>
  <c r="AE109" i="14"/>
  <c r="AE105" i="14"/>
  <c r="AE97" i="14"/>
  <c r="AE85" i="14"/>
  <c r="AE81" i="14"/>
  <c r="AH77" i="14"/>
  <c r="AE77" i="14"/>
  <c r="AE73" i="14"/>
  <c r="AE67" i="14"/>
  <c r="AE61" i="14"/>
  <c r="AE59" i="14"/>
  <c r="AE51" i="14"/>
  <c r="AE45" i="14"/>
  <c r="AE35" i="14"/>
  <c r="AE31" i="14"/>
  <c r="AE27" i="14"/>
  <c r="AE23" i="14"/>
  <c r="AE19" i="14"/>
  <c r="AE15" i="14"/>
  <c r="AE13" i="14"/>
  <c r="AE7" i="14"/>
  <c r="AD121" i="14"/>
  <c r="AD183" i="14"/>
  <c r="AD179" i="14"/>
  <c r="AD175" i="14"/>
  <c r="AD169" i="14"/>
  <c r="AD167" i="14"/>
  <c r="AD127" i="14"/>
  <c r="AD119" i="14"/>
  <c r="AD85" i="14"/>
  <c r="AD67" i="14"/>
  <c r="AD59" i="14"/>
  <c r="AD37" i="14"/>
  <c r="AD15" i="14"/>
  <c r="AD11" i="14"/>
  <c r="Z44" i="14"/>
  <c r="Z36" i="14"/>
  <c r="Z28" i="14"/>
  <c r="Z20" i="14"/>
  <c r="Z14" i="14"/>
  <c r="AE181" i="14"/>
  <c r="AE173" i="14"/>
  <c r="AE163" i="14"/>
  <c r="AE155" i="14"/>
  <c r="AE141" i="14"/>
  <c r="AE133" i="14"/>
  <c r="AE123" i="14"/>
  <c r="AE115" i="14"/>
  <c r="AE107" i="14"/>
  <c r="AE99" i="14"/>
  <c r="AE93" i="14"/>
  <c r="AE83" i="14"/>
  <c r="AE75" i="14"/>
  <c r="AE69" i="14"/>
  <c r="AE55" i="14"/>
  <c r="AE47" i="14"/>
  <c r="AE39" i="14"/>
  <c r="AE33" i="14"/>
  <c r="AE25" i="14"/>
  <c r="AE11" i="14"/>
  <c r="AD177" i="14"/>
  <c r="AD23" i="14"/>
  <c r="Z38" i="14"/>
  <c r="Z32" i="14"/>
  <c r="Z24" i="14"/>
  <c r="Z10" i="14"/>
  <c r="AE177" i="14"/>
  <c r="AE171" i="14"/>
  <c r="AE165" i="14"/>
  <c r="AE159" i="14"/>
  <c r="AE151" i="14"/>
  <c r="AE145" i="14"/>
  <c r="AE129" i="14"/>
  <c r="AE125" i="14"/>
  <c r="AE119" i="14"/>
  <c r="AE111" i="14"/>
  <c r="AE103" i="14"/>
  <c r="AE95" i="14"/>
  <c r="AE87" i="14"/>
  <c r="AE79" i="14"/>
  <c r="AE71" i="14"/>
  <c r="AE63" i="14"/>
  <c r="AE57" i="14"/>
  <c r="AE49" i="14"/>
  <c r="AE37" i="14"/>
  <c r="AE29" i="14"/>
  <c r="AE21" i="14"/>
  <c r="AE9" i="14"/>
  <c r="AB179" i="14"/>
  <c r="AB177" i="14"/>
  <c r="AB143" i="14"/>
  <c r="AE72" i="14"/>
  <c r="AE64" i="14"/>
  <c r="AE56" i="14"/>
  <c r="AE50" i="14"/>
  <c r="AE44" i="14"/>
  <c r="AE34" i="14"/>
  <c r="AE26" i="14"/>
  <c r="AE18" i="14"/>
  <c r="AE12" i="14"/>
  <c r="AE6" i="14"/>
  <c r="AE68" i="14"/>
  <c r="AE62" i="14"/>
  <c r="AE58" i="14"/>
  <c r="AE52" i="14"/>
  <c r="AE46" i="14"/>
  <c r="AE36" i="14"/>
  <c r="AE30" i="14"/>
  <c r="AE28" i="14"/>
  <c r="AE22" i="14"/>
  <c r="AE16" i="14"/>
  <c r="AE10" i="14"/>
  <c r="AA4" i="14"/>
  <c r="AD120" i="14"/>
  <c r="AD114" i="14"/>
  <c r="AD110" i="14"/>
  <c r="AD106" i="14"/>
  <c r="AD102" i="14"/>
  <c r="AD98" i="14"/>
  <c r="AD94" i="14"/>
  <c r="AD90" i="14"/>
  <c r="AD86" i="14"/>
  <c r="AD82" i="14"/>
  <c r="AD76" i="14"/>
  <c r="AD72" i="14"/>
  <c r="AD66" i="14"/>
  <c r="AD60" i="14"/>
  <c r="AD54" i="14"/>
  <c r="AD52" i="14"/>
  <c r="AD48" i="14"/>
  <c r="AD46" i="14"/>
  <c r="AD44" i="14"/>
  <c r="AD40" i="14"/>
  <c r="AD38" i="14"/>
  <c r="AD36" i="14"/>
  <c r="AD34" i="14"/>
  <c r="AD32" i="14"/>
  <c r="AD30" i="14"/>
  <c r="AD28" i="14"/>
  <c r="AD26" i="14"/>
  <c r="AD24" i="14"/>
  <c r="AD22" i="14"/>
  <c r="AD20" i="14"/>
  <c r="AD18" i="14"/>
  <c r="AD16" i="14"/>
  <c r="AD14" i="14"/>
  <c r="AD10" i="14"/>
  <c r="AD6" i="14"/>
  <c r="AE70" i="14"/>
  <c r="AE66" i="14"/>
  <c r="AE60" i="14"/>
  <c r="AE54" i="14"/>
  <c r="AE48" i="14"/>
  <c r="AE38" i="14"/>
  <c r="AE32" i="14"/>
  <c r="AE24" i="14"/>
  <c r="AE20" i="14"/>
  <c r="AE14" i="14"/>
  <c r="AE8" i="14"/>
  <c r="AD118" i="14"/>
  <c r="AD116" i="14"/>
  <c r="AD112" i="14"/>
  <c r="AD43" i="14"/>
  <c r="AD35" i="14"/>
  <c r="AD115" i="14"/>
  <c r="AD107" i="14"/>
  <c r="AD108" i="14"/>
  <c r="AD104" i="14"/>
  <c r="AD100" i="14"/>
  <c r="AD96" i="14"/>
  <c r="AD92" i="14"/>
  <c r="AD84" i="14"/>
  <c r="AD78" i="14"/>
  <c r="AD74" i="14"/>
  <c r="AD70" i="14"/>
  <c r="AD62" i="14"/>
  <c r="AD58" i="14"/>
  <c r="AD50" i="14"/>
  <c r="AD42" i="14"/>
  <c r="AD8" i="14"/>
  <c r="AB4" i="14"/>
  <c r="AA176" i="14"/>
  <c r="AA174" i="14"/>
  <c r="AA170" i="14"/>
  <c r="AA168" i="14"/>
  <c r="AA166" i="14"/>
  <c r="AA164" i="14"/>
  <c r="AA162" i="14"/>
  <c r="AA160" i="14"/>
  <c r="AA158" i="14"/>
  <c r="AA156" i="14"/>
  <c r="AA152" i="14"/>
  <c r="AA150" i="14"/>
  <c r="AA148" i="14"/>
  <c r="AA144" i="14"/>
  <c r="AA140" i="14"/>
  <c r="AA138" i="14"/>
  <c r="AA136" i="14"/>
  <c r="AA132" i="14"/>
  <c r="AA128" i="14"/>
  <c r="AA126" i="14"/>
  <c r="AA120" i="14"/>
  <c r="AA116" i="14"/>
  <c r="AA114" i="14"/>
  <c r="AA108" i="14"/>
  <c r="AA106" i="14"/>
  <c r="AA104" i="14"/>
  <c r="AA102" i="14"/>
  <c r="AA100" i="14"/>
  <c r="AA98" i="14"/>
  <c r="AA96" i="14"/>
  <c r="AA94" i="14"/>
  <c r="AA92" i="14"/>
  <c r="AA90" i="14"/>
  <c r="AA88" i="14"/>
  <c r="AA86" i="14"/>
  <c r="AA84" i="14"/>
  <c r="AA82" i="14"/>
  <c r="AA80" i="14"/>
  <c r="AA76" i="14"/>
  <c r="AA74" i="14"/>
  <c r="AA46" i="14"/>
  <c r="AA38" i="14"/>
  <c r="AA34" i="14"/>
  <c r="AA26" i="14"/>
  <c r="AA20" i="14"/>
  <c r="AA16" i="14"/>
  <c r="AA12" i="14"/>
  <c r="AA10" i="14"/>
  <c r="AD173" i="14"/>
  <c r="AD171" i="14"/>
  <c r="AD165" i="14"/>
  <c r="AD163" i="14"/>
  <c r="AD161" i="14"/>
  <c r="AD159" i="14"/>
  <c r="AD157" i="14"/>
  <c r="AD155" i="14"/>
  <c r="AD153" i="14"/>
  <c r="AD151" i="14"/>
  <c r="AD149" i="14"/>
  <c r="AD147" i="14"/>
  <c r="AD145" i="14"/>
  <c r="AD143" i="14"/>
  <c r="AD141" i="14"/>
  <c r="AD139" i="14"/>
  <c r="AD137" i="14"/>
  <c r="AD135" i="14"/>
  <c r="AD133" i="14"/>
  <c r="AD131" i="14"/>
  <c r="AD129" i="14"/>
  <c r="AD125" i="14"/>
  <c r="AD123" i="14"/>
  <c r="AD117" i="14"/>
  <c r="AD113" i="14"/>
  <c r="AD111" i="14"/>
  <c r="AD105" i="14"/>
  <c r="AD103" i="14"/>
  <c r="AD101" i="14"/>
  <c r="AD99" i="14"/>
  <c r="AD95" i="14"/>
  <c r="AD93" i="14"/>
  <c r="AD91" i="14"/>
  <c r="AD89" i="14"/>
  <c r="AD87" i="14"/>
  <c r="AD83" i="14"/>
  <c r="AD81" i="14"/>
  <c r="AD79" i="14"/>
  <c r="AD77" i="14"/>
  <c r="AD75" i="14"/>
  <c r="AD73" i="14"/>
  <c r="AD71" i="14"/>
  <c r="AD69" i="14"/>
  <c r="AD65" i="14"/>
  <c r="AD63" i="14"/>
  <c r="AD61" i="14"/>
  <c r="AD57" i="14"/>
  <c r="AD53" i="14"/>
  <c r="AD51" i="14"/>
  <c r="AD49" i="14"/>
  <c r="AD45" i="14"/>
  <c r="AD41" i="14"/>
  <c r="AD39" i="14"/>
  <c r="AD33" i="14"/>
  <c r="AD29" i="14"/>
  <c r="AD27" i="14"/>
  <c r="AD21" i="14"/>
  <c r="AD19" i="14"/>
  <c r="AD13" i="14"/>
  <c r="AD9" i="14"/>
  <c r="AD7" i="14"/>
  <c r="AA6" i="14"/>
  <c r="AA28" i="14"/>
  <c r="AA62" i="14"/>
  <c r="AA70" i="14"/>
  <c r="AB183" i="14"/>
  <c r="AB181" i="14"/>
  <c r="AB175" i="14"/>
  <c r="AB173" i="14"/>
  <c r="AB171" i="14"/>
  <c r="AB169" i="14"/>
  <c r="AB163" i="14"/>
  <c r="AB161" i="14"/>
  <c r="AB159" i="14"/>
  <c r="AB157" i="14"/>
  <c r="AB153" i="14"/>
  <c r="AB151" i="14"/>
  <c r="AB149" i="14"/>
  <c r="AB147" i="14"/>
  <c r="AB145" i="14"/>
  <c r="AB141" i="14"/>
  <c r="AB137" i="14"/>
  <c r="AB131" i="14"/>
  <c r="AB129" i="14"/>
  <c r="AB119" i="14"/>
  <c r="AB107" i="14"/>
  <c r="AB77" i="14"/>
  <c r="AB71" i="14"/>
  <c r="AB69" i="14"/>
  <c r="AB65" i="14"/>
  <c r="AB59" i="14"/>
  <c r="AB57" i="14"/>
  <c r="AB53" i="14"/>
  <c r="AB47" i="14"/>
  <c r="AB45" i="14"/>
  <c r="AB21" i="14"/>
  <c r="AB17" i="14"/>
  <c r="AB7" i="14"/>
  <c r="AB5" i="14"/>
  <c r="AA22" i="14"/>
  <c r="AC118" i="14"/>
  <c r="AC116" i="14"/>
  <c r="AC110" i="14"/>
  <c r="AC106" i="14"/>
  <c r="AC104" i="14"/>
  <c r="AC98" i="14"/>
  <c r="AC94" i="14"/>
  <c r="AC92" i="14"/>
  <c r="AC86" i="14"/>
  <c r="AC82" i="14"/>
  <c r="AC80" i="14"/>
  <c r="AC74" i="14"/>
  <c r="AC70" i="14"/>
  <c r="AC68" i="14"/>
  <c r="AC62" i="14"/>
  <c r="AC58" i="14"/>
  <c r="AC56" i="14"/>
  <c r="AC50" i="14"/>
  <c r="AC46" i="14"/>
  <c r="AC44" i="14"/>
  <c r="AC38" i="14"/>
  <c r="AC34" i="14"/>
  <c r="AC32" i="14"/>
  <c r="AC26" i="14"/>
  <c r="AC6" i="14"/>
  <c r="AA78" i="14"/>
  <c r="AA72" i="14"/>
  <c r="AA68" i="14"/>
  <c r="AA66" i="14"/>
  <c r="AA60" i="14"/>
  <c r="AA56" i="14"/>
  <c r="AA54" i="14"/>
  <c r="AA48" i="14"/>
  <c r="AA44" i="14"/>
  <c r="AA42" i="14"/>
  <c r="AA36" i="14"/>
  <c r="AA32" i="14"/>
  <c r="AA30" i="14"/>
  <c r="AA24" i="14"/>
  <c r="AC125" i="14"/>
  <c r="AC123" i="14"/>
  <c r="AC113" i="14"/>
  <c r="AC111" i="14"/>
  <c r="AC101" i="14"/>
  <c r="AC99" i="14"/>
  <c r="AC89" i="14"/>
  <c r="AC87" i="14"/>
  <c r="AC77" i="14"/>
  <c r="AC75" i="14"/>
  <c r="AC65" i="14"/>
  <c r="AC63" i="14"/>
  <c r="AC53" i="14"/>
  <c r="AC51" i="14"/>
  <c r="AC41" i="14"/>
  <c r="AC39" i="14"/>
  <c r="AC29" i="14"/>
  <c r="AC27" i="14"/>
  <c r="AB139" i="14"/>
  <c r="AB135" i="14"/>
  <c r="AB133" i="14"/>
  <c r="AB127" i="14"/>
  <c r="AB123" i="14"/>
  <c r="AB121" i="14"/>
  <c r="AB115" i="14"/>
  <c r="AB111" i="14"/>
  <c r="AB109" i="14"/>
  <c r="AB103" i="14"/>
  <c r="AB99" i="14"/>
  <c r="AB97" i="14"/>
  <c r="AB91" i="14"/>
  <c r="AB87" i="14"/>
  <c r="AB85" i="14"/>
  <c r="AB79" i="14"/>
  <c r="AB75" i="14"/>
  <c r="AB73" i="14"/>
  <c r="AB67" i="14"/>
  <c r="AB63" i="14"/>
  <c r="AB61" i="14"/>
  <c r="AB55" i="14"/>
  <c r="AB51" i="14"/>
  <c r="AB49" i="14"/>
  <c r="AB43" i="14"/>
  <c r="AB39" i="14"/>
  <c r="AB37" i="14"/>
  <c r="AB31" i="14"/>
  <c r="AB27" i="14"/>
  <c r="AB25" i="14"/>
  <c r="AB19" i="14"/>
  <c r="AH29" i="14"/>
  <c r="AH47" i="14"/>
  <c r="AH182" i="14"/>
  <c r="AH178" i="14"/>
  <c r="AH176" i="14"/>
  <c r="AH174" i="14"/>
  <c r="AH172" i="14"/>
  <c r="AH170" i="14"/>
  <c r="AH168" i="14"/>
  <c r="AH166" i="14"/>
  <c r="AH164" i="14"/>
  <c r="AH160" i="14"/>
  <c r="AH158" i="14"/>
  <c r="AH156" i="14"/>
  <c r="AH154" i="14"/>
  <c r="AH152" i="14"/>
  <c r="AH150" i="14"/>
  <c r="AH148" i="14"/>
  <c r="AH146" i="14"/>
  <c r="AH142" i="14"/>
  <c r="AH140" i="14"/>
  <c r="AH138" i="14"/>
  <c r="AH136" i="14"/>
  <c r="AH134" i="14"/>
  <c r="AH132" i="14"/>
  <c r="AH130" i="14"/>
  <c r="AH128" i="14"/>
  <c r="AH124" i="14"/>
  <c r="AH122" i="14"/>
  <c r="AH120" i="14"/>
  <c r="AH114" i="14"/>
  <c r="AH23" i="14"/>
  <c r="AH59" i="14"/>
  <c r="P31" i="14"/>
  <c r="AH65" i="14"/>
  <c r="AH116" i="14"/>
  <c r="AH110" i="14"/>
  <c r="AH92" i="14"/>
  <c r="AH80" i="14"/>
  <c r="AH74" i="14"/>
  <c r="AH62" i="14"/>
  <c r="AH56" i="14"/>
  <c r="AH38" i="14"/>
  <c r="AH32" i="14"/>
  <c r="AH26" i="14"/>
  <c r="AH20" i="14"/>
  <c r="AH8" i="14"/>
  <c r="AH101" i="14"/>
  <c r="AH4" i="14"/>
  <c r="AH183" i="14"/>
  <c r="AH181" i="14"/>
  <c r="AH179" i="14"/>
  <c r="AH177" i="14"/>
  <c r="AH175" i="14"/>
  <c r="AH173" i="14"/>
  <c r="AH171" i="14"/>
  <c r="AH169" i="14"/>
  <c r="AH167" i="14"/>
  <c r="AH165" i="14"/>
  <c r="AH163" i="14"/>
  <c r="AH161" i="14"/>
  <c r="AH159" i="14"/>
  <c r="AH157" i="14"/>
  <c r="AH155" i="14"/>
  <c r="AH153" i="14"/>
  <c r="AH151" i="14"/>
  <c r="AH149" i="14"/>
  <c r="AH147" i="14"/>
  <c r="AH145" i="14"/>
  <c r="AH143" i="14"/>
  <c r="AH141" i="14"/>
  <c r="AH139" i="14"/>
  <c r="AH137" i="14"/>
  <c r="AH135" i="14"/>
  <c r="AH133" i="14"/>
  <c r="AH131" i="14"/>
  <c r="AH129" i="14"/>
  <c r="AH127" i="14"/>
  <c r="AH125" i="14"/>
  <c r="AH123" i="14"/>
  <c r="AH126" i="14"/>
  <c r="AH107" i="14"/>
  <c r="AH89" i="14"/>
  <c r="AH71" i="14"/>
  <c r="AH53" i="14"/>
  <c r="AH35" i="14"/>
  <c r="AH17" i="14"/>
  <c r="P33" i="14"/>
  <c r="P39" i="14"/>
  <c r="AD2" i="14" s="1"/>
  <c r="P40" i="14"/>
  <c r="AH112" i="14"/>
  <c r="AH86" i="14"/>
  <c r="AH68" i="14"/>
  <c r="AH83" i="14"/>
  <c r="AH5" i="14"/>
  <c r="AH11" i="14"/>
  <c r="P29" i="14"/>
  <c r="P30" i="14"/>
  <c r="Z2" i="14" s="1"/>
  <c r="P35" i="14"/>
  <c r="P41" i="14"/>
  <c r="P42" i="14"/>
  <c r="P47" i="14"/>
  <c r="AH104" i="14"/>
  <c r="AH44" i="14"/>
  <c r="AH95" i="14"/>
  <c r="AH41" i="14"/>
  <c r="AH118" i="14"/>
  <c r="AH98" i="14"/>
  <c r="AH50" i="14"/>
  <c r="AH14" i="14"/>
  <c r="P28" i="14"/>
  <c r="P34" i="14"/>
  <c r="P46" i="14"/>
  <c r="AH162" i="14"/>
  <c r="P45" i="14"/>
  <c r="P44" i="14"/>
  <c r="P43" i="14"/>
  <c r="AH121" i="14"/>
  <c r="AH117" i="14"/>
  <c r="AH84" i="14"/>
  <c r="AH36" i="14"/>
  <c r="AH102" i="14"/>
  <c r="AH66" i="14"/>
  <c r="AH24" i="14"/>
  <c r="AH42" i="14"/>
  <c r="AH96" i="14"/>
  <c r="AH54" i="14"/>
  <c r="AH12" i="14"/>
  <c r="AH108" i="14"/>
  <c r="AH90" i="14"/>
  <c r="AH78" i="14"/>
  <c r="AH72" i="14"/>
  <c r="AH60" i="14"/>
  <c r="AH48" i="14"/>
  <c r="AH30" i="14"/>
  <c r="AH18" i="14"/>
  <c r="AH6" i="14"/>
  <c r="AH113" i="14"/>
  <c r="AH106" i="14"/>
  <c r="AH100" i="14"/>
  <c r="AH94" i="14"/>
  <c r="AH88" i="14"/>
  <c r="AH82" i="14"/>
  <c r="AH76" i="14"/>
  <c r="AH70" i="14"/>
  <c r="AH64" i="14"/>
  <c r="AH58" i="14"/>
  <c r="AH52" i="14"/>
  <c r="AH46" i="14"/>
  <c r="AH40" i="14"/>
  <c r="AH34" i="14"/>
  <c r="AH28" i="14"/>
  <c r="AH22" i="14"/>
  <c r="AH16" i="14"/>
  <c r="AH10" i="14"/>
  <c r="AH109" i="14"/>
  <c r="AH105" i="14"/>
  <c r="AH97" i="14"/>
  <c r="AH93" i="14"/>
  <c r="AH85" i="14"/>
  <c r="AH81" i="14"/>
  <c r="AH75" i="14"/>
  <c r="AH69" i="14"/>
  <c r="AH63" i="14"/>
  <c r="AH57" i="14"/>
  <c r="AH49" i="14"/>
  <c r="AH33" i="14"/>
  <c r="P36" i="14"/>
  <c r="AA2" i="14" s="1"/>
  <c r="AH119" i="14"/>
  <c r="AH115" i="14"/>
  <c r="AH111" i="14"/>
  <c r="AH103" i="14"/>
  <c r="AH99" i="14"/>
  <c r="AH91" i="14"/>
  <c r="AH87" i="14"/>
  <c r="AH79" i="14"/>
  <c r="AH73" i="14"/>
  <c r="AH67" i="14"/>
  <c r="AH61" i="14"/>
  <c r="AH55" i="14"/>
  <c r="AH51" i="14"/>
  <c r="AH45" i="14"/>
  <c r="AH43" i="14"/>
  <c r="AH39" i="14"/>
  <c r="AH37" i="14"/>
  <c r="AH31" i="14"/>
  <c r="AH27" i="14"/>
  <c r="AH25" i="14"/>
  <c r="AH21" i="14"/>
  <c r="AH19" i="14"/>
  <c r="AH15" i="14"/>
  <c r="AH13" i="14"/>
  <c r="AH9" i="14"/>
  <c r="AH7" i="14"/>
  <c r="P32" i="14"/>
  <c r="P37" i="14"/>
  <c r="AB2" i="14" s="1"/>
  <c r="P38" i="14"/>
  <c r="P48" i="14"/>
  <c r="P49" i="14"/>
  <c r="AC2" i="14" s="1"/>
  <c r="AH144" i="14"/>
  <c r="AH180" i="14"/>
  <c r="H5" i="9"/>
  <c r="K5" i="9"/>
  <c r="J5" i="9"/>
  <c r="I5" i="9"/>
  <c r="Z28" i="5"/>
  <c r="Z30" i="5"/>
  <c r="Z29" i="5"/>
  <c r="X30" i="5"/>
  <c r="Y28" i="5"/>
  <c r="AB28" i="5" s="1"/>
  <c r="Y29" i="5"/>
  <c r="AB29" i="5" s="1"/>
  <c r="B19" i="5"/>
  <c r="B23" i="5" s="1"/>
  <c r="B27" i="5" s="1"/>
  <c r="B31" i="5" s="1"/>
  <c r="B35" i="5" s="1"/>
  <c r="B39" i="5" s="1"/>
  <c r="B43" i="5" s="1"/>
  <c r="B47" i="5" s="1"/>
  <c r="B51" i="5" s="1"/>
  <c r="B55" i="5" s="1"/>
  <c r="B59" i="5" s="1"/>
  <c r="B63" i="5" s="1"/>
  <c r="B67" i="5" s="1"/>
  <c r="B71" i="5" s="1"/>
  <c r="B75" i="5" s="1"/>
  <c r="B79" i="5" s="1"/>
  <c r="B83" i="5" s="1"/>
  <c r="B87" i="5" s="1"/>
  <c r="B91" i="5" s="1"/>
  <c r="B95" i="5" s="1"/>
  <c r="B99" i="5" s="1"/>
  <c r="B103" i="5" s="1"/>
  <c r="B107" i="5" s="1"/>
  <c r="B111" i="5" s="1"/>
  <c r="B115" i="5" s="1"/>
  <c r="B119" i="5" s="1"/>
  <c r="B123" i="5" s="1"/>
  <c r="B127" i="5" s="1"/>
  <c r="H6" i="5"/>
  <c r="I30" i="5"/>
  <c r="I18" i="5"/>
  <c r="H30" i="5"/>
  <c r="I10" i="5"/>
  <c r="I21" i="5"/>
  <c r="I31" i="5"/>
  <c r="I13" i="5"/>
  <c r="I7" i="5"/>
  <c r="H31" i="5"/>
  <c r="AA30" i="5" l="1"/>
  <c r="AR34" i="5"/>
  <c r="R31" i="5"/>
  <c r="U31" i="5" s="1"/>
  <c r="AV34" i="5"/>
  <c r="AW34" i="5" s="1"/>
  <c r="H10" i="5"/>
  <c r="J10" i="5" s="1"/>
  <c r="H15" i="5"/>
  <c r="I14" i="5"/>
  <c r="H9" i="5"/>
  <c r="H21" i="5"/>
  <c r="J21" i="5" s="1"/>
  <c r="I26" i="5"/>
  <c r="H27" i="5"/>
  <c r="H20" i="5"/>
  <c r="H26" i="5"/>
  <c r="I34" i="5"/>
  <c r="H14" i="5"/>
  <c r="H33" i="5"/>
  <c r="I22" i="5"/>
  <c r="I28" i="5"/>
  <c r="H32" i="5"/>
  <c r="H17" i="5"/>
  <c r="I33" i="5"/>
  <c r="H7" i="5"/>
  <c r="J7" i="5" s="1"/>
  <c r="I29" i="5"/>
  <c r="I11" i="5"/>
  <c r="AI38" i="5"/>
  <c r="AZ3" i="5"/>
  <c r="BA19" i="5" s="1"/>
  <c r="AJ38" i="5"/>
  <c r="AY3" i="5"/>
  <c r="AY19" i="5" s="1"/>
  <c r="AY4" i="5"/>
  <c r="AZ19" i="5" s="1"/>
  <c r="AN38" i="5"/>
  <c r="AZ4" i="5"/>
  <c r="BB19" i="5" s="1"/>
  <c r="AO35" i="5"/>
  <c r="AO38" i="5" s="1"/>
  <c r="AK35" i="5"/>
  <c r="AK38" i="5" s="1"/>
  <c r="Q34" i="5"/>
  <c r="T34" i="5" s="1"/>
  <c r="H5" i="5"/>
  <c r="I19" i="5"/>
  <c r="H22" i="5"/>
  <c r="H16" i="5"/>
  <c r="I25" i="5"/>
  <c r="I16" i="5"/>
  <c r="H34" i="5"/>
  <c r="I5" i="5"/>
  <c r="Q33" i="5"/>
  <c r="T33" i="5" s="1"/>
  <c r="H28" i="5"/>
  <c r="I20" i="5"/>
  <c r="H11" i="5"/>
  <c r="I6" i="5"/>
  <c r="J6" i="5" s="1"/>
  <c r="H8" i="5"/>
  <c r="I32" i="5"/>
  <c r="H29" i="5"/>
  <c r="H13" i="5"/>
  <c r="J13" i="5" s="1"/>
  <c r="I17" i="5"/>
  <c r="I24" i="5"/>
  <c r="I15" i="5"/>
  <c r="J15" i="5" s="1"/>
  <c r="H12" i="5"/>
  <c r="H23" i="5"/>
  <c r="H18" i="5"/>
  <c r="J18" i="5" s="1"/>
  <c r="I9" i="5"/>
  <c r="I23" i="5"/>
  <c r="H19" i="5"/>
  <c r="H25" i="5"/>
  <c r="I12" i="5"/>
  <c r="I8" i="5"/>
  <c r="I27" i="5"/>
  <c r="H24" i="5"/>
  <c r="Q32" i="5"/>
  <c r="T32" i="5" s="1"/>
  <c r="P31" i="5"/>
  <c r="P32" i="5"/>
  <c r="P34" i="5"/>
  <c r="P33" i="5"/>
  <c r="X29" i="5"/>
  <c r="X28" i="5"/>
  <c r="AA28" i="5" s="1"/>
  <c r="J30" i="5"/>
  <c r="J31" i="5"/>
  <c r="J28" i="5" l="1"/>
  <c r="J34" i="5"/>
  <c r="J20" i="5"/>
  <c r="J11" i="5"/>
  <c r="J27" i="5"/>
  <c r="AA29" i="5"/>
  <c r="J26" i="5"/>
  <c r="J14" i="5"/>
  <c r="J32" i="5"/>
  <c r="J9" i="5"/>
  <c r="J17" i="5"/>
  <c r="J33" i="5"/>
  <c r="J22" i="5"/>
  <c r="J8" i="5"/>
  <c r="J29" i="5"/>
  <c r="J12" i="5"/>
  <c r="J23" i="5"/>
  <c r="J5" i="5"/>
  <c r="J25" i="5"/>
  <c r="J16" i="5"/>
  <c r="J19" i="5"/>
  <c r="J24" i="5"/>
  <c r="S33" i="5"/>
  <c r="W33" i="5"/>
  <c r="Z33" i="5" s="1"/>
  <c r="S34" i="5"/>
  <c r="W34" i="5"/>
  <c r="Z34" i="5" s="1"/>
  <c r="S32" i="5"/>
  <c r="W32" i="5"/>
  <c r="Z32" i="5" s="1"/>
  <c r="S31" i="5"/>
  <c r="W31" i="5"/>
  <c r="AS34" i="5" l="1"/>
  <c r="BI5" i="5"/>
  <c r="Y34" i="5"/>
  <c r="AB34" i="5" s="1"/>
  <c r="Y32" i="5"/>
  <c r="AB32" i="5" s="1"/>
  <c r="Y33" i="5"/>
  <c r="Z31" i="5"/>
  <c r="Y31" i="5"/>
  <c r="BH5" i="5" l="1"/>
  <c r="BH6" i="5" s="1"/>
  <c r="BH7" i="5"/>
  <c r="AK34" i="5"/>
  <c r="X34" i="5"/>
  <c r="AA34" i="5" s="1"/>
  <c r="AB31" i="5"/>
  <c r="X31" i="5"/>
  <c r="AA31" i="5" s="1"/>
  <c r="AB33" i="5"/>
  <c r="X33" i="5"/>
  <c r="AA33" i="5" s="1"/>
  <c r="X32" i="5"/>
  <c r="AA32" i="5" s="1"/>
  <c r="AO34" i="5" l="1"/>
  <c r="AO37" i="5" s="1"/>
  <c r="AK37" i="5"/>
</calcChain>
</file>

<file path=xl/sharedStrings.xml><?xml version="1.0" encoding="utf-8"?>
<sst xmlns="http://schemas.openxmlformats.org/spreadsheetml/2006/main" count="1560" uniqueCount="943">
  <si>
    <t>Location</t>
  </si>
  <si>
    <t>Indicator</t>
  </si>
  <si>
    <t>Scenario</t>
  </si>
  <si>
    <t>Units</t>
  </si>
  <si>
    <t>Scale</t>
  </si>
  <si>
    <t>Measurement</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</si>
  <si>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</si>
  <si>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</si>
  <si>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</si>
  <si>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</si>
  <si>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</si>
  <si>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</si>
  <si>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</si>
  <si>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</si>
  <si>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</si>
  <si>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</si>
  <si>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</si>
  <si>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</si>
  <si>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</si>
  <si>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</si>
  <si>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</si>
  <si>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</si>
  <si>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</si>
  <si>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</si>
  <si>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</si>
  <si>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</si>
  <si>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</si>
  <si>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</si>
  <si>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</si>
  <si>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</si>
  <si>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</si>
  <si>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</si>
  <si>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</si>
  <si>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</si>
  <si>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</si>
  <si>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</si>
  <si>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</si>
  <si>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</si>
  <si>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</si>
  <si>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</si>
  <si>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</si>
  <si>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</si>
  <si>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</si>
  <si>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</si>
  <si>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</si>
  <si>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</si>
  <si>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</si>
  <si>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</si>
  <si>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</si>
  <si>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</si>
  <si>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</si>
  <si>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</si>
  <si>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</si>
  <si>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</si>
  <si>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</si>
  <si>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</si>
  <si>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</si>
  <si>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</si>
  <si>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</si>
  <si>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</si>
  <si>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</si>
  <si>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</si>
  <si>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</si>
  <si>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</si>
  <si>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</si>
  <si>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</si>
  <si>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</si>
  <si>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</si>
  <si>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</si>
  <si>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</si>
  <si>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</si>
  <si>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</si>
  <si>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</si>
  <si>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</si>
  <si>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</si>
  <si>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</si>
  <si>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</si>
  <si>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</si>
  <si>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</si>
  <si>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</si>
  <si>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</si>
  <si>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</si>
  <si>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</si>
  <si>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</si>
  <si>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</si>
  <si>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</si>
  <si>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</si>
  <si>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</si>
  <si>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</si>
  <si>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</si>
  <si>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</si>
  <si>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</si>
  <si>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</si>
  <si>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</si>
  <si>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</si>
  <si>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</si>
  <si>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</si>
  <si>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</si>
  <si>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</si>
  <si>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</si>
  <si>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</si>
  <si>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</si>
  <si>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</si>
  <si>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</si>
  <si>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</si>
  <si>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</si>
  <si>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</si>
  <si>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</si>
  <si>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</si>
  <si>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</si>
  <si>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</si>
  <si>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</si>
  <si>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</si>
  <si>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</si>
  <si>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</si>
  <si>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</si>
  <si>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</si>
  <si>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</si>
  <si>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</si>
  <si>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</si>
  <si>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</si>
  <si>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</si>
  <si>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</si>
  <si>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</si>
  <si>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</si>
  <si>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</si>
  <si>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</si>
  <si>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</si>
  <si>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</si>
  <si>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</si>
  <si>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</si>
  <si>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</si>
  <si>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</si>
  <si>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</si>
  <si>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</si>
  <si>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</si>
  <si>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</si>
  <si>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</si>
  <si>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</si>
  <si>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</si>
  <si>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</si>
  <si>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</si>
  <si>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</si>
  <si>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</si>
  <si>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</si>
  <si>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</si>
  <si>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</si>
  <si>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</si>
  <si>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</si>
  <si>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</si>
  <si>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</si>
  <si>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</si>
  <si>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</si>
  <si>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</si>
  <si>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</si>
  <si>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</si>
  <si>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</si>
  <si>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</si>
  <si>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</si>
  <si>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</si>
  <si>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</si>
  <si>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</si>
  <si>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</si>
  <si>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</si>
  <si>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</si>
  <si>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</si>
  <si>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</si>
  <si>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</si>
  <si>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</si>
  <si>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</si>
  <si>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</si>
  <si>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</si>
  <si>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</si>
  <si>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</si>
  <si>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</si>
  <si>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</si>
  <si>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</si>
  <si>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</si>
  <si>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</si>
  <si>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</si>
  <si>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</si>
  <si>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</si>
  <si>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</si>
  <si>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</si>
  <si>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</si>
  <si>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</si>
  <si>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</si>
  <si>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</si>
  <si>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</si>
  <si>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</si>
  <si>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</si>
  <si>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</si>
  <si>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</si>
  <si>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</si>
  <si>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</si>
  <si>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</si>
  <si>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</si>
  <si>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</si>
  <si>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</si>
  <si>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</si>
  <si>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</si>
  <si>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</si>
  <si>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</si>
  <si>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</si>
  <si>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</si>
  <si>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</si>
  <si>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</si>
  <si>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</si>
  <si>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</si>
  <si>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</si>
  <si>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</si>
  <si>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</si>
  <si>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</si>
  <si>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</si>
  <si>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</si>
  <si>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</si>
  <si>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</si>
  <si>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</si>
  <si>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</si>
  <si>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</si>
  <si>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</si>
  <si>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</si>
  <si>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</si>
  <si>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</si>
  <si>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</si>
  <si>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</si>
  <si>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</si>
  <si>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</si>
  <si>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</si>
  <si>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</si>
  <si>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</si>
  <si>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</si>
  <si>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</si>
  <si>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</si>
  <si>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</si>
  <si>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</si>
  <si>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</si>
  <si>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</si>
  <si>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</si>
  <si>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</si>
  <si>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</si>
  <si>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</si>
  <si>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</si>
  <si>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</si>
  <si>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</si>
  <si>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2032 Q4</t>
  </si>
  <si>
    <t>2033 Q1</t>
  </si>
  <si>
    <t>2033 Q2</t>
  </si>
  <si>
    <t>2033 Q3</t>
  </si>
  <si>
    <t>2033 Q4</t>
  </si>
  <si>
    <t>2034 Q1</t>
  </si>
  <si>
    <t>2034 Q2</t>
  </si>
  <si>
    <t>2034 Q3</t>
  </si>
  <si>
    <t>2034 Q4</t>
  </si>
  <si>
    <t>2035 Q1</t>
  </si>
  <si>
    <t>2035 Q2</t>
  </si>
  <si>
    <t>2035 Q3</t>
  </si>
  <si>
    <t>2035 Q4</t>
  </si>
  <si>
    <t>2036 Q1</t>
  </si>
  <si>
    <t>2036 Q2</t>
  </si>
  <si>
    <t>2036 Q3</t>
  </si>
  <si>
    <t>2036 Q4</t>
  </si>
  <si>
    <t>2037 Q1</t>
  </si>
  <si>
    <t>2037 Q2</t>
  </si>
  <si>
    <t>2037 Q3</t>
  </si>
  <si>
    <t>2037 Q4</t>
  </si>
  <si>
    <t>2038 Q1</t>
  </si>
  <si>
    <t>2038 Q2</t>
  </si>
  <si>
    <t>2038 Q3</t>
  </si>
  <si>
    <t>2038 Q4</t>
  </si>
  <si>
    <t>2039 Q1</t>
  </si>
  <si>
    <t>2039 Q2</t>
  </si>
  <si>
    <t>2039 Q3</t>
  </si>
  <si>
    <t>2039 Q4</t>
  </si>
  <si>
    <t>2040 Q1</t>
  </si>
  <si>
    <t>2040 Q2</t>
  </si>
  <si>
    <t>2040 Q3</t>
  </si>
  <si>
    <t>2040 Q4</t>
  </si>
  <si>
    <t>2041 Q1</t>
  </si>
  <si>
    <t>2041 Q2</t>
  </si>
  <si>
    <t>2041 Q3</t>
  </si>
  <si>
    <t>2041 Q4</t>
  </si>
  <si>
    <t>2042 Q1</t>
  </si>
  <si>
    <t>2042 Q2</t>
  </si>
  <si>
    <t>2042 Q3</t>
  </si>
  <si>
    <t>2042 Q4</t>
  </si>
  <si>
    <t>2043 Q1</t>
  </si>
  <si>
    <t>2043 Q2</t>
  </si>
  <si>
    <t>2043 Q3</t>
  </si>
  <si>
    <t>2043 Q4</t>
  </si>
  <si>
    <t>2044 Q1</t>
  </si>
  <si>
    <t>2044 Q2</t>
  </si>
  <si>
    <t>2044 Q3</t>
  </si>
  <si>
    <t>2044 Q4</t>
  </si>
  <si>
    <t>2045 Q1</t>
  </si>
  <si>
    <t>2045 Q2</t>
  </si>
  <si>
    <t>2045 Q3</t>
  </si>
  <si>
    <t>2045 Q4</t>
  </si>
  <si>
    <t>2046 Q1</t>
  </si>
  <si>
    <t>2046 Q2</t>
  </si>
  <si>
    <t>2046 Q3</t>
  </si>
  <si>
    <t>2046 Q4</t>
  </si>
  <si>
    <t>2047 Q1</t>
  </si>
  <si>
    <t>2047 Q2</t>
  </si>
  <si>
    <t>2047 Q3</t>
  </si>
  <si>
    <t>2047 Q4</t>
  </si>
  <si>
    <t>2048 Q1</t>
  </si>
  <si>
    <t>2048 Q2</t>
  </si>
  <si>
    <t>2048 Q3</t>
  </si>
  <si>
    <t>2048 Q4</t>
  </si>
  <si>
    <t>2049 Q1</t>
  </si>
  <si>
    <t>2049 Q2</t>
  </si>
  <si>
    <t>2049 Q3</t>
  </si>
  <si>
    <t>2049 Q4</t>
  </si>
  <si>
    <t>2050 Q1</t>
  </si>
  <si>
    <t>2050 Q2</t>
  </si>
  <si>
    <t>2050 Q3</t>
  </si>
  <si>
    <t>2050 Q4</t>
  </si>
  <si>
    <t>2051 Q1</t>
  </si>
  <si>
    <t>2051 Q2</t>
  </si>
  <si>
    <t>2051 Q3</t>
  </si>
  <si>
    <t>2051 Q4</t>
  </si>
  <si>
    <t>2052 Q1</t>
  </si>
  <si>
    <t>2052 Q2</t>
  </si>
  <si>
    <t>2052 Q3</t>
  </si>
  <si>
    <t>2052 Q4</t>
  </si>
  <si>
    <t>2053 Q1</t>
  </si>
  <si>
    <t>2053 Q2</t>
  </si>
  <si>
    <t>2053 Q3</t>
  </si>
  <si>
    <t>2053 Q4</t>
  </si>
  <si>
    <t>2054 Q1</t>
  </si>
  <si>
    <t>2054 Q2</t>
  </si>
  <si>
    <t>2054 Q3</t>
  </si>
  <si>
    <t>2054 Q4</t>
  </si>
  <si>
    <t>2055 Q1</t>
  </si>
  <si>
    <t>2055 Q2</t>
  </si>
  <si>
    <t>2055 Q3</t>
  </si>
  <si>
    <t>2055 Q4</t>
  </si>
  <si>
    <t>2056 Q1</t>
  </si>
  <si>
    <t>2056 Q2</t>
  </si>
  <si>
    <t>2056 Q3</t>
  </si>
  <si>
    <t>2056 Q4</t>
  </si>
  <si>
    <t>2057 Q1</t>
  </si>
  <si>
    <t>2057 Q2</t>
  </si>
  <si>
    <t>2057 Q3</t>
  </si>
  <si>
    <t>2057 Q4</t>
  </si>
  <si>
    <t>2058 Q1</t>
  </si>
  <si>
    <t>2058 Q2</t>
  </si>
  <si>
    <t>2058 Q3</t>
  </si>
  <si>
    <t>2058 Q4</t>
  </si>
  <si>
    <t>2059 Q1</t>
  </si>
  <si>
    <t>2059 Q2</t>
  </si>
  <si>
    <t>2059 Q3</t>
  </si>
  <si>
    <t>2059 Q4</t>
  </si>
  <si>
    <t>2060 Q1</t>
  </si>
  <si>
    <t>2060 Q2</t>
  </si>
  <si>
    <t>2060 Q3</t>
  </si>
  <si>
    <t>2060 Q4</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</si>
  <si>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</si>
  <si>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</si>
  <si>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</si>
  <si>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</si>
  <si>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</si>
  <si>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</si>
  <si>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</si>
  <si>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</si>
  <si>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</si>
  <si>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</si>
  <si>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</si>
  <si>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</si>
  <si>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</si>
  <si>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GDP, nominal, LCU</t>
  </si>
  <si>
    <t>FEB021B</t>
  </si>
  <si>
    <t>Pound</t>
  </si>
  <si>
    <t>Millions</t>
  </si>
  <si>
    <t>Level</t>
  </si>
  <si>
    <t>Office for National Statistics\Haver Analytics</t>
  </si>
  <si>
    <t>NA</t>
  </si>
  <si>
    <t>YBHAQ@UK</t>
  </si>
  <si>
    <t xml:space="preserve">U.K.: Gross Domestic Product (SA, Mil.Pounds) </t>
  </si>
  <si>
    <t>GBR</t>
  </si>
  <si>
    <t>GDP!</t>
  </si>
  <si>
    <t>FEB021B.db</t>
  </si>
  <si>
    <t>Public sector current balance</t>
  </si>
  <si>
    <t>ANMUQ@UK</t>
  </si>
  <si>
    <t xml:space="preserve">UK: Public Sector: Current Budget Surplus/Deficit (NSA, Mil.GBP) </t>
  </si>
  <si>
    <t>PSCB</t>
  </si>
  <si>
    <t>CY</t>
  </si>
  <si>
    <t>FY</t>
  </si>
  <si>
    <t>Nominal GDP</t>
  </si>
  <si>
    <t>Current balance</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</si>
  <si>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</si>
  <si>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</si>
  <si>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</si>
  <si>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</si>
  <si>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</si>
  <si>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</si>
  <si>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</si>
  <si>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</si>
  <si>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</si>
  <si>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</si>
  <si>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</si>
  <si>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</si>
  <si>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</si>
  <si>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</si>
  <si>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</si>
  <si>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</si>
  <si>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</si>
  <si>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</si>
  <si>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</si>
  <si>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</si>
  <si>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</si>
  <si>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</si>
  <si>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</si>
  <si>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</si>
  <si>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</si>
  <si>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2025-26</t>
  </si>
  <si>
    <t>2026-27</t>
  </si>
  <si>
    <t>2027-28</t>
  </si>
  <si>
    <t>2028-29</t>
  </si>
  <si>
    <t>2029-30</t>
  </si>
  <si>
    <t>% of GDP</t>
  </si>
  <si>
    <t>£ billion</t>
  </si>
  <si>
    <t>Receipts and expenditure</t>
  </si>
  <si>
    <t>Deficit</t>
  </si>
  <si>
    <t>Fiscal targets</t>
  </si>
  <si>
    <t>Financing</t>
  </si>
  <si>
    <t>Other Debt and Deficit measures</t>
  </si>
  <si>
    <t>Economic indicators</t>
  </si>
  <si>
    <t>Public sector current receipts</t>
  </si>
  <si>
    <t>Total managed expenditure</t>
  </si>
  <si>
    <t>Public sector current expenditure</t>
  </si>
  <si>
    <t>Public sector net investment</t>
  </si>
  <si>
    <t>Depreciation</t>
  </si>
  <si>
    <t>Public sector gross investment</t>
  </si>
  <si>
    <t>National account taxes</t>
  </si>
  <si>
    <t>Cyclically-adjusted current budget deficit</t>
  </si>
  <si>
    <t>Primary balance</t>
  </si>
  <si>
    <t>Cyclically-adjusted primary balance</t>
  </si>
  <si>
    <t>Cyclically-adjusted net borrowing</t>
  </si>
  <si>
    <t>Public sector net borrowing</t>
  </si>
  <si>
    <t>Current budget deficit</t>
  </si>
  <si>
    <t>Public sector net financial liabilities</t>
  </si>
  <si>
    <t>Central government net cash requirement</t>
  </si>
  <si>
    <t>Public sector net cash requirement</t>
  </si>
  <si>
    <t>Central government debt interest, net of APF</t>
  </si>
  <si>
    <t>Public sector net debt</t>
  </si>
  <si>
    <t>Public Sector Net Debt ex BoE</t>
  </si>
  <si>
    <t>Public sector net worth (inverted)</t>
  </si>
  <si>
    <t>General government net borrowing</t>
  </si>
  <si>
    <t>Cyclically-adjusted general government net borrowing</t>
  </si>
  <si>
    <t>General Government Gross Debt</t>
  </si>
  <si>
    <t>Nominal GDP (£ billion)</t>
  </si>
  <si>
    <t>Nominal GDP, centred end-March (£ billion)</t>
  </si>
  <si>
    <t>Output gap (per cent of GDP)</t>
  </si>
  <si>
    <t>GDP Deflator (2023-24=100)</t>
  </si>
  <si>
    <t>ONS code</t>
  </si>
  <si>
    <t>JW2O</t>
  </si>
  <si>
    <t>KX5Q</t>
  </si>
  <si>
    <t>JW2Q</t>
  </si>
  <si>
    <t>-JW2Z</t>
  </si>
  <si>
    <t>-JW2S</t>
  </si>
  <si>
    <t>(J5II+JW2P-JW2L+JW2M)</t>
  </si>
  <si>
    <t>-J5II</t>
  </si>
  <si>
    <t>-JW2T</t>
  </si>
  <si>
    <t>RUUW</t>
  </si>
  <si>
    <t>JW38</t>
  </si>
  <si>
    <t>NMFX+MU74</t>
  </si>
  <si>
    <t>HF6W</t>
  </si>
  <si>
    <t>CPPH</t>
  </si>
  <si>
    <t>-NNBK</t>
  </si>
  <si>
    <t>BKPX</t>
  </si>
  <si>
    <t>BKTL</t>
  </si>
  <si>
    <t>YBGB</t>
  </si>
  <si>
    <t>Derivation</t>
  </si>
  <si>
    <t>a</t>
  </si>
  <si>
    <t>b</t>
  </si>
  <si>
    <t>c</t>
  </si>
  <si>
    <t>d</t>
  </si>
  <si>
    <t>e</t>
  </si>
  <si>
    <t>(c+d+e)</t>
  </si>
  <si>
    <t>(d+e)</t>
  </si>
  <si>
    <t>(b-a)</t>
  </si>
  <si>
    <t>(c+e-a)</t>
  </si>
  <si>
    <t>1946-47</t>
  </si>
  <si>
    <t>-</t>
  </si>
  <si>
    <t>1947-48</t>
  </si>
  <si>
    <t>1948-49</t>
  </si>
  <si>
    <t>1949-50</t>
  </si>
  <si>
    <t>1950-51</t>
  </si>
  <si>
    <t>1951-52</t>
  </si>
  <si>
    <t>1952-53</t>
  </si>
  <si>
    <t>1953-54</t>
  </si>
  <si>
    <t>1954-55</t>
  </si>
  <si>
    <t>1955-56</t>
  </si>
  <si>
    <t>1956-57</t>
  </si>
  <si>
    <t>1957-58</t>
  </si>
  <si>
    <t>1958-59</t>
  </si>
  <si>
    <t>1959-60</t>
  </si>
  <si>
    <t>1960-61</t>
  </si>
  <si>
    <t>1961-62</t>
  </si>
  <si>
    <t>1962-63</t>
  </si>
  <si>
    <t>1963-64</t>
  </si>
  <si>
    <t>1964-65</t>
  </si>
  <si>
    <t>1965-66</t>
  </si>
  <si>
    <t>1966-67</t>
  </si>
  <si>
    <t>1967-68</t>
  </si>
  <si>
    <t>1968-69</t>
  </si>
  <si>
    <t>1969-70</t>
  </si>
  <si>
    <t>1970-71</t>
  </si>
  <si>
    <t>1971-72</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</si>
  <si>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</si>
  <si>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</si>
  <si>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</si>
  <si>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</si>
  <si>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</si>
  <si>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</si>
  <si>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</si>
  <si>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</si>
  <si>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</si>
  <si>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</si>
  <si>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</si>
  <si>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</si>
  <si>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</si>
  <si>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</si>
  <si>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</si>
  <si>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</si>
  <si>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</si>
  <si>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</si>
  <si>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</si>
  <si>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</si>
  <si>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</si>
  <si>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</si>
  <si>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</si>
  <si>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</si>
  <si>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</si>
  <si>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</si>
  <si>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</si>
  <si>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</si>
  <si>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 xml:space="preserve">Notes: </t>
  </si>
  <si>
    <t xml:space="preserve">Outturn fiscal data consistent with the ONS/HM Treasury Public Sector Finances Statistical Bulletin released on 22 January 2025. </t>
  </si>
  <si>
    <r>
      <t xml:space="preserve">Forecast years from 2024-25 are consistent with the OBR </t>
    </r>
    <r>
      <rPr>
        <i/>
        <sz val="10"/>
        <color indexed="8"/>
        <rFont val="Calibri"/>
        <family val="2"/>
      </rPr>
      <t>Economic and fiscal outlook</t>
    </r>
    <r>
      <rPr>
        <sz val="10"/>
        <color indexed="8"/>
        <rFont val="Calibri"/>
        <family val="2"/>
      </rPr>
      <t xml:space="preserve"> forecast published October 2024.</t>
    </r>
  </si>
  <si>
    <t>A full list of sources is available in the glossary.</t>
  </si>
  <si>
    <t>Cyclically adjusted aggregates are OBR calculations based on estimates of the size of the output gap. For more information see Working paper No. 3: Cyclically-adjusting the public finances (https://obr.uk/download/working-paper-no-3-cyclically-adjusting-the-public-finances/)</t>
  </si>
  <si>
    <t>OE</t>
  </si>
  <si>
    <t>OBR</t>
  </si>
  <si>
    <t>DEL</t>
  </si>
  <si>
    <t>RDEL</t>
  </si>
  <si>
    <t>CDEL</t>
  </si>
  <si>
    <t>Table 1 : Defence expenditure</t>
  </si>
  <si>
    <t>Million national currency units</t>
  </si>
  <si>
    <t>2019</t>
  </si>
  <si>
    <t>2023e</t>
  </si>
  <si>
    <t>2024e</t>
  </si>
  <si>
    <t>Current prices</t>
  </si>
  <si>
    <t>Albania   (Leks)</t>
  </si>
  <si>
    <t>Belgium   (Euros)</t>
  </si>
  <si>
    <t>Bulgaria   (Leva)</t>
  </si>
  <si>
    <t>Canada   (Canadian dollars)</t>
  </si>
  <si>
    <t>Croatia   (Euros)</t>
  </si>
  <si>
    <t>Czechia*   (Koruny)</t>
  </si>
  <si>
    <t>Denmark   (Kroner)</t>
  </si>
  <si>
    <t>Estonia*   (Euros)</t>
  </si>
  <si>
    <t>Finland   (Euros)</t>
  </si>
  <si>
    <t>France   (Euros)</t>
  </si>
  <si>
    <t>Germany   (Euros)</t>
  </si>
  <si>
    <t>Greece   (Euros)</t>
  </si>
  <si>
    <t>Hungary   (Forint)</t>
  </si>
  <si>
    <t>Italy   (Euros)</t>
  </si>
  <si>
    <t>Latvia*   (Euros)</t>
  </si>
  <si>
    <t>Lithuania*   (Euros)</t>
  </si>
  <si>
    <t>Luxembourg   (Euros)</t>
  </si>
  <si>
    <t>Montenegro   (Euros)</t>
  </si>
  <si>
    <t>Netherlands   (Euros)</t>
  </si>
  <si>
    <t>North Macedonia   (Denars)</t>
  </si>
  <si>
    <t>Norway   (Kroner)</t>
  </si>
  <si>
    <t>Poland*   (Zlotys)</t>
  </si>
  <si>
    <t>Portugal   (Euros)</t>
  </si>
  <si>
    <t>Romania*   (New Lei)</t>
  </si>
  <si>
    <t>Slovak Republic   (Euros)</t>
  </si>
  <si>
    <t>Slovenia   (Euros)</t>
  </si>
  <si>
    <t>Spain   (Euros)</t>
  </si>
  <si>
    <t>Sweden   (Kronor)</t>
  </si>
  <si>
    <t>Türkiye   (Liras)</t>
  </si>
  <si>
    <t>United Kingdom   (Pounds)</t>
  </si>
  <si>
    <t>United States   (US dollars)</t>
  </si>
  <si>
    <t xml:space="preserve">Constant 2015 prices </t>
  </si>
  <si>
    <t xml:space="preserve">Notes: Figures for 2023 and 2024 are estimates. </t>
  </si>
  <si>
    <t>*  These Allies have national laws or political agreements which call for 2% of GDP or more to be spent on defence annually, consequently future estimates are expected to change accordingly. For past years Allies defence spending was based on the then available GDP data and Allies may, therefore, have met the 2% guideline when using those figures. (In 2018 and 2021, Lithuania met 2% using November 2018 and June 2021 OECD figures respectively).</t>
  </si>
  <si>
    <t>-7-</t>
  </si>
  <si>
    <t>Red Book</t>
  </si>
  <si>
    <t>NATO spending</t>
  </si>
  <si>
    <t>Table 3 : Defence expenditure as a share of GDP and annual real change</t>
  </si>
  <si>
    <t>Based on 2015 prices</t>
  </si>
  <si>
    <t>Share of real GDP (%)</t>
  </si>
  <si>
    <t>Albania</t>
  </si>
  <si>
    <t>Belgium</t>
  </si>
  <si>
    <t>Bulgaria</t>
  </si>
  <si>
    <t>Canada</t>
  </si>
  <si>
    <t>Croatia</t>
  </si>
  <si>
    <t>Czechia*</t>
  </si>
  <si>
    <t>Denmark</t>
  </si>
  <si>
    <t>Estonia*</t>
  </si>
  <si>
    <t>Finland</t>
  </si>
  <si>
    <t>France</t>
  </si>
  <si>
    <t>Germany</t>
  </si>
  <si>
    <t>Greece</t>
  </si>
  <si>
    <t>Hungary</t>
  </si>
  <si>
    <t>Italy</t>
  </si>
  <si>
    <t>Latvia*</t>
  </si>
  <si>
    <t>Lithuania*</t>
  </si>
  <si>
    <t>Luxembourg</t>
  </si>
  <si>
    <t>Montenegro</t>
  </si>
  <si>
    <t>Netherlands</t>
  </si>
  <si>
    <t>North Macedonia</t>
  </si>
  <si>
    <t>Norway</t>
  </si>
  <si>
    <t>Poland*</t>
  </si>
  <si>
    <t>Portugal</t>
  </si>
  <si>
    <t>Romania*</t>
  </si>
  <si>
    <t>Slovak Republic</t>
  </si>
  <si>
    <t>Slovenia</t>
  </si>
  <si>
    <t>Spain</t>
  </si>
  <si>
    <t>Sweden</t>
  </si>
  <si>
    <t>Türkiye</t>
  </si>
  <si>
    <t>United States</t>
  </si>
  <si>
    <t>NATO Europe and Canada</t>
  </si>
  <si>
    <t>NATO Total</t>
  </si>
  <si>
    <t>Annual real change (%)</t>
  </si>
  <si>
    <t>Notes: Figures for 2023 and 2024 are estimates. The NATO Europe and Canada and NATO Total aggregates from 2017 onwards include Montenegro, which became an Ally on 5 June 2017, from 2020 onwards include North Macedonia, which became an Ally on 27 March 2020, from 2023 onwards include Finland, which became an Ally on 4 April 2023 and from 2024 onwards include Sweden, which became an Ally on 7 March 2024.</t>
  </si>
  <si>
    <t xml:space="preserve">*  These Allies have national laws or political agreements which call for 2% of GDP or more to be spent on defence annually, consequently future estimates are expected to change accordingly. For past years Allies defence spending was based on the then available GDP data and Allies may, therefore, have met the 2% guideline when using those figures. (In 2018 and 2021, Lithuania met 2% using November 2018 and June 2021 OECD figures respectively). </t>
  </si>
  <si>
    <t>-9-</t>
  </si>
  <si>
    <t>UK</t>
  </si>
  <si>
    <t>US</t>
  </si>
  <si>
    <t>NATO</t>
  </si>
  <si>
    <t>K23W@UK</t>
  </si>
  <si>
    <t>K23X@UK</t>
  </si>
  <si>
    <t>SIC (07) Section</t>
  </si>
  <si>
    <t>SIC Group</t>
  </si>
  <si>
    <t>Description</t>
  </si>
  <si>
    <t xml:space="preserve">2013/14
</t>
  </si>
  <si>
    <t xml:space="preserve">2014/15
</t>
  </si>
  <si>
    <t xml:space="preserve">2015/16
</t>
  </si>
  <si>
    <t xml:space="preserve">2016/17
</t>
  </si>
  <si>
    <t xml:space="preserve">2017/18
</t>
  </si>
  <si>
    <t xml:space="preserve">2018/19
</t>
  </si>
  <si>
    <t xml:space="preserve">2019/20
</t>
  </si>
  <si>
    <t>2020/21
[b]</t>
  </si>
  <si>
    <t xml:space="preserve">2021/22
</t>
  </si>
  <si>
    <t xml:space="preserve">2022/23
</t>
  </si>
  <si>
    <t xml:space="preserve">2023/24
</t>
  </si>
  <si>
    <t>UK Total</t>
  </si>
  <si>
    <t>A, B</t>
  </si>
  <si>
    <t>1 to 4</t>
  </si>
  <si>
    <t>Agriculture, Fishing and Mining</t>
  </si>
  <si>
    <t>C</t>
  </si>
  <si>
    <t>5 to 19, 18a, 18b, 21, 30, 31</t>
  </si>
  <si>
    <t>Manufacturing, excluding those industries itemised below</t>
  </si>
  <si>
    <t>20</t>
  </si>
  <si>
    <t>Weapons and Ammunition 
(incl. Armoured Fighting Vehicles)</t>
  </si>
  <si>
    <t>22</t>
  </si>
  <si>
    <t>Data Processing Equipment</t>
  </si>
  <si>
    <t>23</t>
  </si>
  <si>
    <t>Other Electrical Engineering</t>
  </si>
  <si>
    <t>24</t>
  </si>
  <si>
    <t>Electronics</t>
  </si>
  <si>
    <t>25</t>
  </si>
  <si>
    <t>Precision Instruments</t>
  </si>
  <si>
    <t>26, 28</t>
  </si>
  <si>
    <t>Motor Vehicles and Parts</t>
  </si>
  <si>
    <t>27</t>
  </si>
  <si>
    <t>Shipbuilding and Repairing 
(incl. Submarines)</t>
  </si>
  <si>
    <t>29</t>
  </si>
  <si>
    <t>Aircraft and Spacecraft</t>
  </si>
  <si>
    <t>D, E</t>
  </si>
  <si>
    <t>32, 33, 34</t>
  </si>
  <si>
    <t>Electricity, Gas and Water</t>
  </si>
  <si>
    <t>F</t>
  </si>
  <si>
    <t>35</t>
  </si>
  <si>
    <t>Construction</t>
  </si>
  <si>
    <t>G</t>
  </si>
  <si>
    <t>36</t>
  </si>
  <si>
    <t>Wholesale and Retail Trade; Repair of Motor Vehicles</t>
  </si>
  <si>
    <t>H, I, J</t>
  </si>
  <si>
    <t>37</t>
  </si>
  <si>
    <t>Hotels, Catering and Restaurants</t>
  </si>
  <si>
    <t>38</t>
  </si>
  <si>
    <t>Transport via Railways</t>
  </si>
  <si>
    <t>39</t>
  </si>
  <si>
    <t>Other Land Transport (incl. via Pipelines)</t>
  </si>
  <si>
    <t>40</t>
  </si>
  <si>
    <t>Water, Air and Auxiliary/Freight Supply Transportation</t>
  </si>
  <si>
    <t>41</t>
  </si>
  <si>
    <t>Post and Courier Services</t>
  </si>
  <si>
    <t>42</t>
  </si>
  <si>
    <t>Telecommunications</t>
  </si>
  <si>
    <t>K, L, M, N, O, P, Q, R, S, T</t>
  </si>
  <si>
    <t>43, 46 to 52</t>
  </si>
  <si>
    <t>Technical and Financial Services, Business Activities,
Education, Health and Other Service Activities
excluding those industries itemised below</t>
  </si>
  <si>
    <t>44</t>
  </si>
  <si>
    <t>Real Estate and Renting</t>
  </si>
  <si>
    <t>45</t>
  </si>
  <si>
    <t>Computer Services</t>
  </si>
  <si>
    <t>S2LF@UK</t>
  </si>
  <si>
    <t>ECY9@UK</t>
  </si>
  <si>
    <t>ECY2@UK</t>
  </si>
  <si>
    <t>201001 !M</t>
  </si>
  <si>
    <t>201001</t>
  </si>
  <si>
    <t>.DTLM</t>
  </si>
  <si>
    <t>.TN</t>
  </si>
  <si>
    <t>.T1</t>
  </si>
  <si>
    <t>.DESC</t>
  </si>
  <si>
    <t>Jan-1997</t>
  </si>
  <si>
    <t>Feb-13-2025 07:05</t>
  </si>
  <si>
    <t>Dec-2024</t>
  </si>
  <si>
    <t>UK: Industrial Production: Building of Ships &amp; Boats(SA, 2022=100)</t>
  </si>
  <si>
    <t>UK: Industrial Production: Air &amp; Spacecraft &amp; Related Machinery(SA, 2022=100)</t>
  </si>
  <si>
    <t>Feb-13-2025 07:03</t>
  </si>
  <si>
    <t>UK: Idx of Svcs: Comp Programming/Consultancy &amp; Related Activities(SA, 2022=100)</t>
  </si>
  <si>
    <t>Feb-13-2025 07:02</t>
  </si>
  <si>
    <t>UK: Gross Value Added Chained Volume Index: Construction (SA, 2022=100)</t>
  </si>
  <si>
    <t>UK: Gross Value Added Chained Volume Index (SA, 2022=100)</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</si>
  <si>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</si>
  <si>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</si>
  <si>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</si>
  <si>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</si>
  <si>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</si>
  <si>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</si>
  <si>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</si>
  <si>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</si>
  <si>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</si>
  <si>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</si>
  <si>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</si>
  <si>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</si>
  <si>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</si>
  <si>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</si>
  <si>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</si>
  <si>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</si>
  <si>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</si>
  <si>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</si>
  <si>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</si>
  <si>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</si>
  <si>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</si>
  <si>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</si>
  <si>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</si>
  <si>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</si>
  <si>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</si>
  <si>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</si>
  <si>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</si>
  <si>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</si>
  <si>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</si>
  <si>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</si>
  <si>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</si>
  <si>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</si>
  <si>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</si>
  <si>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</si>
  <si>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</si>
  <si>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</si>
  <si>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</si>
  <si>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</si>
  <si>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</si>
  <si>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</si>
  <si>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</si>
  <si>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</si>
  <si>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</si>
  <si>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</si>
  <si>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</si>
  <si>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</si>
  <si>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</si>
  <si>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</si>
  <si>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</si>
  <si>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</si>
  <si>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</si>
  <si>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</si>
  <si>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</si>
  <si>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</si>
  <si>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</si>
  <si>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</si>
  <si>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</si>
  <si>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</si>
  <si>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</si>
  <si>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</si>
  <si>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</si>
  <si>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</si>
  <si>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</si>
  <si>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</si>
  <si>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</si>
  <si>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</si>
  <si>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</si>
  <si>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</si>
  <si>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</si>
  <si>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</si>
  <si>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</si>
  <si>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</si>
  <si>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</si>
  <si>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</si>
  <si>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</si>
  <si>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</si>
  <si>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</si>
  <si>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</si>
  <si>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</si>
  <si>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</si>
  <si>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</si>
  <si>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</si>
  <si>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</si>
  <si>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</si>
  <si>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</si>
  <si>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</si>
  <si>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</si>
  <si>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</si>
  <si>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</si>
  <si>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</si>
  <si>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</si>
  <si>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</si>
  <si>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</si>
  <si>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</si>
  <si>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</si>
  <si>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</si>
  <si>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</si>
  <si>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</si>
  <si>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</si>
  <si>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</si>
  <si>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</si>
  <si>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</si>
  <si>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</si>
  <si>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</si>
  <si>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</si>
  <si>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</si>
  <si>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</si>
  <si>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</si>
  <si>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</si>
  <si>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</si>
  <si>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</si>
  <si>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</si>
  <si>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</si>
  <si>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</si>
  <si>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</si>
  <si>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</si>
  <si>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</si>
  <si>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</si>
  <si>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</si>
  <si>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</si>
  <si>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</si>
  <si>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</si>
  <si>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</si>
  <si>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</si>
  <si>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</si>
  <si>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</si>
  <si>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</si>
  <si>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</si>
  <si>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</si>
  <si>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</si>
  <si>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</si>
  <si>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</si>
  <si>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</si>
  <si>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</si>
  <si>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</si>
  <si>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</si>
  <si>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</si>
  <si>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</si>
  <si>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</si>
  <si>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</si>
  <si>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</si>
  <si>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</si>
  <si>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</si>
  <si>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</si>
  <si>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</si>
  <si>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</si>
  <si>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</si>
  <si>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</si>
  <si>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</si>
  <si>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</si>
  <si>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</si>
  <si>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</si>
  <si>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</si>
  <si>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</si>
  <si>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</si>
  <si>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</si>
  <si>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</si>
  <si>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</si>
  <si>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</si>
  <si>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</si>
  <si>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</si>
  <si>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</si>
  <si>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</si>
  <si>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</si>
  <si>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</si>
  <si>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</si>
  <si>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</si>
  <si>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</si>
  <si>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</si>
  <si>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</si>
  <si>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</si>
  <si>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</si>
  <si>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</si>
  <si>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</si>
  <si>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</si>
  <si>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</si>
  <si>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</si>
  <si>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</si>
  <si>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</si>
  <si>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K23K@UK</t>
  </si>
  <si>
    <t>UK: Industrial Production: Fabricated Metal Products (SA, 2022=100)</t>
  </si>
  <si>
    <t xml:space="preserve">Fabricated Metal Products </t>
  </si>
  <si>
    <t>Building of Ships &amp; Boats</t>
  </si>
  <si>
    <t>Air &amp; Spacecraft &amp; Related Machinery</t>
  </si>
  <si>
    <t>Comp Programming/Consultancy &amp; Related Activities</t>
  </si>
  <si>
    <t>GVA</t>
  </si>
  <si>
    <t>Defence weighted output</t>
  </si>
  <si>
    <t>Whole economy</t>
  </si>
  <si>
    <t>To hit 3%</t>
  </si>
  <si>
    <t>Table 2 : Defence expenditure</t>
  </si>
  <si>
    <t>Million US dollars</t>
  </si>
  <si>
    <t>Current prices and exchange rates</t>
  </si>
  <si>
    <t>Constant 2015 prices and exchange rates</t>
  </si>
  <si>
    <t>-8-</t>
  </si>
  <si>
    <t>OBR headroom calculation</t>
  </si>
  <si>
    <t>Total defence</t>
  </si>
  <si>
    <t>3% headroom calculation</t>
  </si>
  <si>
    <t>Headroom chart&gt;&gt;&gt;</t>
  </si>
  <si>
    <t>Increasing defence spending to 2.5%</t>
  </si>
  <si>
    <t>Increasing defence spending to 3%</t>
  </si>
  <si>
    <t>Headroom in Autumn Budget</t>
  </si>
  <si>
    <t>Borrowing to invest</t>
  </si>
  <si>
    <t>Debt-to-GDP falling in 5 years' time</t>
  </si>
  <si>
    <t>Aggregate multiplier</t>
  </si>
  <si>
    <t>GDP imapct</t>
  </si>
  <si>
    <t>Defence multiplier</t>
  </si>
  <si>
    <t>Impact on GDP of 0.5ppt increase in defence</t>
  </si>
  <si>
    <t>Impact on GDP of 1ppt increase in defence</t>
  </si>
  <si>
    <t>Headroom against fiscal rule</t>
  </si>
  <si>
    <t>Net change in defence spending</t>
  </si>
  <si>
    <t>Gross</t>
  </si>
  <si>
    <t>Net</t>
  </si>
  <si>
    <t>Gross (% of GDP)</t>
  </si>
  <si>
    <t>Net (% of GDP)</t>
  </si>
  <si>
    <t>Debt rule calculation&gt;&gt;&gt;</t>
  </si>
  <si>
    <t>Waterfall chart&gt;&gt;&gt;</t>
  </si>
  <si>
    <t>Autumn budget headroom</t>
  </si>
  <si>
    <t>Higher market interest rates</t>
  </si>
  <si>
    <t>Remaining headroom</t>
  </si>
  <si>
    <t>Reduced aid spending</t>
  </si>
  <si>
    <t>Increased current defence spending*</t>
  </si>
  <si>
    <t>2014-2021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</si>
</sst>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4">
    <numFmt numFmtId="44" formatCode="_-&quot;£&quot;* #,##0.00_-;\-&quot;£&quot;* #,##0.00_-;_-&quot;£&quot;* &quot;-&quot;??_-;_-@_-"/>
    <numFmt numFmtId="43" formatCode="_-* #,##0.00_-;\-* #,##0.00_-;_-* &quot;-&quot;??_-;_-@_-"/>
    <numFmt numFmtId="164" formatCode="###0.0;\-###0.0;0.0;@"/>
    <numFmt numFmtId="165" formatCode="0.0"/>
    <numFmt numFmtId="166" formatCode="0.0000"/>
    <numFmt numFmtId="167" formatCode="0.000"/>
    <numFmt numFmtId="168" formatCode="&quot;to &quot;0.0000;&quot;to &quot;\-0.0000;&quot;to 0&quot;"/>
    <numFmt numFmtId="169" formatCode="#,##0;\-#,##0;\-"/>
    <numFmt numFmtId="170" formatCode="[&lt;0.0001]&quot;&lt;0.0001&quot;;0.0000"/>
    <numFmt numFmtId="171" formatCode="#,##0.0,,;\-#,##0.0,,;\-"/>
    <numFmt numFmtId="172" formatCode="#,##0,;\-#,##0,;\-"/>
    <numFmt numFmtId="173" formatCode="0.0%;\-0.0%;\-"/>
    <numFmt numFmtId="174" formatCode="#,##0.0,,;\-#,##0.0,,"/>
    <numFmt numFmtId="175" formatCode="#,##0,;\-#,##0,"/>
    <numFmt numFmtId="176" formatCode="0.0%;\-0.0%"/>
    <numFmt numFmtId="177" formatCode="#,##0.0_-;\(#,##0.0\);_-* &quot;-&quot;??_-"/>
    <numFmt numFmtId="178" formatCode="_-[$€-2]* #,##0.00_-;\-[$€-2]* #,##0.00_-;_-[$€-2]* &quot;-&quot;??_-"/>
    <numFmt numFmtId="179" formatCode="0.0%"/>
    <numFmt numFmtId="180" formatCode="_(&quot;$&quot;* #,##0_);_(&quot;$&quot;* \(#,##0\);_(&quot;$&quot;* &quot;-&quot;_);_(@_)"/>
    <numFmt numFmtId="181" formatCode="_(&quot;$&quot;* #,##0.00_);_(&quot;$&quot;* \(#,##0.00\);_(&quot;$&quot;* &quot;-&quot;??_);_(@_)"/>
    <numFmt numFmtId="182" formatCode="#,##0_);\(#,##0\);&quot;-&quot;_)"/>
    <numFmt numFmtId="183" formatCode="&quot;$&quot;#,##0_);\(&quot;$&quot;#,##0\)"/>
    <numFmt numFmtId="184" formatCode="#,##0;\(#,##0\)"/>
    <numFmt numFmtId="185" formatCode="#,##0_%_);\(#,##0\)_%;**;@_%_)"/>
    <numFmt numFmtId="186" formatCode="#,##0_%_);\(#,##0\)_%;#,##0_%_);@_%_)"/>
    <numFmt numFmtId="187" formatCode="#,##0.00_%_);\(#,##0.00\)_%;**;@_%_)"/>
    <numFmt numFmtId="188" formatCode="#,##0.00_%_);\(#,##0.00\)_%;#,##0.00_%_);@_%_)"/>
    <numFmt numFmtId="189" formatCode="#,##0.000_%_);\(#,##0.000\)_%;**;@_%_)"/>
    <numFmt numFmtId="190" formatCode="#,##0.0_%_);\(#,##0.0\)_%;**;@_%_)"/>
    <numFmt numFmtId="191" formatCode="[$¥-411]#,##0"/>
    <numFmt numFmtId="192" formatCode="&quot;$&quot;#,##0.00_%_);\(&quot;$&quot;#,##0.00\)_%;**;@_%_)"/>
    <numFmt numFmtId="193" formatCode="&quot;$&quot;#,##0.000_%_);\(&quot;$&quot;#,##0.000\)_%;**;@_%_)"/>
    <numFmt numFmtId="194" formatCode="&quot;$&quot;#,##0.0_%_);\(&quot;$&quot;#,##0.0\)_%;**;@_%_)"/>
    <numFmt numFmtId="195" formatCode="#,##0_);\(#,##0.0\)"/>
    <numFmt numFmtId="196" formatCode="m/d/yy_%_);;**"/>
    <numFmt numFmtId="197" formatCode="m/d/yy_%_)"/>
    <numFmt numFmtId="198" formatCode="_([$€]* #,##0.00_);_([$€]* \(#,##0.00\);_([$€]* &quot;-&quot;??_);_(@_)"/>
    <numFmt numFmtId="199" formatCode="0.0;\(0.0\)"/>
    <numFmt numFmtId="200" formatCode="0.0;;&quot;TBD&quot;"/>
    <numFmt numFmtId="201" formatCode="#,##0.0_x_)_);&quot;NM&quot;_x_)_);#,##0.0_x_)_);@_x_)_)"/>
    <numFmt numFmtId="202" formatCode="0.0%_);\(0.0%\);**;@_%_)"/>
    <numFmt numFmtId="203" formatCode="#,##0.0_);\(#,##0.0\)"/>
    <numFmt numFmtId="204" formatCode="&quot;$&quot;#,##0.0_);\(&quot;$&quot;#,##0.00\)"/>
    <numFmt numFmtId="205" formatCode="\1\-#"/>
  </numFmts>
  <fonts count="17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Calibri"/>
      <family val="2"/>
    </font>
    <font>
      <b/>
      <sz val="11"/>
      <color rgb="FFFFFFFF"/>
      <name val="Calibri"/>
      <family val="2"/>
    </font>
    <font>
      <sz val="11"/>
      <color indexed="16"/>
      <name val="Aptos Narrow"/>
      <family val="2"/>
      <scheme val="minor"/>
    </font>
    <font>
      <sz val="11"/>
      <color indexed="8"/>
      <name val="Calibri"/>
      <family val="2"/>
    </font>
    <font>
      <sz val="10"/>
      <name val="Arial"/>
      <family val="2"/>
    </font>
    <font>
      <sz val="10"/>
      <color indexed="8"/>
      <name val="Arial"/>
      <family val="2"/>
    </font>
    <font>
      <sz val="10"/>
      <name val="Helv"/>
      <charset val="204"/>
    </font>
    <font>
      <b/>
      <sz val="10"/>
      <color indexed="18"/>
      <name val="Arial"/>
      <family val="2"/>
    </font>
    <font>
      <sz val="11"/>
      <color indexed="9"/>
      <name val="Calibri"/>
      <family val="2"/>
    </font>
    <font>
      <sz val="8"/>
      <color indexed="12"/>
      <name val="Palatino"/>
      <family val="1"/>
    </font>
    <font>
      <sz val="11"/>
      <color indexed="20"/>
      <name val="Calibri"/>
      <family val="2"/>
    </font>
    <font>
      <sz val="8"/>
      <color indexed="18"/>
      <name val="Helv"/>
    </font>
    <font>
      <b/>
      <sz val="10"/>
      <name val="MS Sans Serif"/>
      <family val="2"/>
    </font>
    <font>
      <b/>
      <sz val="8"/>
      <color indexed="24"/>
      <name val="Arial"/>
      <family val="2"/>
    </font>
    <font>
      <sz val="9"/>
      <name val="Arial"/>
      <family val="2"/>
    </font>
    <font>
      <sz val="8"/>
      <name val="Arial"/>
      <family val="2"/>
    </font>
    <font>
      <b/>
      <sz val="9"/>
      <color indexed="24"/>
      <name val="Arial"/>
      <family val="2"/>
    </font>
    <font>
      <b/>
      <sz val="11"/>
      <color indexed="24"/>
      <name val="Arial"/>
      <family val="2"/>
    </font>
    <font>
      <b/>
      <sz val="11"/>
      <color indexed="52"/>
      <name val="Calibri"/>
      <family val="2"/>
    </font>
    <font>
      <b/>
      <sz val="11"/>
      <color indexed="9"/>
      <name val="Calibri"/>
      <family val="2"/>
    </font>
    <font>
      <b/>
      <sz val="10"/>
      <color indexed="8"/>
      <name val="Arial"/>
      <family val="2"/>
    </font>
    <font>
      <sz val="11"/>
      <name val="Tms Rmn"/>
    </font>
    <font>
      <sz val="8"/>
      <name val="Palatino"/>
      <family val="1"/>
    </font>
    <font>
      <sz val="10"/>
      <color indexed="24"/>
      <name val="Arial"/>
      <family val="2"/>
    </font>
    <font>
      <sz val="10"/>
      <name val="BERNHARD"/>
    </font>
    <font>
      <sz val="10"/>
      <name val="Helv"/>
    </font>
    <font>
      <b/>
      <sz val="10"/>
      <name val="Arial"/>
      <family val="2"/>
    </font>
    <font>
      <sz val="8"/>
      <color indexed="16"/>
      <name val="Palatino"/>
      <family val="1"/>
    </font>
    <font>
      <b/>
      <sz val="11"/>
      <color indexed="55"/>
      <name val="Arial"/>
      <family val="2"/>
    </font>
    <font>
      <i/>
      <sz val="11"/>
      <color indexed="23"/>
      <name val="Calibri"/>
      <family val="2"/>
    </font>
    <font>
      <b/>
      <sz val="8"/>
      <name val="Tahoma"/>
      <family val="2"/>
    </font>
    <font>
      <sz val="11"/>
      <color indexed="10"/>
      <name val="Arial"/>
      <family val="2"/>
    </font>
    <font>
      <sz val="9.5"/>
      <color indexed="23"/>
      <name val="Helvetica-Black"/>
    </font>
    <font>
      <sz val="8"/>
      <name val="Times New Roman"/>
      <family val="1"/>
    </font>
    <font>
      <sz val="7"/>
      <name val="Palatino"/>
      <family val="1"/>
    </font>
    <font>
      <i/>
      <sz val="8"/>
      <name val="Times New Roman"/>
      <family val="1"/>
    </font>
    <font>
      <sz val="11"/>
      <color indexed="17"/>
      <name val="Calibri"/>
      <family val="2"/>
    </font>
    <font>
      <sz val="6"/>
      <color indexed="16"/>
      <name val="Palatino"/>
      <family val="1"/>
    </font>
    <font>
      <sz val="6"/>
      <name val="Palatino"/>
      <family val="1"/>
    </font>
    <font>
      <b/>
      <sz val="12"/>
      <name val="Arial"/>
      <family val="2"/>
    </font>
    <font>
      <b/>
      <sz val="9"/>
      <color indexed="18"/>
      <name val="Arial"/>
      <family val="2"/>
    </font>
    <font>
      <b/>
      <sz val="9"/>
      <color indexed="8"/>
      <name val="Arial"/>
      <family val="2"/>
    </font>
    <font>
      <b/>
      <sz val="14"/>
      <name val="Arial"/>
      <family val="2"/>
    </font>
    <font>
      <b/>
      <sz val="15"/>
      <color indexed="56"/>
      <name val="Calibri"/>
      <family val="2"/>
    </font>
    <font>
      <b/>
      <sz val="12"/>
      <color indexed="12"/>
      <name val="Arial"/>
      <family val="2"/>
    </font>
    <font>
      <sz val="10"/>
      <name val="Helvetica-Black"/>
    </font>
    <font>
      <b/>
      <sz val="13"/>
      <color indexed="56"/>
      <name val="Calibri"/>
      <family val="2"/>
    </font>
    <font>
      <sz val="10"/>
      <name val="Palatino"/>
    </font>
    <font>
      <b/>
      <sz val="11"/>
      <color indexed="56"/>
      <name val="Calibri"/>
      <family val="2"/>
    </font>
    <font>
      <b/>
      <i/>
      <sz val="12"/>
      <name val="Arial"/>
      <family val="2"/>
    </font>
    <font>
      <i/>
      <sz val="14"/>
      <name val="Palatino"/>
      <family val="1"/>
    </font>
    <font>
      <b/>
      <i/>
      <sz val="10"/>
      <name val="Arial"/>
      <family val="2"/>
    </font>
    <font>
      <i/>
      <sz val="10"/>
      <name val="Arial"/>
      <family val="2"/>
    </font>
    <font>
      <u/>
      <sz val="11"/>
      <color indexed="12"/>
      <name val="Calibri"/>
      <family val="2"/>
    </font>
    <font>
      <u/>
      <sz val="10"/>
      <color indexed="12"/>
      <name val="Arial"/>
      <family val="2"/>
    </font>
    <font>
      <sz val="7"/>
      <name val="Arial"/>
      <family val="2"/>
    </font>
    <font>
      <sz val="11"/>
      <color indexed="62"/>
      <name val="Calibri"/>
      <family val="2"/>
    </font>
    <font>
      <sz val="11"/>
      <color indexed="52"/>
      <name val="Calibri"/>
      <family val="2"/>
    </font>
    <font>
      <sz val="10"/>
      <name val="MS Sans Serif"/>
      <family val="2"/>
    </font>
    <font>
      <sz val="11"/>
      <color indexed="60"/>
      <name val="Calibri"/>
      <family val="2"/>
    </font>
    <font>
      <sz val="7"/>
      <name val="Small Fonts"/>
      <family val="2"/>
    </font>
    <font>
      <sz val="12"/>
      <name val="Helv"/>
    </font>
    <font>
      <b/>
      <i/>
      <sz val="16"/>
      <name val="Helv"/>
    </font>
    <font>
      <sz val="8"/>
      <name val="Tahoma"/>
      <family val="2"/>
    </font>
    <font>
      <b/>
      <sz val="11"/>
      <color indexed="63"/>
      <name val="Calibri"/>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10"/>
      <color indexed="16"/>
      <name val="Helvetica-Black"/>
    </font>
    <font>
      <sz val="10"/>
      <name val="Helvetica"/>
    </font>
    <font>
      <sz val="10"/>
      <color indexed="8"/>
      <name val="Calibri"/>
      <family val="2"/>
    </font>
    <font>
      <sz val="8"/>
      <name val="Helvetica"/>
      <family val="2"/>
    </font>
    <font>
      <sz val="8"/>
      <color indexed="52"/>
      <name val="Arial"/>
      <family val="2"/>
    </font>
    <font>
      <sz val="8"/>
      <color indexed="51"/>
      <name val="Arial"/>
      <family val="2"/>
    </font>
    <font>
      <b/>
      <sz val="10"/>
      <color indexed="58"/>
      <name val="Arial"/>
      <family val="2"/>
    </font>
    <font>
      <sz val="10"/>
      <color indexed="39"/>
      <name val="Arial"/>
      <family val="2"/>
    </font>
    <font>
      <b/>
      <sz val="12"/>
      <color indexed="8"/>
      <name val="Arial"/>
      <family val="2"/>
    </font>
    <font>
      <b/>
      <sz val="16"/>
      <color indexed="23"/>
      <name val="Arial"/>
      <family val="2"/>
    </font>
    <font>
      <sz val="10"/>
      <color indexed="10"/>
      <name val="Arial"/>
      <family val="2"/>
    </font>
    <font>
      <b/>
      <sz val="10"/>
      <name val="Tahoma"/>
      <family val="2"/>
    </font>
    <font>
      <sz val="10"/>
      <name val="Tahoma"/>
      <family val="2"/>
    </font>
    <font>
      <i/>
      <sz val="7"/>
      <name val="Arial"/>
      <family val="2"/>
    </font>
    <font>
      <b/>
      <sz val="9"/>
      <name val="Palatino"/>
      <family val="1"/>
    </font>
    <font>
      <sz val="9"/>
      <color indexed="21"/>
      <name val="Helvetica-Black"/>
    </font>
    <font>
      <b/>
      <sz val="10"/>
      <name val="Palatino"/>
      <family val="1"/>
    </font>
    <font>
      <b/>
      <sz val="8"/>
      <name val="Arial"/>
      <family val="2"/>
    </font>
    <font>
      <b/>
      <sz val="8"/>
      <color indexed="12"/>
      <name val="Arial"/>
      <family val="2"/>
    </font>
    <font>
      <i/>
      <sz val="8"/>
      <color indexed="12"/>
      <name val="Arial"/>
      <family val="2"/>
    </font>
    <font>
      <i/>
      <sz val="8"/>
      <name val="Arial"/>
      <family val="2"/>
    </font>
    <font>
      <b/>
      <sz val="9"/>
      <name val="Arial"/>
      <family val="2"/>
    </font>
    <font>
      <sz val="12"/>
      <name val="Palatino"/>
      <family val="1"/>
    </font>
    <font>
      <b/>
      <sz val="11"/>
      <name val="Times New Roman"/>
      <family val="1"/>
    </font>
    <font>
      <b/>
      <sz val="18"/>
      <color indexed="56"/>
      <name val="Cambria"/>
      <family val="2"/>
    </font>
    <font>
      <b/>
      <sz val="18"/>
      <name val="Arial"/>
      <family val="2"/>
    </font>
    <font>
      <b/>
      <sz val="11"/>
      <color indexed="8"/>
      <name val="Calibri"/>
      <family val="2"/>
    </font>
    <font>
      <b/>
      <sz val="8"/>
      <name val="Palatino"/>
      <family val="1"/>
    </font>
    <font>
      <sz val="11"/>
      <color indexed="10"/>
      <name val="Calibri"/>
      <family val="2"/>
    </font>
    <font>
      <sz val="8"/>
      <name val="Calibri"/>
      <family val="2"/>
    </font>
    <font>
      <u/>
      <sz val="11"/>
      <color theme="10"/>
      <name val="Calibri"/>
      <family val="2"/>
    </font>
    <font>
      <u/>
      <sz val="10"/>
      <color theme="10"/>
      <name val="Arial"/>
      <family val="2"/>
    </font>
    <font>
      <sz val="11"/>
      <color rgb="FF9C6500"/>
      <name val="Aptos Narrow"/>
      <family val="2"/>
      <scheme val="minor"/>
    </font>
    <font>
      <sz val="11"/>
      <color theme="1"/>
      <name val="Arial"/>
      <family val="2"/>
    </font>
    <font>
      <b/>
      <sz val="18"/>
      <color theme="3"/>
      <name val="Aptos Display"/>
      <family val="2"/>
      <scheme val="major"/>
    </font>
    <font>
      <sz val="10"/>
      <name val="Calibri"/>
      <family val="2"/>
    </font>
    <font>
      <sz val="12"/>
      <color indexed="8"/>
      <name val="Calibri"/>
      <family val="2"/>
    </font>
    <font>
      <i/>
      <sz val="10"/>
      <color indexed="8"/>
      <name val="Calibri"/>
      <family val="2"/>
    </font>
    <font>
      <u/>
      <sz val="11"/>
      <color theme="10"/>
      <name val="Aptos Narrow"/>
      <family val="2"/>
      <scheme val="minor"/>
    </font>
    <font>
      <sz val="10"/>
      <name val="Times New Roman"/>
      <family val="1"/>
    </font>
    <font>
      <sz val="11"/>
      <color rgb="FF000000"/>
      <name val="Calibri"/>
      <family val="2"/>
    </font>
    <font>
      <sz val="10"/>
      <color theme="1"/>
      <name val="Calibri"/>
      <family val="2"/>
    </font>
    <font>
      <sz val="12"/>
      <color theme="1"/>
      <name val="Arial"/>
      <family val="2"/>
    </font>
    <font>
      <sz val="10"/>
      <color rgb="FF000000"/>
      <name val="Arial"/>
      <family val="2"/>
    </font>
    <font>
      <sz val="12"/>
      <color theme="0"/>
      <name val="Arial"/>
      <family val="2"/>
    </font>
    <font>
      <sz val="12"/>
      <color rgb="FF9C0006"/>
      <name val="Arial"/>
      <family val="2"/>
    </font>
    <font>
      <b/>
      <sz val="12"/>
      <color rgb="FFFA7D00"/>
      <name val="Arial"/>
      <family val="2"/>
    </font>
    <font>
      <b/>
      <sz val="12"/>
      <color theme="0"/>
      <name val="Arial"/>
      <family val="2"/>
    </font>
    <font>
      <i/>
      <sz val="12"/>
      <color rgb="FF7F7F7F"/>
      <name val="Arial"/>
      <family val="2"/>
    </font>
    <font>
      <sz val="12"/>
      <color rgb="FF006100"/>
      <name val="Arial"/>
      <family val="2"/>
    </font>
    <font>
      <b/>
      <sz val="15"/>
      <color theme="3"/>
      <name val="Arial"/>
      <family val="2"/>
    </font>
    <font>
      <b/>
      <sz val="13"/>
      <color theme="3"/>
      <name val="Arial"/>
      <family val="2"/>
    </font>
    <font>
      <b/>
      <sz val="11"/>
      <color theme="3"/>
      <name val="Arial"/>
      <family val="2"/>
    </font>
    <font>
      <sz val="12"/>
      <color rgb="FF3F3F76"/>
      <name val="Arial"/>
      <family val="2"/>
    </font>
    <font>
      <sz val="12"/>
      <color rgb="FFFA7D00"/>
      <name val="Arial"/>
      <family val="2"/>
    </font>
    <font>
      <sz val="12"/>
      <color rgb="FF9C5700"/>
      <name val="Arial"/>
      <family val="2"/>
    </font>
    <font>
      <b/>
      <sz val="12"/>
      <color rgb="FF3F3F3F"/>
      <name val="Arial"/>
      <family val="2"/>
    </font>
    <font>
      <b/>
      <sz val="12"/>
      <color theme="1"/>
      <name val="Arial"/>
      <family val="2"/>
    </font>
    <font>
      <sz val="12"/>
      <color rgb="FFFF0000"/>
      <name val="Arial"/>
      <family val="2"/>
    </font>
    <font>
      <sz val="14"/>
      <name val="Calibri"/>
      <family val="2"/>
    </font>
    <font>
      <sz val="12"/>
      <name val="Calibri"/>
      <family val="2"/>
    </font>
    <font>
      <sz val="10"/>
      <color indexed="10"/>
      <name val="Calibri"/>
      <family val="2"/>
    </font>
    <font>
      <sz val="10"/>
      <color indexed="45"/>
      <name val="Calibri"/>
      <family val="2"/>
    </font>
    <font>
      <sz val="10"/>
      <color indexed="14"/>
      <name val="Calibri"/>
      <family val="2"/>
    </font>
    <font>
      <sz val="10"/>
      <color indexed="46"/>
      <name val="Calibri"/>
      <family val="2"/>
    </font>
    <font>
      <sz val="10"/>
      <color theme="8"/>
      <name val="Calibri"/>
      <family val="2"/>
    </font>
    <font>
      <sz val="8"/>
      <color theme="1"/>
      <name val="Garamond"/>
      <family val="1"/>
    </font>
    <font>
      <b/>
      <sz val="8"/>
      <color theme="1"/>
      <name val="Garamond"/>
      <family val="1"/>
    </font>
    <font>
      <b/>
      <sz val="8"/>
      <color theme="3" tint="0.39997558519241921"/>
      <name val="Garamond"/>
      <family val="1"/>
    </font>
    <font>
      <b/>
      <sz val="10"/>
      <color theme="1"/>
      <name val="Aptos Narrow"/>
      <family val="2"/>
      <scheme val="minor"/>
    </font>
    <font>
      <b/>
      <sz val="10"/>
      <color theme="3" tint="0.39997558519241921"/>
      <name val="Aptos Narrow"/>
      <family val="2"/>
      <scheme val="minor"/>
    </font>
    <font>
      <sz val="8"/>
      <color theme="3" tint="0.39997558519241921"/>
      <name val="Garamond"/>
      <family val="1"/>
    </font>
    <font>
      <b/>
      <sz val="11"/>
      <color theme="1"/>
      <name val="Garamond"/>
      <family val="1"/>
    </font>
    <font>
      <b/>
      <sz val="11"/>
      <color theme="3" tint="0.39997558519241921"/>
      <name val="Garamond"/>
      <family val="1"/>
    </font>
    <font>
      <sz val="11"/>
      <color theme="1"/>
      <name val="Garamond"/>
      <family val="1"/>
    </font>
    <font>
      <b/>
      <sz val="8"/>
      <color rgb="FFFF0000"/>
      <name val="Garamond"/>
      <family val="1"/>
    </font>
    <font>
      <sz val="9"/>
      <color theme="1"/>
      <name val="Garamond"/>
      <family val="1"/>
    </font>
    <font>
      <b/>
      <sz val="9"/>
      <color theme="1"/>
      <name val="Garamond"/>
      <family val="1"/>
    </font>
    <font>
      <sz val="9"/>
      <color theme="3" tint="0.39997558519241921"/>
      <name val="Garamond"/>
      <family val="1"/>
    </font>
    <font>
      <b/>
      <sz val="10"/>
      <color rgb="FFFFFF00"/>
      <name val="Garamond"/>
      <family val="1"/>
    </font>
    <font>
      <b/>
      <sz val="12"/>
      <color rgb="FFFFFF00"/>
      <name val="Garamond"/>
      <family val="1"/>
    </font>
    <font>
      <sz val="11"/>
      <name val="Calibri"/>
      <family val="2"/>
    </font>
    <font>
      <sz val="8"/>
      <color rgb="FFFF0000"/>
      <name val="Garamond"/>
      <family val="1"/>
    </font>
    <font>
      <sz val="8"/>
      <name val="Garamond"/>
      <family val="1"/>
    </font>
    <font>
      <sz val="7"/>
      <color theme="1"/>
      <name val="Garamond"/>
      <family val="1"/>
    </font>
    <font>
      <sz val="7"/>
      <color theme="3" tint="0.39997558519241921"/>
      <name val="Garamond"/>
      <family val="1"/>
    </font>
    <font>
      <sz val="12"/>
      <color theme="1"/>
      <name val="Garamond"/>
      <family val="1"/>
    </font>
    <font>
      <sz val="12"/>
      <color theme="3" tint="0.39997558519241921"/>
      <name val="Garamond"/>
      <family val="1"/>
    </font>
    <font>
      <b/>
      <sz val="8.5"/>
      <color theme="1"/>
      <name val="Garamond"/>
      <family val="1"/>
    </font>
    <font>
      <sz val="8.5"/>
      <color theme="1"/>
      <name val="Garamond"/>
      <family val="1"/>
    </font>
    <font>
      <i/>
      <sz val="11"/>
      <color rgb="FFFF0000"/>
      <name val="Aptos Narrow"/>
      <family val="2"/>
      <scheme val="minor"/>
    </font>
    <font>
      <sz val="10"/>
      <color theme="1"/>
      <name val="Garamond"/>
      <family val="1"/>
    </font>
  </fonts>
  <fills count="8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4A8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4"/>
        <bgColor indexed="64"/>
      </patternFill>
    </fill>
    <fill>
      <patternFill patternType="solid">
        <fgColor indexed="22"/>
        <bgColor indexed="64"/>
      </patternFill>
    </fill>
    <fill>
      <patternFill patternType="solid">
        <fgColor indexed="1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22"/>
        <bgColor indexed="22"/>
      </patternFill>
    </fill>
    <fill>
      <patternFill patternType="solid">
        <fgColor indexed="47"/>
        <bgColor indexed="64"/>
      </patternFill>
    </fill>
    <fill>
      <patternFill patternType="solid">
        <fgColor indexed="55"/>
        <bgColor indexed="64"/>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16"/>
        <bgColor indexed="64"/>
      </patternFill>
    </fill>
    <fill>
      <patternFill patternType="solid">
        <fgColor indexed="8"/>
        <bgColor indexed="64"/>
      </patternFill>
    </fill>
    <fill>
      <patternFill patternType="solid">
        <fgColor indexed="24"/>
        <bgColor indexed="64"/>
      </patternFill>
    </fill>
    <fill>
      <patternFill patternType="solid">
        <fgColor indexed="13"/>
        <bgColor indexed="64"/>
      </patternFill>
    </fill>
    <fill>
      <patternFill patternType="solid">
        <fgColor indexed="42"/>
        <bgColor indexed="64"/>
      </patternFill>
    </fill>
    <fill>
      <patternFill patternType="solid">
        <fgColor indexed="65"/>
        <bgColor indexed="64"/>
      </patternFill>
    </fill>
    <fill>
      <patternFill patternType="solid">
        <fgColor theme="5"/>
        <bgColor indexed="64"/>
      </patternFill>
    </fill>
    <fill>
      <patternFill patternType="solid">
        <fgColor theme="0"/>
        <bgColor indexed="64"/>
      </patternFill>
    </fill>
    <fill>
      <patternFill patternType="solid">
        <fgColor rgb="FF00408B"/>
        <bgColor indexed="64"/>
      </patternFill>
    </fill>
    <fill>
      <patternFill patternType="solid">
        <fgColor rgb="FFF0F0F0"/>
        <bgColor indexed="64"/>
      </patternFill>
    </fill>
  </fills>
  <borders count="8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63636"/>
      </left>
      <right style="thin">
        <color rgb="FF363636"/>
      </right>
      <top style="thin">
        <color rgb="FF363636"/>
      </top>
      <bottom style="thin">
        <color rgb="FF363636"/>
      </bottom>
      <diagonal/>
    </border>
    <border>
      <left/>
      <right/>
      <top/>
      <bottom style="medium">
        <color indexed="18"/>
      </bottom>
      <diagonal/>
    </border>
    <border>
      <left/>
      <right/>
      <top style="thin">
        <color indexed="64"/>
      </top>
      <bottom/>
      <diagonal/>
    </border>
    <border>
      <left/>
      <right/>
      <top/>
      <bottom style="medium">
        <color indexed="2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4"/>
      </top>
      <bottom style="medium">
        <color indexed="64"/>
      </bottom>
      <diagonal/>
    </border>
    <border>
      <left/>
      <right style="thin">
        <color indexed="64"/>
      </right>
      <top/>
      <bottom style="thin">
        <color indexed="64"/>
      </bottom>
      <diagonal/>
    </border>
    <border>
      <left/>
      <right/>
      <top/>
      <bottom style="dotted">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style="medium">
        <color indexed="8"/>
      </right>
      <top/>
      <bottom/>
      <diagonal/>
    </border>
    <border>
      <left/>
      <right/>
      <top/>
      <bottom style="thick">
        <color indexed="62"/>
      </bottom>
      <diagonal/>
    </border>
    <border>
      <left style="thin">
        <color indexed="64"/>
      </left>
      <right/>
      <top/>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style="medium">
        <color indexed="8"/>
      </right>
      <top/>
      <bottom style="medium">
        <color indexed="8"/>
      </bottom>
      <diagonal/>
    </border>
    <border>
      <left/>
      <right/>
      <top/>
      <bottom style="medium">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bottom/>
      <diagonal/>
    </border>
    <border>
      <left style="thin">
        <color indexed="9"/>
      </left>
      <right/>
      <top style="thin">
        <color indexed="9"/>
      </top>
      <bottom style="thin">
        <color indexed="9"/>
      </bottom>
      <diagonal/>
    </border>
    <border>
      <left style="thin">
        <color indexed="64"/>
      </left>
      <right style="thin">
        <color indexed="64"/>
      </right>
      <top/>
      <bottom/>
      <diagonal/>
    </border>
    <border>
      <left style="thin">
        <color indexed="63"/>
      </left>
      <right style="thin">
        <color indexed="63"/>
      </right>
      <top style="thin">
        <color indexed="64"/>
      </top>
      <bottom style="thin">
        <color indexed="63"/>
      </bottom>
      <diagonal/>
    </border>
    <border>
      <left/>
      <right/>
      <top/>
      <bottom style="medium">
        <color indexed="64"/>
      </bottom>
      <diagonal/>
    </border>
    <border>
      <left style="medium">
        <color indexed="64"/>
      </left>
      <right style="medium">
        <color indexed="64"/>
      </right>
      <top/>
      <bottom/>
      <diagonal/>
    </border>
    <border>
      <left/>
      <right/>
      <top/>
      <bottom style="thin">
        <color indexed="64"/>
      </bottom>
      <diagonal/>
    </border>
    <border>
      <left/>
      <right/>
      <top style="thin">
        <color indexed="12"/>
      </top>
      <bottom style="thin">
        <color indexed="12"/>
      </bottom>
      <diagonal/>
    </border>
    <border>
      <left/>
      <right/>
      <top/>
      <bottom style="thin">
        <color indexed="12"/>
      </bottom>
      <diagonal/>
    </border>
    <border>
      <left/>
      <right/>
      <top style="thin">
        <color indexed="62"/>
      </top>
      <bottom style="double">
        <color indexed="62"/>
      </bottom>
      <diagonal/>
    </border>
    <border>
      <left style="medium">
        <color indexed="45"/>
      </left>
      <right style="medium">
        <color indexed="45"/>
      </right>
      <top/>
      <bottom/>
      <diagonal/>
    </border>
    <border>
      <left style="medium">
        <color indexed="45"/>
      </left>
      <right/>
      <top/>
      <bottom/>
      <diagonal/>
    </border>
    <border>
      <left/>
      <right/>
      <top/>
      <bottom style="thin">
        <color indexed="45"/>
      </bottom>
      <diagonal/>
    </border>
    <border>
      <left/>
      <right style="medium">
        <color indexed="45"/>
      </right>
      <top/>
      <bottom/>
      <diagonal/>
    </border>
    <border>
      <left/>
      <right style="medium">
        <color indexed="45"/>
      </right>
      <top style="thin">
        <color indexed="45"/>
      </top>
      <bottom style="thin">
        <color indexed="45"/>
      </bottom>
      <diagonal/>
    </border>
    <border>
      <left/>
      <right style="medium">
        <color indexed="45"/>
      </right>
      <top/>
      <bottom style="thin">
        <color indexed="45"/>
      </bottom>
      <diagonal/>
    </border>
    <border>
      <left style="medium">
        <color indexed="45"/>
      </left>
      <right/>
      <top/>
      <bottom style="thin">
        <color indexed="45"/>
      </bottom>
      <diagonal/>
    </border>
    <border>
      <left style="medium">
        <color indexed="45"/>
      </left>
      <right style="thin">
        <color indexed="45"/>
      </right>
      <top style="thin">
        <color indexed="45"/>
      </top>
      <bottom/>
      <diagonal/>
    </border>
    <border>
      <left style="medium">
        <color indexed="45"/>
      </left>
      <right style="thin">
        <color indexed="45"/>
      </right>
      <top/>
      <bottom/>
      <diagonal/>
    </border>
    <border>
      <left/>
      <right style="medium">
        <color indexed="45"/>
      </right>
      <top style="thin">
        <color indexed="45"/>
      </top>
      <bottom/>
      <diagonal/>
    </border>
    <border>
      <left/>
      <right/>
      <top/>
      <bottom style="medium">
        <color indexed="45"/>
      </bottom>
      <diagonal/>
    </border>
    <border>
      <left/>
      <right style="medium">
        <color indexed="45"/>
      </right>
      <top/>
      <bottom style="medium">
        <color indexed="45"/>
      </bottom>
      <diagonal/>
    </border>
    <border>
      <left style="medium">
        <color indexed="45"/>
      </left>
      <right/>
      <top style="medium">
        <color indexed="45"/>
      </top>
      <bottom style="medium">
        <color indexed="45"/>
      </bottom>
      <diagonal/>
    </border>
    <border>
      <left/>
      <right/>
      <top style="medium">
        <color indexed="45"/>
      </top>
      <bottom style="medium">
        <color indexed="45"/>
      </bottom>
      <diagonal/>
    </border>
    <border>
      <left/>
      <right style="medium">
        <color indexed="45"/>
      </right>
      <top style="medium">
        <color indexed="45"/>
      </top>
      <bottom style="medium">
        <color indexed="45"/>
      </bottom>
      <diagonal/>
    </border>
    <border>
      <left/>
      <right/>
      <top style="thin">
        <color indexed="45"/>
      </top>
      <bottom style="thin">
        <color indexed="45"/>
      </bottom>
      <diagonal/>
    </border>
    <border>
      <left style="medium">
        <color indexed="45"/>
      </left>
      <right/>
      <top style="thin">
        <color indexed="45"/>
      </top>
      <bottom style="thin">
        <color indexed="45"/>
      </bottom>
      <diagonal/>
    </border>
    <border>
      <left/>
      <right/>
      <top/>
      <bottom style="thin">
        <color theme="8"/>
      </bottom>
      <diagonal/>
    </border>
    <border>
      <left/>
      <right style="medium">
        <color theme="8"/>
      </right>
      <top/>
      <bottom/>
      <diagonal/>
    </border>
    <border>
      <left style="medium">
        <color indexed="45"/>
      </left>
      <right style="medium">
        <color theme="8"/>
      </right>
      <top/>
      <bottom/>
      <diagonal/>
    </border>
    <border>
      <left/>
      <right/>
      <top style="medium">
        <color indexed="45"/>
      </top>
      <bottom style="thin">
        <color theme="8"/>
      </bottom>
      <diagonal/>
    </border>
    <border>
      <left style="medium">
        <color theme="8"/>
      </left>
      <right/>
      <top/>
      <bottom/>
      <diagonal/>
    </border>
    <border>
      <left/>
      <right/>
      <top style="thin">
        <color theme="8"/>
      </top>
      <bottom style="thin">
        <color theme="8"/>
      </bottom>
      <diagonal/>
    </border>
    <border>
      <left/>
      <right style="medium">
        <color theme="8"/>
      </right>
      <top/>
      <bottom style="thin">
        <color indexed="45"/>
      </bottom>
      <diagonal/>
    </border>
    <border>
      <left style="medium">
        <color indexed="45"/>
      </left>
      <right style="thin">
        <color theme="8"/>
      </right>
      <top/>
      <bottom/>
      <diagonal/>
    </border>
    <border>
      <left style="medium">
        <color indexed="45"/>
      </left>
      <right style="thin">
        <color indexed="45"/>
      </right>
      <top/>
      <bottom style="medium">
        <color indexed="45"/>
      </bottom>
      <diagonal/>
    </border>
    <border>
      <left style="medium">
        <color theme="8"/>
      </left>
      <right style="thin">
        <color theme="8"/>
      </right>
      <top/>
      <bottom/>
      <diagonal/>
    </border>
    <border>
      <left style="thin">
        <color theme="8"/>
      </left>
      <right/>
      <top/>
      <bottom/>
      <diagonal/>
    </border>
    <border>
      <left/>
      <right/>
      <top style="thin">
        <color indexed="45"/>
      </top>
      <bottom/>
      <diagonal/>
    </border>
    <border>
      <left style="medium">
        <color indexed="45"/>
      </left>
      <right style="thin">
        <color theme="8"/>
      </right>
      <top/>
      <bottom style="dotted">
        <color indexed="45"/>
      </bottom>
      <diagonal/>
    </border>
    <border>
      <left style="thin">
        <color theme="8"/>
      </left>
      <right/>
      <top style="dashed">
        <color theme="8"/>
      </top>
      <bottom/>
      <diagonal/>
    </border>
    <border>
      <left/>
      <right/>
      <top style="dashed">
        <color theme="8"/>
      </top>
      <bottom/>
      <diagonal/>
    </border>
    <border>
      <left/>
      <right style="medium">
        <color theme="8"/>
      </right>
      <top style="dashed">
        <color theme="8"/>
      </top>
      <bottom/>
      <diagonal/>
    </border>
    <border>
      <left style="medium">
        <color indexed="45"/>
      </left>
      <right/>
      <top/>
      <bottom style="dashed">
        <color indexed="45"/>
      </bottom>
      <diagonal/>
    </border>
    <border>
      <left/>
      <right/>
      <top/>
      <bottom style="dashed">
        <color indexed="45"/>
      </bottom>
      <diagonal/>
    </border>
    <border>
      <left/>
      <right style="medium">
        <color theme="8"/>
      </right>
      <top/>
      <bottom style="dashed">
        <color indexed="45"/>
      </bottom>
      <diagonal/>
    </border>
    <border>
      <left/>
      <right/>
      <top style="dashed">
        <color rgb="FF477391"/>
      </top>
      <bottom/>
      <diagonal/>
    </border>
    <border>
      <left/>
      <right/>
      <top/>
      <bottom style="dashed">
        <color rgb="FF477391"/>
      </bottom>
      <diagonal/>
    </border>
  </borders>
  <cellStyleXfs count="2175">
    <xf numFmtId="0" fontId="0" fillId="0" borderId="0"/>
    <xf numFmtId="0" fontId="18" fillId="0" borderId="0"/>
    <xf numFmtId="0" fontId="21" fillId="0" borderId="0"/>
    <xf numFmtId="182" fontId="22" fillId="0" borderId="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3" fillId="0" borderId="0">
      <alignment vertical="top"/>
    </xf>
    <xf numFmtId="0" fontId="23" fillId="0" borderId="0">
      <alignment vertical="top"/>
    </xf>
    <xf numFmtId="0" fontId="24" fillId="0" borderId="0"/>
    <xf numFmtId="0" fontId="22" fillId="0" borderId="0"/>
    <xf numFmtId="0" fontId="22" fillId="0" borderId="0"/>
    <xf numFmtId="0" fontId="22" fillId="0" borderId="0"/>
    <xf numFmtId="0" fontId="22" fillId="0" borderId="0"/>
    <xf numFmtId="0" fontId="22" fillId="0" borderId="0"/>
    <xf numFmtId="0" fontId="22" fillId="0" borderId="0"/>
    <xf numFmtId="0" fontId="24" fillId="0" borderId="0"/>
    <xf numFmtId="0" fontId="24" fillId="0" borderId="0"/>
    <xf numFmtId="0" fontId="22" fillId="0" borderId="0"/>
    <xf numFmtId="0" fontId="22" fillId="0" borderId="0"/>
    <xf numFmtId="0" fontId="24"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lignment horizontal="left" wrapText="1"/>
    </xf>
    <xf numFmtId="0" fontId="22" fillId="0" borderId="0"/>
    <xf numFmtId="0" fontId="22" fillId="0" borderId="0"/>
    <xf numFmtId="0" fontId="25" fillId="0" borderId="11" applyNumberFormat="0" applyFill="0" applyProtection="0">
      <alignment horizontal="center"/>
    </xf>
    <xf numFmtId="0" fontId="22" fillId="0" borderId="0"/>
    <xf numFmtId="165" fontId="22" fillId="0" borderId="0" applyFont="0" applyFill="0" applyBorder="0" applyProtection="0">
      <alignment horizontal="right"/>
    </xf>
    <xf numFmtId="165" fontId="22" fillId="0" borderId="0" applyFont="0" applyFill="0" applyBorder="0" applyProtection="0">
      <alignment horizontal="right"/>
    </xf>
    <xf numFmtId="0" fontId="21" fillId="34"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6" borderId="0" applyNumberFormat="0" applyBorder="0" applyAlignment="0" applyProtection="0"/>
    <xf numFmtId="0" fontId="21" fillId="37" borderId="0" applyNumberFormat="0" applyBorder="0" applyAlignment="0" applyProtection="0"/>
    <xf numFmtId="0" fontId="21" fillId="37" borderId="0" applyNumberFormat="0" applyBorder="0" applyAlignment="0" applyProtection="0"/>
    <xf numFmtId="0" fontId="21" fillId="38"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167" fontId="22" fillId="0" borderId="0" applyFont="0" applyFill="0" applyBorder="0" applyProtection="0">
      <alignment horizontal="right"/>
    </xf>
    <xf numFmtId="167" fontId="22" fillId="0" borderId="0" applyFont="0" applyFill="0" applyBorder="0" applyProtection="0">
      <alignment horizontal="right"/>
    </xf>
    <xf numFmtId="0" fontId="21" fillId="40"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37" borderId="0" applyNumberFormat="0" applyBorder="0" applyAlignment="0" applyProtection="0"/>
    <xf numFmtId="0" fontId="21" fillId="37"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3" borderId="0" applyNumberFormat="0" applyBorder="0" applyAlignment="0" applyProtection="0"/>
    <xf numFmtId="0" fontId="21" fillId="43" borderId="0" applyNumberFormat="0" applyBorder="0" applyAlignment="0" applyProtection="0"/>
    <xf numFmtId="166" fontId="22" fillId="0" borderId="0" applyFont="0" applyFill="0" applyBorder="0" applyProtection="0">
      <alignment horizontal="right"/>
    </xf>
    <xf numFmtId="166" fontId="22" fillId="0" borderId="0" applyFont="0" applyFill="0" applyBorder="0" applyProtection="0">
      <alignment horizontal="right"/>
    </xf>
    <xf numFmtId="0" fontId="26" fillId="44" borderId="0" applyNumberFormat="0" applyBorder="0" applyAlignment="0" applyProtection="0"/>
    <xf numFmtId="0" fontId="26" fillId="44"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48" borderId="0" applyNumberFormat="0" applyBorder="0" applyAlignment="0" applyProtection="0"/>
    <xf numFmtId="0" fontId="26" fillId="49" borderId="0" applyNumberFormat="0" applyBorder="0" applyAlignment="0" applyProtection="0"/>
    <xf numFmtId="0" fontId="26" fillId="49" borderId="0" applyNumberFormat="0" applyBorder="0" applyAlignment="0" applyProtection="0"/>
    <xf numFmtId="0" fontId="26" fillId="50" borderId="0" applyNumberFormat="0" applyBorder="0" applyAlignment="0" applyProtection="0"/>
    <xf numFmtId="0" fontId="26" fillId="50" borderId="0" applyNumberFormat="0" applyBorder="0" applyAlignment="0" applyProtection="0"/>
    <xf numFmtId="0" fontId="26" fillId="45"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46" borderId="0" applyNumberFormat="0" applyBorder="0" applyAlignment="0" applyProtection="0"/>
    <xf numFmtId="0" fontId="26" fillId="51" borderId="0" applyNumberFormat="0" applyBorder="0" applyAlignment="0" applyProtection="0"/>
    <xf numFmtId="0" fontId="26" fillId="51" borderId="0" applyNumberFormat="0" applyBorder="0" applyAlignment="0" applyProtection="0"/>
    <xf numFmtId="0" fontId="27" fillId="0" borderId="0" applyNumberFormat="0" applyFill="0" applyBorder="0" applyAlignment="0">
      <protection locked="0"/>
    </xf>
    <xf numFmtId="0" fontId="28" fillId="35" borderId="0" applyNumberFormat="0" applyBorder="0" applyAlignment="0" applyProtection="0"/>
    <xf numFmtId="0" fontId="28" fillId="35" borderId="0" applyNumberFormat="0" applyBorder="0" applyAlignment="0" applyProtection="0"/>
    <xf numFmtId="177" fontId="22" fillId="0" borderId="0" applyBorder="0"/>
    <xf numFmtId="0" fontId="29" fillId="0" borderId="0" applyNumberFormat="0" applyAlignment="0">
      <alignment horizontal="left"/>
    </xf>
    <xf numFmtId="183" fontId="30" fillId="0" borderId="12" applyAlignment="0" applyProtection="0"/>
    <xf numFmtId="49" fontId="31" fillId="0" borderId="0" applyFont="0" applyFill="0" applyBorder="0" applyAlignment="0" applyProtection="0">
      <alignment horizontal="left"/>
    </xf>
    <xf numFmtId="3" fontId="32" fillId="0" borderId="0" applyAlignment="0" applyProtection="0"/>
    <xf numFmtId="179" fontId="33" fillId="0" borderId="0" applyFill="0" applyBorder="0" applyAlignment="0" applyProtection="0"/>
    <xf numFmtId="49" fontId="33" fillId="0" borderId="0" applyNumberFormat="0" applyAlignment="0" applyProtection="0">
      <alignment horizontal="left"/>
    </xf>
    <xf numFmtId="49" fontId="34" fillId="0" borderId="13" applyNumberFormat="0" applyAlignment="0" applyProtection="0">
      <alignment horizontal="left" wrapText="1"/>
    </xf>
    <xf numFmtId="49" fontId="34" fillId="0" borderId="0" applyNumberFormat="0" applyAlignment="0" applyProtection="0">
      <alignment horizontal="left" wrapText="1"/>
    </xf>
    <xf numFmtId="49" fontId="35" fillId="0" borderId="0" applyAlignment="0" applyProtection="0">
      <alignment horizontal="left"/>
    </xf>
    <xf numFmtId="0" fontId="36" fillId="52" borderId="14" applyNumberFormat="0" applyAlignment="0" applyProtection="0"/>
    <xf numFmtId="0" fontId="36" fillId="52" borderId="14" applyNumberFormat="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7" fillId="53" borderId="15" applyNumberFormat="0" applyAlignment="0" applyProtection="0"/>
    <xf numFmtId="0" fontId="37" fillId="53" borderId="15" applyNumberFormat="0" applyAlignment="0" applyProtection="0"/>
    <xf numFmtId="166" fontId="32" fillId="0" borderId="0" applyFont="0" applyFill="0" applyBorder="0" applyProtection="0">
      <alignment horizontal="right"/>
    </xf>
    <xf numFmtId="168" fontId="32" fillId="0" borderId="0" applyFont="0" applyFill="0" applyBorder="0" applyProtection="0">
      <alignment horizontal="left"/>
    </xf>
    <xf numFmtId="184" fontId="38" fillId="54" borderId="16"/>
    <xf numFmtId="3" fontId="39" fillId="0" borderId="0"/>
    <xf numFmtId="3" fontId="39" fillId="0" borderId="0"/>
    <xf numFmtId="3" fontId="39" fillId="0" borderId="0"/>
    <xf numFmtId="3" fontId="39" fillId="0" borderId="0"/>
    <xf numFmtId="3" fontId="39" fillId="0" borderId="0"/>
    <xf numFmtId="3" fontId="39" fillId="0" borderId="0"/>
    <xf numFmtId="3" fontId="39" fillId="0" borderId="0"/>
    <xf numFmtId="3" fontId="39" fillId="0" borderId="0"/>
    <xf numFmtId="0" fontId="40" fillId="0" borderId="0" applyFont="0" applyFill="0" applyBorder="0" applyAlignment="0" applyProtection="0">
      <alignment horizontal="right"/>
    </xf>
    <xf numFmtId="185" fontId="40" fillId="0" borderId="0" applyFont="0" applyFill="0" applyBorder="0" applyAlignment="0" applyProtection="0"/>
    <xf numFmtId="186" fontId="40" fillId="0" borderId="0" applyFont="0" applyFill="0" applyBorder="0" applyAlignment="0" applyProtection="0">
      <alignment horizontal="right"/>
    </xf>
    <xf numFmtId="43" fontId="22" fillId="0" borderId="0" applyFont="0" applyFill="0" applyBorder="0" applyAlignment="0" applyProtection="0"/>
    <xf numFmtId="43" fontId="22" fillId="0" borderId="0" applyFont="0" applyFill="0" applyBorder="0" applyAlignment="0" applyProtection="0"/>
    <xf numFmtId="187" fontId="40" fillId="0" borderId="0" applyFont="0" applyFill="0" applyBorder="0" applyAlignment="0" applyProtection="0"/>
    <xf numFmtId="188" fontId="40" fillId="0" borderId="0" applyFont="0" applyFill="0" applyBorder="0" applyAlignment="0" applyProtection="0">
      <alignment horizontal="right"/>
    </xf>
    <xf numFmtId="43" fontId="22" fillId="0" borderId="0" applyFont="0" applyFill="0" applyBorder="0" applyAlignment="0" applyProtection="0"/>
    <xf numFmtId="43" fontId="22" fillId="0" borderId="0" applyFont="0" applyFill="0" applyBorder="0" applyAlignment="0" applyProtection="0"/>
    <xf numFmtId="43" fontId="21" fillId="0" borderId="0" applyFont="0" applyFill="0" applyBorder="0" applyAlignment="0" applyProtection="0"/>
    <xf numFmtId="189" fontId="4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90" fontId="40" fillId="0" borderId="0" applyFont="0" applyFill="0" applyBorder="0" applyAlignment="0" applyProtection="0"/>
    <xf numFmtId="3" fontId="41" fillId="0" borderId="0" applyFont="0" applyFill="0" applyBorder="0" applyAlignment="0" applyProtection="0"/>
    <xf numFmtId="0" fontId="42" fillId="0" borderId="0"/>
    <xf numFmtId="0" fontId="43" fillId="0" borderId="0"/>
    <xf numFmtId="0" fontId="42" fillId="0" borderId="0"/>
    <xf numFmtId="0" fontId="43" fillId="0" borderId="0"/>
    <xf numFmtId="0" fontId="22" fillId="0" borderId="0"/>
    <xf numFmtId="0" fontId="22" fillId="0" borderId="0"/>
    <xf numFmtId="0" fontId="22" fillId="0" borderId="0"/>
    <xf numFmtId="0" fontId="44" fillId="0" borderId="0">
      <alignment horizontal="left" indent="3"/>
    </xf>
    <xf numFmtId="0" fontId="44" fillId="0" borderId="0">
      <alignment horizontal="left" indent="5"/>
    </xf>
    <xf numFmtId="0" fontId="22" fillId="0" borderId="0">
      <alignment horizontal="left"/>
    </xf>
    <xf numFmtId="0" fontId="22" fillId="0" borderId="0"/>
    <xf numFmtId="0" fontId="22" fillId="0" borderId="0">
      <alignment horizontal="left"/>
    </xf>
    <xf numFmtId="0" fontId="40" fillId="0" borderId="0" applyFont="0" applyFill="0" applyBorder="0" applyAlignment="0" applyProtection="0">
      <alignment horizontal="right"/>
    </xf>
    <xf numFmtId="44" fontId="22" fillId="0" borderId="0" applyFont="0" applyFill="0" applyBorder="0" applyAlignment="0" applyProtection="0"/>
    <xf numFmtId="191" fontId="22" fillId="0" borderId="0" applyFont="0" applyFill="0" applyBorder="0" applyAlignment="0" applyProtection="0"/>
    <xf numFmtId="181" fontId="22" fillId="0" borderId="0" applyFont="0" applyFill="0" applyBorder="0" applyAlignment="0" applyProtection="0"/>
    <xf numFmtId="192" fontId="45" fillId="0" borderId="0" applyFont="0" applyFill="0" applyBorder="0" applyAlignment="0" applyProtection="0"/>
    <xf numFmtId="0" fontId="40" fillId="0" borderId="0" applyFill="0" applyBorder="0" applyProtection="0"/>
    <xf numFmtId="193" fontId="45" fillId="0" borderId="0" applyFont="0" applyFill="0" applyBorder="0" applyAlignment="0" applyProtection="0"/>
    <xf numFmtId="194" fontId="40" fillId="0" borderId="0" applyFont="0" applyFill="0" applyBorder="0" applyAlignment="0" applyProtection="0"/>
    <xf numFmtId="195" fontId="40" fillId="0" borderId="0" applyFont="0" applyFill="0" applyBorder="0" applyAlignment="0" applyProtection="0"/>
    <xf numFmtId="0" fontId="41" fillId="0" borderId="0" applyFont="0" applyFill="0" applyBorder="0" applyAlignment="0" applyProtection="0"/>
    <xf numFmtId="0" fontId="40" fillId="0" borderId="0" applyFont="0" applyFill="0" applyBorder="0" applyAlignment="0" applyProtection="0"/>
    <xf numFmtId="196" fontId="40" fillId="0" borderId="0" applyFont="0" applyFill="0" applyBorder="0" applyAlignment="0" applyProtection="0"/>
    <xf numFmtId="197" fontId="40" fillId="0" borderId="0" applyFont="0" applyFill="0" applyBorder="0" applyAlignment="0" applyProtection="0"/>
    <xf numFmtId="0" fontId="46" fillId="0" borderId="17" applyNumberFormat="0" applyBorder="0" applyAlignment="0" applyProtection="0">
      <alignment horizontal="right" vertical="center"/>
    </xf>
    <xf numFmtId="0" fontId="22" fillId="0" borderId="0">
      <protection locked="0"/>
    </xf>
    <xf numFmtId="0" fontId="22" fillId="0" borderId="0"/>
    <xf numFmtId="0" fontId="40" fillId="0" borderId="18" applyNumberFormat="0" applyFont="0" applyFill="0" applyAlignment="0" applyProtection="0"/>
    <xf numFmtId="0" fontId="22" fillId="0" borderId="0">
      <protection locked="0"/>
    </xf>
    <xf numFmtId="0" fontId="22" fillId="0" borderId="0">
      <protection locked="0"/>
    </xf>
    <xf numFmtId="178" fontId="22" fillId="0" borderId="0" applyFont="0" applyFill="0" applyBorder="0" applyAlignment="0" applyProtection="0"/>
    <xf numFmtId="198" fontId="22" fillId="0" borderId="0" applyFon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2" fontId="41" fillId="0" borderId="0" applyFont="0" applyFill="0" applyBorder="0" applyAlignment="0" applyProtection="0"/>
    <xf numFmtId="0" fontId="48" fillId="0" borderId="0"/>
    <xf numFmtId="0" fontId="49" fillId="0" borderId="0">
      <alignment horizontal="right"/>
      <protection locked="0"/>
    </xf>
    <xf numFmtId="0" fontId="22" fillId="0" borderId="19"/>
    <xf numFmtId="0" fontId="22" fillId="0" borderId="0">
      <alignment horizontal="left"/>
    </xf>
    <xf numFmtId="0" fontId="50" fillId="0" borderId="0">
      <alignment horizontal="left"/>
    </xf>
    <xf numFmtId="0" fontId="51" fillId="0" borderId="0" applyFill="0" applyBorder="0" applyProtection="0">
      <alignment horizontal="left"/>
    </xf>
    <xf numFmtId="0" fontId="51" fillId="0" borderId="0">
      <alignment horizontal="left"/>
    </xf>
    <xf numFmtId="0" fontId="52" fillId="0" borderId="0" applyNumberFormat="0" applyFill="0" applyBorder="0" applyProtection="0">
      <alignment horizontal="left"/>
    </xf>
    <xf numFmtId="0" fontId="53" fillId="0" borderId="0">
      <alignment horizontal="left"/>
    </xf>
    <xf numFmtId="0" fontId="52" fillId="0" borderId="0">
      <alignment horizontal="left"/>
    </xf>
    <xf numFmtId="0" fontId="22" fillId="0" borderId="0" applyFont="0" applyFill="0" applyBorder="0" applyProtection="0">
      <alignment horizontal="right"/>
    </xf>
    <xf numFmtId="0" fontId="22" fillId="0" borderId="0" applyFont="0" applyFill="0" applyBorder="0" applyProtection="0">
      <alignment horizontal="right"/>
    </xf>
    <xf numFmtId="0" fontId="54" fillId="36" borderId="0" applyNumberFormat="0" applyBorder="0" applyAlignment="0" applyProtection="0"/>
    <xf numFmtId="0" fontId="54" fillId="36" borderId="0" applyNumberFormat="0" applyBorder="0" applyAlignment="0" applyProtection="0"/>
    <xf numFmtId="38" fontId="33" fillId="55" borderId="0" applyNumberFormat="0" applyBorder="0" applyAlignment="0" applyProtection="0"/>
    <xf numFmtId="0" fontId="22" fillId="0" borderId="0"/>
    <xf numFmtId="0" fontId="22" fillId="0" borderId="0"/>
    <xf numFmtId="0" fontId="40" fillId="0" borderId="0" applyFont="0" applyFill="0" applyBorder="0" applyAlignment="0" applyProtection="0">
      <alignment horizontal="right"/>
    </xf>
    <xf numFmtId="0" fontId="55" fillId="0" borderId="0" applyProtection="0">
      <alignment horizontal="right"/>
    </xf>
    <xf numFmtId="0" fontId="56" fillId="0" borderId="0">
      <alignment horizontal="left"/>
    </xf>
    <xf numFmtId="0" fontId="56" fillId="0" borderId="0">
      <alignment horizontal="left"/>
    </xf>
    <xf numFmtId="0" fontId="57" fillId="0" borderId="20" applyNumberFormat="0" applyAlignment="0" applyProtection="0">
      <alignment horizontal="left" vertical="center"/>
    </xf>
    <xf numFmtId="0" fontId="57" fillId="0" borderId="21">
      <alignment horizontal="left" vertical="center"/>
    </xf>
    <xf numFmtId="0" fontId="58" fillId="56" borderId="22" applyProtection="0">
      <alignment horizontal="right"/>
    </xf>
    <xf numFmtId="0" fontId="59" fillId="56" borderId="0" applyProtection="0">
      <alignment horizontal="left"/>
    </xf>
    <xf numFmtId="0" fontId="60" fillId="0" borderId="0" applyNumberFormat="0" applyFill="0" applyBorder="0" applyAlignment="0" applyProtection="0"/>
    <xf numFmtId="0" fontId="61" fillId="0" borderId="23" applyNumberFormat="0" applyFill="0" applyAlignment="0" applyProtection="0"/>
    <xf numFmtId="0" fontId="61" fillId="0" borderId="23" applyNumberFormat="0" applyFill="0" applyAlignment="0" applyProtection="0"/>
    <xf numFmtId="0" fontId="62" fillId="0" borderId="0">
      <alignment vertical="top" wrapText="1"/>
    </xf>
    <xf numFmtId="0" fontId="62" fillId="0" borderId="0">
      <alignment vertical="top" wrapText="1"/>
    </xf>
    <xf numFmtId="0" fontId="62" fillId="0" borderId="0">
      <alignment vertical="top" wrapText="1"/>
    </xf>
    <xf numFmtId="0" fontId="62" fillId="0" borderId="0">
      <alignment vertical="top" wrapText="1"/>
    </xf>
    <xf numFmtId="0" fontId="63" fillId="0" borderId="0">
      <alignment horizontal="left"/>
    </xf>
    <xf numFmtId="0" fontId="22" fillId="0" borderId="24">
      <alignment horizontal="left" vertical="top"/>
    </xf>
    <xf numFmtId="0" fontId="64" fillId="0" borderId="25" applyNumberFormat="0" applyFill="0" applyAlignment="0" applyProtection="0"/>
    <xf numFmtId="0" fontId="64" fillId="0" borderId="25" applyNumberFormat="0" applyFill="0" applyAlignment="0" applyProtection="0"/>
    <xf numFmtId="169" fontId="57" fillId="0" borderId="0" applyNumberFormat="0" applyFill="0" applyAlignment="0" applyProtection="0"/>
    <xf numFmtId="0" fontId="65" fillId="0" borderId="0">
      <alignment horizontal="left"/>
    </xf>
    <xf numFmtId="0" fontId="22" fillId="0" borderId="24">
      <alignment horizontal="left" vertical="top"/>
    </xf>
    <xf numFmtId="0" fontId="66" fillId="0" borderId="26" applyNumberFormat="0" applyFill="0" applyAlignment="0" applyProtection="0"/>
    <xf numFmtId="0" fontId="66" fillId="0" borderId="26" applyNumberFormat="0" applyFill="0" applyAlignment="0" applyProtection="0"/>
    <xf numFmtId="169" fontId="67" fillId="0" borderId="0" applyNumberFormat="0" applyFill="0" applyAlignment="0" applyProtection="0"/>
    <xf numFmtId="0" fontId="68" fillId="0" borderId="0">
      <alignment horizontal="left"/>
    </xf>
    <xf numFmtId="0" fontId="66" fillId="0" borderId="0" applyNumberFormat="0" applyFill="0" applyBorder="0" applyAlignment="0" applyProtection="0"/>
    <xf numFmtId="0" fontId="66" fillId="0" borderId="0" applyNumberFormat="0" applyFill="0" applyBorder="0" applyAlignment="0" applyProtection="0"/>
    <xf numFmtId="169" fontId="44" fillId="0" borderId="0" applyNumberFormat="0" applyFill="0" applyAlignment="0" applyProtection="0"/>
    <xf numFmtId="169" fontId="69" fillId="0" borderId="0" applyNumberFormat="0" applyFill="0" applyAlignment="0" applyProtection="0"/>
    <xf numFmtId="169" fontId="70" fillId="0" borderId="0" applyNumberFormat="0" applyFill="0" applyAlignment="0" applyProtection="0"/>
    <xf numFmtId="169" fontId="70" fillId="0" borderId="0" applyNumberFormat="0" applyFont="0" applyFill="0" applyBorder="0" applyAlignment="0" applyProtection="0"/>
    <xf numFmtId="169" fontId="70" fillId="0" borderId="0" applyNumberFormat="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22" fillId="0" borderId="0">
      <alignment horizontal="center"/>
    </xf>
    <xf numFmtId="0" fontId="72"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73" fillId="0" borderId="0" applyFill="0" applyBorder="0" applyProtection="0">
      <alignment horizontal="left"/>
    </xf>
    <xf numFmtId="0" fontId="74" fillId="39" borderId="14" applyNumberFormat="0" applyAlignment="0" applyProtection="0"/>
    <xf numFmtId="10" fontId="33" fillId="57" borderId="27" applyNumberFormat="0" applyBorder="0" applyAlignment="0" applyProtection="0"/>
    <xf numFmtId="0" fontId="74" fillId="39" borderId="14" applyNumberFormat="0" applyAlignment="0" applyProtection="0"/>
    <xf numFmtId="0" fontId="74" fillId="39" borderId="14" applyNumberFormat="0" applyAlignment="0" applyProtection="0"/>
    <xf numFmtId="0" fontId="74" fillId="39" borderId="14" applyNumberFormat="0" applyAlignment="0" applyProtection="0"/>
    <xf numFmtId="0" fontId="74" fillId="39" borderId="14" applyNumberFormat="0" applyAlignment="0" applyProtection="0"/>
    <xf numFmtId="0" fontId="74" fillId="39" borderId="14" applyNumberFormat="0" applyAlignment="0" applyProtection="0"/>
    <xf numFmtId="0" fontId="74" fillId="39" borderId="14" applyNumberFormat="0" applyAlignment="0" applyProtection="0"/>
    <xf numFmtId="0" fontId="74" fillId="39" borderId="14" applyNumberFormat="0" applyAlignment="0" applyProtection="0"/>
    <xf numFmtId="0" fontId="74" fillId="39" borderId="14" applyNumberFormat="0" applyAlignment="0" applyProtection="0"/>
    <xf numFmtId="0" fontId="74" fillId="39" borderId="14" applyNumberFormat="0" applyAlignment="0" applyProtection="0"/>
    <xf numFmtId="0" fontId="74" fillId="39" borderId="14" applyNumberFormat="0" applyAlignment="0" applyProtection="0"/>
    <xf numFmtId="0" fontId="74" fillId="39" borderId="14" applyNumberFormat="0" applyAlignment="0" applyProtection="0"/>
    <xf numFmtId="0" fontId="74" fillId="39" borderId="14" applyNumberFormat="0" applyAlignment="0" applyProtection="0"/>
    <xf numFmtId="0" fontId="74" fillId="39" borderId="14" applyNumberFormat="0" applyAlignment="0" applyProtection="0"/>
    <xf numFmtId="0" fontId="74" fillId="39" borderId="14" applyNumberFormat="0" applyAlignment="0" applyProtection="0"/>
    <xf numFmtId="0" fontId="74" fillId="39" borderId="14" applyNumberFormat="0" applyAlignment="0" applyProtection="0"/>
    <xf numFmtId="0" fontId="74" fillId="39" borderId="14" applyNumberFormat="0" applyAlignment="0" applyProtection="0"/>
    <xf numFmtId="0" fontId="74" fillId="39" borderId="14" applyNumberFormat="0" applyAlignment="0" applyProtection="0"/>
    <xf numFmtId="0" fontId="74" fillId="39" borderId="14" applyNumberFormat="0" applyAlignment="0" applyProtection="0"/>
    <xf numFmtId="0" fontId="45" fillId="0" borderId="0" applyFill="0" applyBorder="0" applyProtection="0"/>
    <xf numFmtId="0" fontId="45" fillId="0" borderId="0" applyFill="0" applyBorder="0" applyProtection="0"/>
    <xf numFmtId="0" fontId="45" fillId="0" borderId="0" applyFill="0" applyBorder="0" applyProtection="0"/>
    <xf numFmtId="0" fontId="45" fillId="0" borderId="0" applyFill="0" applyBorder="0" applyProtection="0"/>
    <xf numFmtId="0" fontId="58" fillId="0" borderId="28" applyProtection="0">
      <alignment horizontal="right"/>
    </xf>
    <xf numFmtId="0" fontId="58" fillId="0" borderId="22" applyProtection="0">
      <alignment horizontal="right"/>
    </xf>
    <xf numFmtId="0" fontId="58" fillId="0" borderId="29" applyProtection="0">
      <alignment horizontal="center"/>
      <protection locked="0"/>
    </xf>
    <xf numFmtId="0" fontId="22" fillId="0" borderId="0"/>
    <xf numFmtId="0" fontId="75" fillId="0" borderId="30" applyNumberFormat="0" applyFill="0" applyAlignment="0" applyProtection="0"/>
    <xf numFmtId="0" fontId="75" fillId="0" borderId="30" applyNumberFormat="0" applyFill="0" applyAlignment="0" applyProtection="0"/>
    <xf numFmtId="0" fontId="22" fillId="0" borderId="0"/>
    <xf numFmtId="0" fontId="22" fillId="0" borderId="0"/>
    <xf numFmtId="0" fontId="22" fillId="0" borderId="0"/>
    <xf numFmtId="199" fontId="40" fillId="0" borderId="0" applyFont="0" applyFill="0" applyBorder="0" applyAlignment="0" applyProtection="0"/>
    <xf numFmtId="200" fontId="40" fillId="0" borderId="0" applyFont="0" applyFill="0" applyBorder="0" applyAlignment="0" applyProtection="0"/>
    <xf numFmtId="180" fontId="23" fillId="0" borderId="0" applyFont="0" applyFill="0" applyBorder="0" applyAlignment="0" applyProtection="0"/>
    <xf numFmtId="181" fontId="23" fillId="0" borderId="0" applyFont="0" applyFill="0" applyBorder="0" applyAlignment="0" applyProtection="0"/>
    <xf numFmtId="0" fontId="76" fillId="0" borderId="0" applyNumberFormat="0">
      <alignment horizontal="left"/>
    </xf>
    <xf numFmtId="0" fontId="40" fillId="0" borderId="0" applyFont="0" applyFill="0" applyBorder="0" applyAlignment="0" applyProtection="0">
      <alignment horizontal="right"/>
    </xf>
    <xf numFmtId="201" fontId="40" fillId="0" borderId="0" applyFont="0" applyFill="0" applyBorder="0" applyAlignment="0" applyProtection="0">
      <alignment horizontal="right"/>
    </xf>
    <xf numFmtId="1" fontId="22" fillId="0" borderId="0" applyFont="0" applyFill="0" applyBorder="0" applyProtection="0">
      <alignment horizontal="right"/>
    </xf>
    <xf numFmtId="1" fontId="22" fillId="0" borderId="0" applyFont="0" applyFill="0" applyBorder="0" applyProtection="0">
      <alignment horizontal="right"/>
    </xf>
    <xf numFmtId="0" fontId="77" fillId="58" borderId="0" applyNumberFormat="0" applyBorder="0" applyAlignment="0" applyProtection="0"/>
    <xf numFmtId="0" fontId="77" fillId="58" borderId="0" applyNumberFormat="0" applyBorder="0" applyAlignment="0" applyProtection="0"/>
    <xf numFmtId="37" fontId="78" fillId="0" borderId="0"/>
    <xf numFmtId="0" fontId="79" fillId="0" borderId="0"/>
    <xf numFmtId="3" fontId="80" fillId="0" borderId="0"/>
    <xf numFmtId="0" fontId="79" fillId="0" borderId="0"/>
    <xf numFmtId="0" fontId="79" fillId="0" borderId="0"/>
    <xf numFmtId="0" fontId="79" fillId="0" borderId="0"/>
    <xf numFmtId="0" fontId="79" fillId="0" borderId="0"/>
    <xf numFmtId="0" fontId="40" fillId="0" borderId="0" applyFill="0" applyBorder="0" applyProtection="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xf numFmtId="0" fontId="21" fillId="0" borderId="0"/>
    <xf numFmtId="0" fontId="22" fillId="0" borderId="0"/>
    <xf numFmtId="0" fontId="22" fillId="0" borderId="0">
      <alignment vertical="top"/>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0" fontId="23" fillId="0" borderId="0"/>
    <xf numFmtId="0" fontId="21" fillId="0" borderId="0"/>
    <xf numFmtId="0" fontId="21" fillId="0" borderId="0"/>
    <xf numFmtId="0" fontId="22" fillId="0" borderId="0"/>
    <xf numFmtId="0" fontId="22" fillId="0" borderId="0"/>
    <xf numFmtId="0" fontId="22" fillId="0" borderId="0"/>
    <xf numFmtId="0" fontId="22" fillId="0" borderId="0"/>
    <xf numFmtId="0" fontId="22"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xf numFmtId="0" fontId="21" fillId="59" borderId="31" applyNumberFormat="0" applyFont="0" applyAlignment="0" applyProtection="0"/>
    <xf numFmtId="0" fontId="22" fillId="59" borderId="31" applyNumberFormat="0" applyFont="0" applyAlignment="0" applyProtection="0"/>
    <xf numFmtId="0" fontId="81" fillId="0" borderId="0"/>
    <xf numFmtId="0" fontId="48" fillId="0" borderId="0"/>
    <xf numFmtId="0" fontId="48" fillId="0" borderId="0"/>
    <xf numFmtId="0" fontId="82" fillId="52" borderId="32" applyNumberFormat="0" applyAlignment="0" applyProtection="0"/>
    <xf numFmtId="0" fontId="82" fillId="52" borderId="32" applyNumberFormat="0" applyAlignment="0" applyProtection="0"/>
    <xf numFmtId="40" fontId="83" fillId="60" borderId="0">
      <alignment horizontal="right"/>
    </xf>
    <xf numFmtId="0" fontId="84" fillId="60" borderId="0">
      <alignment horizontal="right"/>
    </xf>
    <xf numFmtId="0" fontId="85" fillId="60" borderId="33"/>
    <xf numFmtId="0" fontId="85" fillId="0" borderId="0" applyBorder="0">
      <alignment horizontal="centerContinuous"/>
    </xf>
    <xf numFmtId="0" fontId="86" fillId="0" borderId="0" applyBorder="0">
      <alignment horizontal="centerContinuous"/>
    </xf>
    <xf numFmtId="170" fontId="22" fillId="0" borderId="0" applyFont="0" applyFill="0" applyBorder="0" applyProtection="0">
      <alignment horizontal="right"/>
    </xf>
    <xf numFmtId="170" fontId="22" fillId="0" borderId="0" applyFont="0" applyFill="0" applyBorder="0" applyProtection="0">
      <alignment horizontal="right"/>
    </xf>
    <xf numFmtId="1" fontId="87" fillId="0" borderId="0" applyProtection="0">
      <alignment horizontal="right" vertical="center"/>
    </xf>
    <xf numFmtId="9" fontId="88" fillId="0" borderId="0" applyFont="0" applyFill="0" applyBorder="0" applyAlignment="0" applyProtection="0"/>
    <xf numFmtId="10" fontId="22" fillId="0" borderId="0" applyFont="0" applyFill="0" applyBorder="0" applyAlignment="0" applyProtection="0"/>
    <xf numFmtId="9" fontId="21" fillId="0" borderId="0" applyFont="0" applyFill="0" applyBorder="0" applyAlignment="0" applyProtection="0"/>
    <xf numFmtId="9" fontId="89"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89" fillId="0" borderId="0" applyFont="0" applyFill="0" applyBorder="0" applyAlignment="0" applyProtection="0"/>
    <xf numFmtId="9" fontId="89"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202" fontId="45" fillId="0" borderId="0" applyFont="0" applyFill="0" applyBorder="0" applyAlignment="0" applyProtection="0"/>
    <xf numFmtId="3" fontId="33" fillId="61" borderId="34"/>
    <xf numFmtId="3" fontId="33" fillId="0" borderId="34" applyFont="0" applyFill="0" applyBorder="0" applyAlignment="0" applyProtection="0">
      <protection locked="0"/>
    </xf>
    <xf numFmtId="0" fontId="81" fillId="0" borderId="0"/>
    <xf numFmtId="0" fontId="22" fillId="0" borderId="0"/>
    <xf numFmtId="0" fontId="33" fillId="0" borderId="0"/>
    <xf numFmtId="203" fontId="90" fillId="0" borderId="0"/>
    <xf numFmtId="0" fontId="22" fillId="0" borderId="0"/>
    <xf numFmtId="0" fontId="22" fillId="0" borderId="0"/>
    <xf numFmtId="2" fontId="91" fillId="62" borderId="35" applyAlignment="0" applyProtection="0">
      <protection locked="0"/>
    </xf>
    <xf numFmtId="0" fontId="92" fillId="57" borderId="35" applyNumberFormat="0" applyAlignment="0" applyProtection="0"/>
    <xf numFmtId="0" fontId="93" fillId="63" borderId="27" applyNumberFormat="0" applyAlignment="0" applyProtection="0">
      <alignment horizontal="center" vertical="center"/>
    </xf>
    <xf numFmtId="0" fontId="33" fillId="0" borderId="0"/>
    <xf numFmtId="0" fontId="22" fillId="0" borderId="0"/>
    <xf numFmtId="4" fontId="23" fillId="64" borderId="32" applyNumberFormat="0" applyProtection="0">
      <alignment vertical="center"/>
    </xf>
    <xf numFmtId="4" fontId="94" fillId="64" borderId="32" applyNumberFormat="0" applyProtection="0">
      <alignment vertical="center"/>
    </xf>
    <xf numFmtId="4" fontId="23" fillId="64" borderId="32" applyNumberFormat="0" applyProtection="0">
      <alignment horizontal="left" vertical="center" indent="1"/>
    </xf>
    <xf numFmtId="4" fontId="23" fillId="64" borderId="32" applyNumberFormat="0" applyProtection="0">
      <alignment horizontal="left" vertical="center" indent="1"/>
    </xf>
    <xf numFmtId="0" fontId="22" fillId="65" borderId="32" applyNumberFormat="0" applyProtection="0">
      <alignment horizontal="left" vertical="center" indent="1"/>
    </xf>
    <xf numFmtId="4" fontId="23" fillId="66" borderId="32" applyNumberFormat="0" applyProtection="0">
      <alignment horizontal="right" vertical="center"/>
    </xf>
    <xf numFmtId="4" fontId="23" fillId="67" borderId="32" applyNumberFormat="0" applyProtection="0">
      <alignment horizontal="right" vertical="center"/>
    </xf>
    <xf numFmtId="4" fontId="23" fillId="68" borderId="32" applyNumberFormat="0" applyProtection="0">
      <alignment horizontal="right" vertical="center"/>
    </xf>
    <xf numFmtId="4" fontId="23" fillId="69" borderId="32" applyNumberFormat="0" applyProtection="0">
      <alignment horizontal="right" vertical="center"/>
    </xf>
    <xf numFmtId="4" fontId="23" fillId="70" borderId="32" applyNumberFormat="0" applyProtection="0">
      <alignment horizontal="right" vertical="center"/>
    </xf>
    <xf numFmtId="4" fontId="23" fillId="71" borderId="32" applyNumberFormat="0" applyProtection="0">
      <alignment horizontal="right" vertical="center"/>
    </xf>
    <xf numFmtId="4" fontId="23" fillId="72" borderId="32" applyNumberFormat="0" applyProtection="0">
      <alignment horizontal="right" vertical="center"/>
    </xf>
    <xf numFmtId="4" fontId="23" fillId="73" borderId="32" applyNumberFormat="0" applyProtection="0">
      <alignment horizontal="right" vertical="center"/>
    </xf>
    <xf numFmtId="4" fontId="23" fillId="74" borderId="32" applyNumberFormat="0" applyProtection="0">
      <alignment horizontal="right" vertical="center"/>
    </xf>
    <xf numFmtId="4" fontId="38" fillId="75" borderId="32" applyNumberFormat="0" applyProtection="0">
      <alignment horizontal="left" vertical="center" indent="1"/>
    </xf>
    <xf numFmtId="4" fontId="23" fillId="76" borderId="36" applyNumberFormat="0" applyProtection="0">
      <alignment horizontal="left" vertical="center" indent="1"/>
    </xf>
    <xf numFmtId="4" fontId="95" fillId="77" borderId="0" applyNumberFormat="0" applyProtection="0">
      <alignment horizontal="left" vertical="center" indent="1"/>
    </xf>
    <xf numFmtId="0" fontId="22" fillId="65" borderId="32" applyNumberFormat="0" applyProtection="0">
      <alignment horizontal="left" vertical="center" indent="1"/>
    </xf>
    <xf numFmtId="4" fontId="23" fillId="76" borderId="32" applyNumberFormat="0" applyProtection="0">
      <alignment horizontal="left" vertical="center" indent="1"/>
    </xf>
    <xf numFmtId="4" fontId="23" fillId="78" borderId="32" applyNumberFormat="0" applyProtection="0">
      <alignment horizontal="left" vertical="center" indent="1"/>
    </xf>
    <xf numFmtId="0" fontId="22" fillId="78" borderId="32" applyNumberFormat="0" applyProtection="0">
      <alignment horizontal="left" vertical="center" indent="1"/>
    </xf>
    <xf numFmtId="0" fontId="22" fillId="78" borderId="32" applyNumberFormat="0" applyProtection="0">
      <alignment horizontal="left" vertical="center" indent="1"/>
    </xf>
    <xf numFmtId="0" fontId="22" fillId="63" borderId="32" applyNumberFormat="0" applyProtection="0">
      <alignment horizontal="left" vertical="center" indent="1"/>
    </xf>
    <xf numFmtId="0" fontId="22" fillId="63" borderId="32" applyNumberFormat="0" applyProtection="0">
      <alignment horizontal="left" vertical="center" indent="1"/>
    </xf>
    <xf numFmtId="0" fontId="22" fillId="55" borderId="32" applyNumberFormat="0" applyProtection="0">
      <alignment horizontal="left" vertical="center" indent="1"/>
    </xf>
    <xf numFmtId="0" fontId="22" fillId="55" borderId="32" applyNumberFormat="0" applyProtection="0">
      <alignment horizontal="left" vertical="center" indent="1"/>
    </xf>
    <xf numFmtId="0" fontId="22" fillId="65" borderId="32" applyNumberFormat="0" applyProtection="0">
      <alignment horizontal="left" vertical="center" indent="1"/>
    </xf>
    <xf numFmtId="0" fontId="22" fillId="65" borderId="32" applyNumberFormat="0" applyProtection="0">
      <alignment horizontal="left" vertical="center" indent="1"/>
    </xf>
    <xf numFmtId="4" fontId="23" fillId="57" borderId="32" applyNumberFormat="0" applyProtection="0">
      <alignment vertical="center"/>
    </xf>
    <xf numFmtId="4" fontId="94" fillId="57" borderId="32" applyNumberFormat="0" applyProtection="0">
      <alignment vertical="center"/>
    </xf>
    <xf numFmtId="4" fontId="23" fillId="57" borderId="32" applyNumberFormat="0" applyProtection="0">
      <alignment horizontal="left" vertical="center" indent="1"/>
    </xf>
    <xf numFmtId="4" fontId="23" fillId="57" borderId="32" applyNumberFormat="0" applyProtection="0">
      <alignment horizontal="left" vertical="center" indent="1"/>
    </xf>
    <xf numFmtId="4" fontId="23" fillId="76" borderId="32" applyNumberFormat="0" applyProtection="0">
      <alignment horizontal="right" vertical="center"/>
    </xf>
    <xf numFmtId="4" fontId="94" fillId="76" borderId="32" applyNumberFormat="0" applyProtection="0">
      <alignment horizontal="right" vertical="center"/>
    </xf>
    <xf numFmtId="0" fontId="22" fillId="65" borderId="32" applyNumberFormat="0" applyProtection="0">
      <alignment horizontal="left" vertical="center" indent="1"/>
    </xf>
    <xf numFmtId="0" fontId="22" fillId="65" borderId="32" applyNumberFormat="0" applyProtection="0">
      <alignment horizontal="left" vertical="center" indent="1"/>
    </xf>
    <xf numFmtId="0" fontId="96" fillId="0" borderId="0"/>
    <xf numFmtId="4" fontId="97" fillId="76" borderId="32" applyNumberFormat="0" applyProtection="0">
      <alignment horizontal="right" vertical="center"/>
    </xf>
    <xf numFmtId="0" fontId="22" fillId="0" borderId="19"/>
    <xf numFmtId="0" fontId="22" fillId="0" borderId="0"/>
    <xf numFmtId="0" fontId="22" fillId="0" borderId="0"/>
    <xf numFmtId="0" fontId="24" fillId="0" borderId="0"/>
    <xf numFmtId="0" fontId="22" fillId="0" borderId="0">
      <alignment vertical="top"/>
    </xf>
    <xf numFmtId="0" fontId="98" fillId="60" borderId="37">
      <alignment horizontal="center"/>
    </xf>
    <xf numFmtId="3" fontId="99" fillId="60" borderId="0"/>
    <xf numFmtId="3" fontId="98" fillId="60" borderId="0"/>
    <xf numFmtId="0" fontId="99" fillId="60" borderId="0"/>
    <xf numFmtId="0" fontId="98" fillId="60" borderId="0"/>
    <xf numFmtId="0" fontId="99" fillId="60" borderId="0">
      <alignment horizontal="center"/>
    </xf>
    <xf numFmtId="0" fontId="22" fillId="0" borderId="38"/>
    <xf numFmtId="0" fontId="100" fillId="0" borderId="0">
      <alignment wrapText="1"/>
    </xf>
    <xf numFmtId="0" fontId="100" fillId="0" borderId="0">
      <alignment wrapText="1"/>
    </xf>
    <xf numFmtId="0" fontId="100" fillId="0" borderId="0">
      <alignment wrapText="1"/>
    </xf>
    <xf numFmtId="0" fontId="100" fillId="0" borderId="0">
      <alignment wrapText="1"/>
    </xf>
    <xf numFmtId="0" fontId="101" fillId="0" borderId="0" applyBorder="0" applyProtection="0">
      <alignment vertical="center"/>
    </xf>
    <xf numFmtId="0" fontId="101" fillId="0" borderId="39" applyBorder="0" applyProtection="0">
      <alignment horizontal="right" vertical="center"/>
    </xf>
    <xf numFmtId="0" fontId="102" fillId="79" borderId="0" applyBorder="0" applyProtection="0">
      <alignment horizontal="centerContinuous" vertical="center"/>
    </xf>
    <xf numFmtId="0" fontId="102" fillId="80" borderId="39" applyBorder="0" applyProtection="0">
      <alignment horizontal="centerContinuous" vertical="center"/>
    </xf>
    <xf numFmtId="0" fontId="103" fillId="0" borderId="0" applyNumberFormat="0" applyFill="0" applyBorder="0" applyProtection="0">
      <alignment horizontal="left"/>
    </xf>
    <xf numFmtId="0" fontId="104" fillId="81" borderId="0">
      <alignment horizontal="right" vertical="top" wrapText="1"/>
    </xf>
    <xf numFmtId="0" fontId="104" fillId="81" borderId="0">
      <alignment horizontal="right" vertical="top" wrapText="1"/>
    </xf>
    <xf numFmtId="0" fontId="104" fillId="81" borderId="0">
      <alignment horizontal="right" vertical="top" wrapText="1"/>
    </xf>
    <xf numFmtId="0" fontId="104" fillId="81" borderId="0">
      <alignment horizontal="right" vertical="top" wrapText="1"/>
    </xf>
    <xf numFmtId="0" fontId="104" fillId="0" borderId="0" applyBorder="0" applyProtection="0">
      <alignment horizontal="left"/>
    </xf>
    <xf numFmtId="0" fontId="105" fillId="0" borderId="0"/>
    <xf numFmtId="0" fontId="105" fillId="0" borderId="0"/>
    <xf numFmtId="0" fontId="105" fillId="0" borderId="0"/>
    <xf numFmtId="0" fontId="105" fillId="0" borderId="0"/>
    <xf numFmtId="0" fontId="106" fillId="0" borderId="0"/>
    <xf numFmtId="0" fontId="106" fillId="0" borderId="0"/>
    <xf numFmtId="0" fontId="106" fillId="0" borderId="0"/>
    <xf numFmtId="0" fontId="107" fillId="0" borderId="0"/>
    <xf numFmtId="0" fontId="107" fillId="0" borderId="0"/>
    <xf numFmtId="0" fontId="107" fillId="0" borderId="0"/>
    <xf numFmtId="171" fontId="33" fillId="0" borderId="0">
      <alignment wrapText="1"/>
      <protection locked="0"/>
    </xf>
    <xf numFmtId="171" fontId="33" fillId="0" borderId="0">
      <alignment wrapText="1"/>
      <protection locked="0"/>
    </xf>
    <xf numFmtId="171" fontId="104" fillId="82" borderId="0">
      <alignment wrapText="1"/>
      <protection locked="0"/>
    </xf>
    <xf numFmtId="171" fontId="104" fillId="82" borderId="0">
      <alignment wrapText="1"/>
      <protection locked="0"/>
    </xf>
    <xf numFmtId="171" fontId="104" fillId="82" borderId="0">
      <alignment wrapText="1"/>
      <protection locked="0"/>
    </xf>
    <xf numFmtId="171" fontId="104" fillId="82" borderId="0">
      <alignment wrapText="1"/>
      <protection locked="0"/>
    </xf>
    <xf numFmtId="171" fontId="33" fillId="0" borderId="0">
      <alignment wrapText="1"/>
      <protection locked="0"/>
    </xf>
    <xf numFmtId="172" fontId="33" fillId="0" borderId="0">
      <alignment wrapText="1"/>
      <protection locked="0"/>
    </xf>
    <xf numFmtId="172" fontId="33" fillId="0" borderId="0">
      <alignment wrapText="1"/>
      <protection locked="0"/>
    </xf>
    <xf numFmtId="172" fontId="33" fillId="0" borderId="0">
      <alignment wrapText="1"/>
      <protection locked="0"/>
    </xf>
    <xf numFmtId="172" fontId="104" fillId="82" borderId="0">
      <alignment wrapText="1"/>
      <protection locked="0"/>
    </xf>
    <xf numFmtId="172" fontId="104" fillId="82" borderId="0">
      <alignment wrapText="1"/>
      <protection locked="0"/>
    </xf>
    <xf numFmtId="172" fontId="104" fillId="82" borderId="0">
      <alignment wrapText="1"/>
      <protection locked="0"/>
    </xf>
    <xf numFmtId="172" fontId="104" fillId="82" borderId="0">
      <alignment wrapText="1"/>
      <protection locked="0"/>
    </xf>
    <xf numFmtId="172" fontId="104" fillId="82" borderId="0">
      <alignment wrapText="1"/>
      <protection locked="0"/>
    </xf>
    <xf numFmtId="172" fontId="33" fillId="0" borderId="0">
      <alignment wrapText="1"/>
      <protection locked="0"/>
    </xf>
    <xf numFmtId="173" fontId="33" fillId="0" borderId="0">
      <alignment wrapText="1"/>
      <protection locked="0"/>
    </xf>
    <xf numFmtId="173" fontId="33" fillId="0" borderId="0">
      <alignment wrapText="1"/>
      <protection locked="0"/>
    </xf>
    <xf numFmtId="173" fontId="104" fillId="82" borderId="0">
      <alignment wrapText="1"/>
      <protection locked="0"/>
    </xf>
    <xf numFmtId="173" fontId="104" fillId="82" borderId="0">
      <alignment wrapText="1"/>
      <protection locked="0"/>
    </xf>
    <xf numFmtId="173" fontId="104" fillId="82" borderId="0">
      <alignment wrapText="1"/>
      <protection locked="0"/>
    </xf>
    <xf numFmtId="173" fontId="104" fillId="82" borderId="0">
      <alignment wrapText="1"/>
      <protection locked="0"/>
    </xf>
    <xf numFmtId="173" fontId="33" fillId="0" borderId="0">
      <alignment wrapText="1"/>
      <protection locked="0"/>
    </xf>
    <xf numFmtId="0" fontId="52" fillId="0" borderId="0" applyNumberFormat="0" applyFill="0" applyBorder="0" applyProtection="0">
      <alignment horizontal="left"/>
    </xf>
    <xf numFmtId="0" fontId="65" fillId="0" borderId="0" applyNumberFormat="0" applyFill="0" applyBorder="0" applyProtection="0"/>
    <xf numFmtId="0" fontId="108" fillId="0" borderId="0" applyFill="0" applyBorder="0" applyProtection="0">
      <alignment horizontal="left"/>
    </xf>
    <xf numFmtId="174" fontId="104" fillId="81" borderId="40">
      <alignment wrapText="1"/>
    </xf>
    <xf numFmtId="174" fontId="104" fillId="81" borderId="40">
      <alignment wrapText="1"/>
    </xf>
    <xf numFmtId="174" fontId="104" fillId="81" borderId="40">
      <alignment wrapText="1"/>
    </xf>
    <xf numFmtId="175" fontId="104" fillId="81" borderId="40">
      <alignment wrapText="1"/>
    </xf>
    <xf numFmtId="175" fontId="104" fillId="81" borderId="40">
      <alignment wrapText="1"/>
    </xf>
    <xf numFmtId="175" fontId="104" fillId="81" borderId="40">
      <alignment wrapText="1"/>
    </xf>
    <xf numFmtId="175" fontId="104" fillId="81" borderId="40">
      <alignment wrapText="1"/>
    </xf>
    <xf numFmtId="176" fontId="104" fillId="81" borderId="40">
      <alignment wrapText="1"/>
    </xf>
    <xf numFmtId="176" fontId="104" fillId="81" borderId="40">
      <alignment wrapText="1"/>
    </xf>
    <xf numFmtId="176" fontId="104" fillId="81" borderId="40">
      <alignment wrapText="1"/>
    </xf>
    <xf numFmtId="0" fontId="105" fillId="0" borderId="41">
      <alignment horizontal="right"/>
    </xf>
    <xf numFmtId="0" fontId="105" fillId="0" borderId="41">
      <alignment horizontal="right"/>
    </xf>
    <xf numFmtId="0" fontId="105" fillId="0" borderId="41">
      <alignment horizontal="right"/>
    </xf>
    <xf numFmtId="0" fontId="33" fillId="0" borderId="24" applyFill="0" applyBorder="0" applyProtection="0">
      <alignment horizontal="left" vertical="top"/>
    </xf>
    <xf numFmtId="0" fontId="105" fillId="0" borderId="41">
      <alignment horizontal="right"/>
    </xf>
    <xf numFmtId="204" fontId="22" fillId="0" borderId="0" applyNumberFormat="0" applyFill="0" applyBorder="0">
      <alignment horizontal="left"/>
    </xf>
    <xf numFmtId="204" fontId="22" fillId="0" borderId="0" applyNumberFormat="0" applyFill="0" applyBorder="0">
      <alignment horizontal="right"/>
    </xf>
    <xf numFmtId="0" fontId="22" fillId="0" borderId="0"/>
    <xf numFmtId="0" fontId="109" fillId="0" borderId="0" applyNumberFormat="0" applyFill="0" applyBorder="0" applyProtection="0"/>
    <xf numFmtId="0" fontId="109" fillId="0" borderId="0" applyNumberFormat="0" applyFill="0" applyBorder="0" applyProtection="0"/>
    <xf numFmtId="0" fontId="22" fillId="0" borderId="0" applyNumberFormat="0" applyFill="0" applyBorder="0" applyProtection="0"/>
    <xf numFmtId="0" fontId="22" fillId="0" borderId="0" applyNumberFormat="0" applyFill="0" applyBorder="0" applyProtection="0"/>
    <xf numFmtId="0" fontId="109" fillId="0" borderId="0" applyNumberFormat="0" applyFill="0" applyBorder="0" applyProtection="0"/>
    <xf numFmtId="0" fontId="109" fillId="0" borderId="0"/>
    <xf numFmtId="40" fontId="110" fillId="0" borderId="0"/>
    <xf numFmtId="0" fontId="111" fillId="0" borderId="0" applyNumberFormat="0" applyFill="0" applyBorder="0" applyAlignment="0" applyProtection="0"/>
    <xf numFmtId="0" fontId="111" fillId="0" borderId="0" applyNumberFormat="0" applyFill="0" applyBorder="0" applyAlignment="0" applyProtection="0"/>
    <xf numFmtId="0" fontId="112" fillId="0" borderId="0" applyNumberFormat="0" applyFill="0" applyBorder="0" applyProtection="0">
      <alignment horizontal="left" vertical="center" indent="10"/>
    </xf>
    <xf numFmtId="0" fontId="112" fillId="0" borderId="0" applyNumberFormat="0" applyFill="0" applyBorder="0" applyProtection="0">
      <alignment horizontal="left" vertical="center" indent="10"/>
    </xf>
    <xf numFmtId="0" fontId="22" fillId="0" borderId="0"/>
    <xf numFmtId="0" fontId="109" fillId="0" borderId="0"/>
    <xf numFmtId="0" fontId="113" fillId="0" borderId="42" applyNumberFormat="0" applyFill="0" applyAlignment="0" applyProtection="0"/>
    <xf numFmtId="0" fontId="113" fillId="0" borderId="42" applyNumberFormat="0" applyFill="0" applyAlignment="0" applyProtection="0"/>
    <xf numFmtId="0" fontId="114" fillId="0" borderId="0" applyFill="0" applyBorder="0" applyProtection="0"/>
    <xf numFmtId="0" fontId="114" fillId="0" borderId="0" applyFill="0" applyBorder="0" applyProtection="0"/>
    <xf numFmtId="0" fontId="22" fillId="0" borderId="0"/>
    <xf numFmtId="0" fontId="81" fillId="0" borderId="0"/>
    <xf numFmtId="0" fontId="22" fillId="0" borderId="0"/>
    <xf numFmtId="0" fontId="22" fillId="0" borderId="0"/>
    <xf numFmtId="0" fontId="22" fillId="0" borderId="0">
      <alignment horizontal="center" textRotation="180"/>
    </xf>
    <xf numFmtId="0" fontId="115" fillId="0" borderId="0" applyNumberFormat="0" applyFill="0" applyBorder="0" applyAlignment="0" applyProtection="0"/>
    <xf numFmtId="0" fontId="115" fillId="0" borderId="0" applyNumberFormat="0" applyFill="0" applyBorder="0" applyAlignment="0" applyProtection="0"/>
    <xf numFmtId="0" fontId="33" fillId="0" borderId="0"/>
    <xf numFmtId="0" fontId="117" fillId="0" borderId="0" applyNumberFormat="0" applyFill="0" applyBorder="0" applyAlignment="0" applyProtection="0"/>
    <xf numFmtId="0" fontId="22" fillId="0" borderId="0"/>
    <xf numFmtId="9" fontId="21" fillId="0" borderId="0" applyFont="0" applyFill="0" applyBorder="0" applyAlignment="0" applyProtection="0"/>
    <xf numFmtId="0" fontId="22" fillId="0" borderId="0"/>
    <xf numFmtId="0" fontId="22" fillId="0" borderId="0"/>
    <xf numFmtId="43" fontId="21" fillId="0" borderId="0" applyFont="0" applyFill="0" applyBorder="0" applyAlignment="0" applyProtection="0"/>
    <xf numFmtId="0" fontId="22" fillId="0" borderId="0"/>
    <xf numFmtId="0" fontId="22" fillId="0" borderId="0"/>
    <xf numFmtId="182" fontId="22" fillId="0" borderId="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165" fontId="22" fillId="0" borderId="0" applyFont="0" applyFill="0" applyBorder="0" applyProtection="0">
      <alignment horizontal="right"/>
    </xf>
    <xf numFmtId="165" fontId="22" fillId="0" borderId="0" applyFont="0" applyFill="0" applyBorder="0" applyProtection="0">
      <alignment horizontal="right"/>
    </xf>
    <xf numFmtId="167" fontId="22" fillId="0" borderId="0" applyFont="0" applyFill="0" applyBorder="0" applyProtection="0">
      <alignment horizontal="right"/>
    </xf>
    <xf numFmtId="167" fontId="22" fillId="0" borderId="0" applyFont="0" applyFill="0" applyBorder="0" applyProtection="0">
      <alignment horizontal="right"/>
    </xf>
    <xf numFmtId="166" fontId="22" fillId="0" borderId="0" applyFont="0" applyFill="0" applyBorder="0" applyProtection="0">
      <alignment horizontal="right"/>
    </xf>
    <xf numFmtId="166" fontId="22" fillId="0" borderId="0" applyFont="0" applyFill="0" applyBorder="0" applyProtection="0">
      <alignment horizontal="right"/>
    </xf>
    <xf numFmtId="177" fontId="22" fillId="0" borderId="0" applyBorder="0"/>
    <xf numFmtId="0" fontId="22" fillId="0" borderId="0"/>
    <xf numFmtId="0" fontId="22" fillId="0" borderId="0"/>
    <xf numFmtId="0" fontId="22" fillId="0" borderId="0"/>
    <xf numFmtId="0" fontId="22" fillId="0" borderId="0"/>
    <xf numFmtId="166" fontId="32" fillId="0" borderId="0" applyFont="0" applyFill="0" applyBorder="0" applyProtection="0">
      <alignment horizontal="right"/>
    </xf>
    <xf numFmtId="168" fontId="32" fillId="0" borderId="0" applyFont="0" applyFill="0" applyBorder="0" applyProtection="0">
      <alignment horizontal="left"/>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alignment horizontal="left"/>
    </xf>
    <xf numFmtId="0" fontId="22" fillId="0" borderId="0"/>
    <xf numFmtId="0" fontId="22" fillId="0" borderId="0">
      <alignment horizontal="left"/>
    </xf>
    <xf numFmtId="44" fontId="22" fillId="0" borderId="0" applyFont="0" applyFill="0" applyBorder="0" applyAlignment="0" applyProtection="0"/>
    <xf numFmtId="191" fontId="22" fillId="0" borderId="0" applyFont="0" applyFill="0" applyBorder="0" applyAlignment="0" applyProtection="0"/>
    <xf numFmtId="181" fontId="22" fillId="0" borderId="0" applyFont="0" applyFill="0" applyBorder="0" applyAlignment="0" applyProtection="0"/>
    <xf numFmtId="0" fontId="22" fillId="0" borderId="0">
      <protection locked="0"/>
    </xf>
    <xf numFmtId="0" fontId="22" fillId="0" borderId="0"/>
    <xf numFmtId="0" fontId="22" fillId="0" borderId="0">
      <protection locked="0"/>
    </xf>
    <xf numFmtId="0" fontId="22" fillId="0" borderId="0">
      <protection locked="0"/>
    </xf>
    <xf numFmtId="178" fontId="22" fillId="0" borderId="0" applyFont="0" applyFill="0" applyBorder="0" applyAlignment="0" applyProtection="0"/>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0" fontId="22" fillId="0" borderId="0">
      <alignment horizontal="left"/>
    </xf>
    <xf numFmtId="0" fontId="22" fillId="0" borderId="0" applyFont="0" applyFill="0" applyBorder="0" applyProtection="0">
      <alignment horizontal="right"/>
    </xf>
    <xf numFmtId="0" fontId="22" fillId="0" borderId="0" applyFont="0" applyFill="0" applyBorder="0" applyProtection="0">
      <alignment horizontal="right"/>
    </xf>
    <xf numFmtId="38" fontId="33" fillId="55" borderId="0" applyNumberFormat="0" applyBorder="0" applyAlignment="0" applyProtection="0"/>
    <xf numFmtId="0" fontId="22" fillId="0" borderId="0"/>
    <xf numFmtId="0" fontId="22" fillId="0" borderId="24">
      <alignment horizontal="left" vertical="top"/>
    </xf>
    <xf numFmtId="0" fontId="22" fillId="0" borderId="24">
      <alignment horizontal="left" vertical="top"/>
    </xf>
    <xf numFmtId="10" fontId="33" fillId="57" borderId="27" applyNumberFormat="0" applyBorder="0" applyAlignment="0" applyProtection="0"/>
    <xf numFmtId="0" fontId="22" fillId="0" borderId="0"/>
    <xf numFmtId="0" fontId="22" fillId="0" borderId="0"/>
    <xf numFmtId="0" fontId="22" fillId="0" borderId="0"/>
    <xf numFmtId="1" fontId="22" fillId="0" borderId="0" applyFont="0" applyFill="0" applyBorder="0" applyProtection="0">
      <alignment horizontal="right"/>
    </xf>
    <xf numFmtId="1" fontId="22" fillId="0" borderId="0" applyFont="0" applyFill="0" applyBorder="0" applyProtection="0">
      <alignment horizontal="right"/>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xf numFmtId="0" fontId="22" fillId="0" borderId="0">
      <alignment vertical="top"/>
    </xf>
    <xf numFmtId="0" fontId="22" fillId="0" borderId="0"/>
    <xf numFmtId="0" fontId="22" fillId="0" borderId="0"/>
    <xf numFmtId="0" fontId="22" fillId="0" borderId="0"/>
    <xf numFmtId="0" fontId="22" fillId="0" borderId="0"/>
    <xf numFmtId="0" fontId="22" fillId="0" borderId="0"/>
    <xf numFmtId="0" fontId="23" fillId="0" borderId="0"/>
    <xf numFmtId="0" fontId="22" fillId="0" borderId="0"/>
    <xf numFmtId="0" fontId="22" fillId="0" borderId="0"/>
    <xf numFmtId="0" fontId="22"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59" borderId="31" applyNumberFormat="0" applyFont="0" applyAlignment="0" applyProtection="0"/>
    <xf numFmtId="170" fontId="22" fillId="0" borderId="0" applyFont="0" applyFill="0" applyBorder="0" applyProtection="0">
      <alignment horizontal="right"/>
    </xf>
    <xf numFmtId="170" fontId="22" fillId="0" borderId="0" applyFont="0" applyFill="0" applyBorder="0" applyProtection="0">
      <alignment horizontal="right"/>
    </xf>
    <xf numFmtId="10"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0" fontId="33" fillId="0" borderId="0"/>
    <xf numFmtId="0" fontId="22" fillId="0" borderId="0"/>
    <xf numFmtId="0" fontId="22" fillId="0" borderId="0"/>
    <xf numFmtId="0" fontId="33" fillId="0" borderId="0"/>
    <xf numFmtId="4" fontId="23" fillId="64" borderId="32" applyNumberFormat="0" applyProtection="0">
      <alignment vertical="center"/>
    </xf>
    <xf numFmtId="4" fontId="23" fillId="64" borderId="32" applyNumberFormat="0" applyProtection="0">
      <alignment horizontal="left" vertical="center" indent="1"/>
    </xf>
    <xf numFmtId="4" fontId="23" fillId="64" borderId="32" applyNumberFormat="0" applyProtection="0">
      <alignment horizontal="left" vertical="center" indent="1"/>
    </xf>
    <xf numFmtId="0" fontId="22" fillId="65" borderId="32" applyNumberFormat="0" applyProtection="0">
      <alignment horizontal="left" vertical="center" indent="1"/>
    </xf>
    <xf numFmtId="4" fontId="23" fillId="66" borderId="32" applyNumberFormat="0" applyProtection="0">
      <alignment horizontal="right" vertical="center"/>
    </xf>
    <xf numFmtId="4" fontId="23" fillId="67" borderId="32" applyNumberFormat="0" applyProtection="0">
      <alignment horizontal="right" vertical="center"/>
    </xf>
    <xf numFmtId="4" fontId="23" fillId="68" borderId="32" applyNumberFormat="0" applyProtection="0">
      <alignment horizontal="right" vertical="center"/>
    </xf>
    <xf numFmtId="4" fontId="23" fillId="69" borderId="32" applyNumberFormat="0" applyProtection="0">
      <alignment horizontal="right" vertical="center"/>
    </xf>
    <xf numFmtId="4" fontId="23" fillId="70" borderId="32" applyNumberFormat="0" applyProtection="0">
      <alignment horizontal="right" vertical="center"/>
    </xf>
    <xf numFmtId="4" fontId="23" fillId="71" borderId="32" applyNumberFormat="0" applyProtection="0">
      <alignment horizontal="right" vertical="center"/>
    </xf>
    <xf numFmtId="4" fontId="23" fillId="72" borderId="32" applyNumberFormat="0" applyProtection="0">
      <alignment horizontal="right" vertical="center"/>
    </xf>
    <xf numFmtId="4" fontId="23" fillId="73" borderId="32" applyNumberFormat="0" applyProtection="0">
      <alignment horizontal="right" vertical="center"/>
    </xf>
    <xf numFmtId="4" fontId="23" fillId="74" borderId="32" applyNumberFormat="0" applyProtection="0">
      <alignment horizontal="right" vertical="center"/>
    </xf>
    <xf numFmtId="4" fontId="23" fillId="76" borderId="36" applyNumberFormat="0" applyProtection="0">
      <alignment horizontal="left" vertical="center" indent="1"/>
    </xf>
    <xf numFmtId="0" fontId="22" fillId="65" borderId="32" applyNumberFormat="0" applyProtection="0">
      <alignment horizontal="left" vertical="center" indent="1"/>
    </xf>
    <xf numFmtId="4" fontId="23" fillId="76" borderId="32" applyNumberFormat="0" applyProtection="0">
      <alignment horizontal="left" vertical="center" indent="1"/>
    </xf>
    <xf numFmtId="4" fontId="23" fillId="78" borderId="32" applyNumberFormat="0" applyProtection="0">
      <alignment horizontal="left" vertical="center" indent="1"/>
    </xf>
    <xf numFmtId="0" fontId="22" fillId="78" borderId="32" applyNumberFormat="0" applyProtection="0">
      <alignment horizontal="left" vertical="center" indent="1"/>
    </xf>
    <xf numFmtId="0" fontId="22" fillId="78" borderId="32" applyNumberFormat="0" applyProtection="0">
      <alignment horizontal="left" vertical="center" indent="1"/>
    </xf>
    <xf numFmtId="0" fontId="22" fillId="63" borderId="32" applyNumberFormat="0" applyProtection="0">
      <alignment horizontal="left" vertical="center" indent="1"/>
    </xf>
    <xf numFmtId="0" fontId="22" fillId="63" borderId="32" applyNumberFormat="0" applyProtection="0">
      <alignment horizontal="left" vertical="center" indent="1"/>
    </xf>
    <xf numFmtId="0" fontId="22" fillId="55" borderId="32" applyNumberFormat="0" applyProtection="0">
      <alignment horizontal="left" vertical="center" indent="1"/>
    </xf>
    <xf numFmtId="0" fontId="22" fillId="55" borderId="32" applyNumberFormat="0" applyProtection="0">
      <alignment horizontal="left" vertical="center" indent="1"/>
    </xf>
    <xf numFmtId="0" fontId="22" fillId="65" borderId="32" applyNumberFormat="0" applyProtection="0">
      <alignment horizontal="left" vertical="center" indent="1"/>
    </xf>
    <xf numFmtId="0" fontId="22" fillId="65" borderId="32" applyNumberFormat="0" applyProtection="0">
      <alignment horizontal="left" vertical="center" indent="1"/>
    </xf>
    <xf numFmtId="4" fontId="23" fillId="57" borderId="32" applyNumberFormat="0" applyProtection="0">
      <alignment vertical="center"/>
    </xf>
    <xf numFmtId="4" fontId="23" fillId="57" borderId="32" applyNumberFormat="0" applyProtection="0">
      <alignment horizontal="left" vertical="center" indent="1"/>
    </xf>
    <xf numFmtId="4" fontId="23" fillId="57" borderId="32" applyNumberFormat="0" applyProtection="0">
      <alignment horizontal="left" vertical="center" indent="1"/>
    </xf>
    <xf numFmtId="4" fontId="23" fillId="76" borderId="32" applyNumberFormat="0" applyProtection="0">
      <alignment horizontal="right" vertical="center"/>
    </xf>
    <xf numFmtId="0" fontId="22" fillId="65" borderId="32" applyNumberFormat="0" applyProtection="0">
      <alignment horizontal="left" vertical="center" indent="1"/>
    </xf>
    <xf numFmtId="0" fontId="22" fillId="65" borderId="32" applyNumberFormat="0" applyProtection="0">
      <alignment horizontal="left" vertical="center" indent="1"/>
    </xf>
    <xf numFmtId="0" fontId="22" fillId="0" borderId="0">
      <alignment vertical="top"/>
    </xf>
    <xf numFmtId="171" fontId="33" fillId="0" borderId="0">
      <alignment wrapText="1"/>
      <protection locked="0"/>
    </xf>
    <xf numFmtId="171" fontId="33" fillId="0" borderId="0">
      <alignment wrapText="1"/>
      <protection locked="0"/>
    </xf>
    <xf numFmtId="172" fontId="33" fillId="0" borderId="0">
      <alignment wrapText="1"/>
      <protection locked="0"/>
    </xf>
    <xf numFmtId="172" fontId="33" fillId="0" borderId="0">
      <alignment wrapText="1"/>
      <protection locked="0"/>
    </xf>
    <xf numFmtId="172" fontId="33" fillId="0" borderId="0">
      <alignment wrapText="1"/>
      <protection locked="0"/>
    </xf>
    <xf numFmtId="173" fontId="33" fillId="0" borderId="0">
      <alignment wrapText="1"/>
      <protection locked="0"/>
    </xf>
    <xf numFmtId="173" fontId="33" fillId="0" borderId="0">
      <alignment wrapText="1"/>
      <protection locked="0"/>
    </xf>
    <xf numFmtId="0" fontId="33" fillId="0" borderId="24" applyFill="0" applyBorder="0" applyProtection="0">
      <alignment horizontal="left" vertical="top"/>
    </xf>
    <xf numFmtId="204" fontId="22" fillId="0" borderId="0" applyNumberFormat="0" applyFill="0" applyBorder="0">
      <alignment horizontal="left"/>
    </xf>
    <xf numFmtId="204" fontId="22" fillId="0" borderId="0" applyNumberFormat="0" applyFill="0" applyBorder="0">
      <alignment horizontal="right"/>
    </xf>
    <xf numFmtId="0" fontId="22" fillId="0" borderId="0"/>
    <xf numFmtId="0" fontId="22" fillId="0" borderId="0" applyNumberFormat="0" applyFill="0" applyBorder="0" applyProtection="0"/>
    <xf numFmtId="0" fontId="22" fillId="0" borderId="0" applyNumberFormat="0" applyFill="0" applyBorder="0" applyProtection="0"/>
    <xf numFmtId="0" fontId="22" fillId="0" borderId="0"/>
    <xf numFmtId="0" fontId="22" fillId="0" borderId="0"/>
    <xf numFmtId="0" fontId="22" fillId="0" borderId="0"/>
    <xf numFmtId="0" fontId="22" fillId="0" borderId="0"/>
    <xf numFmtId="0" fontId="33" fillId="0" borderId="0"/>
    <xf numFmtId="0" fontId="22" fillId="0" borderId="0"/>
    <xf numFmtId="0" fontId="22" fillId="0" borderId="0"/>
    <xf numFmtId="0" fontId="22" fillId="0" borderId="0"/>
    <xf numFmtId="0" fontId="22" fillId="0" borderId="0"/>
    <xf numFmtId="0" fontId="22" fillId="0" borderId="0"/>
    <xf numFmtId="0" fontId="22" fillId="0" borderId="0"/>
    <xf numFmtId="0" fontId="118" fillId="0" borderId="0" applyNumberFormat="0" applyFill="0" applyBorder="0" applyAlignment="0" applyProtection="0">
      <alignment vertical="top"/>
      <protection locked="0"/>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 fillId="0" borderId="0"/>
    <xf numFmtId="0" fontId="1" fillId="0" borderId="0"/>
    <xf numFmtId="0" fontId="1" fillId="0" borderId="0"/>
    <xf numFmtId="0" fontId="22"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119" fillId="4" borderId="0" applyNumberFormat="0" applyBorder="0" applyAlignment="0" applyProtection="0"/>
    <xf numFmtId="0" fontId="22" fillId="0" borderId="0"/>
    <xf numFmtId="0" fontId="120" fillId="0" borderId="0"/>
    <xf numFmtId="0" fontId="1" fillId="0" borderId="0"/>
    <xf numFmtId="0" fontId="22" fillId="0" borderId="0"/>
    <xf numFmtId="0" fontId="1" fillId="8" borderId="8" applyNumberFormat="0" applyFont="0" applyAlignment="0" applyProtection="0"/>
    <xf numFmtId="0" fontId="10" fillId="6" borderId="5" applyNumberFormat="0" applyAlignment="0" applyProtection="0"/>
    <xf numFmtId="0" fontId="121"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xf numFmtId="0" fontId="3" fillId="0" borderId="1" applyNumberFormat="0" applyFill="0" applyAlignment="0" applyProtection="0"/>
    <xf numFmtId="0" fontId="9" fillId="5" borderId="4" applyNumberFormat="0" applyAlignment="0" applyProtection="0"/>
    <xf numFmtId="0" fontId="22"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3" fillId="0" borderId="1" applyNumberFormat="0" applyFill="0" applyAlignment="0" applyProtection="0"/>
    <xf numFmtId="0" fontId="9" fillId="5" borderId="4" applyNumberFormat="0" applyAlignment="0" applyProtection="0"/>
    <xf numFmtId="0" fontId="1" fillId="0" borderId="0"/>
    <xf numFmtId="0" fontId="1" fillId="8" borderId="8" applyNumberFormat="0" applyFont="0" applyAlignment="0" applyProtection="0"/>
    <xf numFmtId="0" fontId="1" fillId="0" borderId="0"/>
    <xf numFmtId="0" fontId="22" fillId="0" borderId="0"/>
    <xf numFmtId="0" fontId="1" fillId="0" borderId="0"/>
    <xf numFmtId="0" fontId="1" fillId="0" borderId="0"/>
    <xf numFmtId="0" fontId="22" fillId="0" borderId="0"/>
    <xf numFmtId="0" fontId="22" fillId="0" borderId="0"/>
    <xf numFmtId="0" fontId="1" fillId="0" borderId="0"/>
    <xf numFmtId="0" fontId="22" fillId="0" borderId="0"/>
    <xf numFmtId="0" fontId="1"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 fillId="0" borderId="0"/>
    <xf numFmtId="0" fontId="22" fillId="0" borderId="0"/>
    <xf numFmtId="0" fontId="22" fillId="0" borderId="0"/>
    <xf numFmtId="0" fontId="22" fillId="0" borderId="0"/>
    <xf numFmtId="0" fontId="1" fillId="0" borderId="0"/>
    <xf numFmtId="0" fontId="22" fillId="0" borderId="0"/>
    <xf numFmtId="0" fontId="22" fillId="0" borderId="0"/>
    <xf numFmtId="0" fontId="22" fillId="0" borderId="0"/>
    <xf numFmtId="0" fontId="22" fillId="0" borderId="0"/>
    <xf numFmtId="0" fontId="1" fillId="0" borderId="0"/>
    <xf numFmtId="0" fontId="22" fillId="0" borderId="0"/>
    <xf numFmtId="0" fontId="22" fillId="0" borderId="0"/>
    <xf numFmtId="0" fontId="22" fillId="0" borderId="0"/>
    <xf numFmtId="0" fontId="22" fillId="0" borderId="0"/>
    <xf numFmtId="0" fontId="22"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3" fillId="0" borderId="1" applyNumberFormat="0" applyFill="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3" fillId="0" borderId="1" applyNumberFormat="0" applyFill="0" applyAlignment="0" applyProtection="0"/>
    <xf numFmtId="0" fontId="3" fillId="0" borderId="1" applyNumberFormat="0" applyFill="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1" fillId="0" borderId="0"/>
    <xf numFmtId="0" fontId="1" fillId="8" borderId="8" applyNumberFormat="0" applyFont="0" applyAlignment="0" applyProtection="0"/>
    <xf numFmtId="0" fontId="22" fillId="0" borderId="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 fillId="0" borderId="0"/>
    <xf numFmtId="0" fontId="22" fillId="0" borderId="0"/>
    <xf numFmtId="0" fontId="22" fillId="0" borderId="0"/>
    <xf numFmtId="0" fontId="22" fillId="0" borderId="0"/>
    <xf numFmtId="0" fontId="22" fillId="0" borderId="0"/>
    <xf numFmtId="0" fontId="22" fillId="0" borderId="0"/>
    <xf numFmtId="0" fontId="1" fillId="0" borderId="0"/>
    <xf numFmtId="0" fontId="1" fillId="0" borderId="0"/>
    <xf numFmtId="0" fontId="22" fillId="0" borderId="0"/>
    <xf numFmtId="0" fontId="1" fillId="18"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22" fillId="0" borderId="0"/>
    <xf numFmtId="0" fontId="22" fillId="0" borderId="0"/>
    <xf numFmtId="0" fontId="1" fillId="0" borderId="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22" fillId="0" borderId="0"/>
    <xf numFmtId="0" fontId="22" fillId="0" borderId="0"/>
    <xf numFmtId="0" fontId="22" fillId="0" borderId="0"/>
    <xf numFmtId="0" fontId="22" fillId="0" borderId="0"/>
    <xf numFmtId="0" fontId="9" fillId="5" borderId="4" applyNumberFormat="0" applyAlignment="0" applyProtection="0"/>
    <xf numFmtId="0" fontId="1" fillId="0" borderId="0"/>
    <xf numFmtId="0" fontId="1" fillId="8" borderId="8" applyNumberFormat="0" applyFont="0" applyAlignment="0" applyProtection="0"/>
    <xf numFmtId="0" fontId="22" fillId="0" borderId="0"/>
    <xf numFmtId="0" fontId="9" fillId="5" borderId="4" applyNumberFormat="0" applyAlignment="0" applyProtection="0"/>
    <xf numFmtId="0" fontId="1" fillId="0" borderId="0"/>
    <xf numFmtId="0" fontId="1" fillId="0" borderId="0"/>
    <xf numFmtId="0" fontId="1" fillId="0" borderId="0"/>
    <xf numFmtId="0" fontId="1" fillId="0" borderId="0"/>
    <xf numFmtId="0" fontId="1" fillId="0" borderId="0"/>
    <xf numFmtId="0" fontId="22" fillId="0" borderId="0"/>
    <xf numFmtId="0" fontId="1" fillId="18"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22" fillId="0" borderId="0"/>
    <xf numFmtId="0" fontId="1" fillId="0" borderId="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22" fillId="0" borderId="0"/>
    <xf numFmtId="0" fontId="9" fillId="5" borderId="4" applyNumberFormat="0" applyAlignment="0" applyProtection="0"/>
    <xf numFmtId="0" fontId="9" fillId="5" borderId="4" applyNumberFormat="0" applyAlignment="0" applyProtection="0"/>
    <xf numFmtId="0" fontId="22" fillId="0" borderId="0"/>
    <xf numFmtId="0" fontId="22" fillId="0" borderId="0"/>
    <xf numFmtId="0" fontId="1" fillId="8" borderId="8" applyNumberFormat="0" applyFont="0" applyAlignment="0" applyProtection="0"/>
    <xf numFmtId="0" fontId="22" fillId="0" borderId="0"/>
    <xf numFmtId="0" fontId="9" fillId="5" borderId="4" applyNumberFormat="0" applyAlignment="0" applyProtection="0"/>
    <xf numFmtId="0" fontId="22" fillId="0" borderId="0"/>
    <xf numFmtId="0" fontId="22" fillId="0" borderId="0"/>
    <xf numFmtId="0" fontId="1" fillId="0" borderId="0"/>
    <xf numFmtId="0" fontId="1" fillId="0" borderId="0"/>
    <xf numFmtId="0" fontId="22" fillId="0" borderId="0"/>
    <xf numFmtId="0" fontId="22" fillId="0" borderId="0"/>
    <xf numFmtId="0" fontId="22" fillId="0" borderId="0"/>
    <xf numFmtId="0" fontId="1" fillId="0" borderId="0"/>
    <xf numFmtId="0" fontId="22" fillId="0" borderId="0"/>
    <xf numFmtId="0" fontId="22" fillId="0" borderId="0"/>
    <xf numFmtId="0" fontId="22" fillId="0" borderId="0"/>
    <xf numFmtId="0" fontId="22" fillId="0" borderId="0"/>
    <xf numFmtId="0" fontId="22" fillId="0" borderId="0"/>
    <xf numFmtId="0" fontId="22" fillId="0" borderId="0"/>
    <xf numFmtId="0" fontId="1" fillId="10" borderId="0" applyNumberFormat="0" applyBorder="0" applyAlignment="0" applyProtection="0"/>
    <xf numFmtId="0" fontId="22" fillId="0" borderId="0"/>
    <xf numFmtId="0" fontId="1" fillId="0" borderId="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22" fillId="0" borderId="0"/>
    <xf numFmtId="0" fontId="22" fillId="0" borderId="0"/>
    <xf numFmtId="0" fontId="22" fillId="0" borderId="0"/>
    <xf numFmtId="0" fontId="22" fillId="0" borderId="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9" fillId="5" borderId="4" applyNumberFormat="0" applyAlignment="0" applyProtection="0"/>
    <xf numFmtId="0" fontId="22" fillId="0" borderId="0"/>
    <xf numFmtId="0" fontId="22" fillId="0" borderId="0"/>
    <xf numFmtId="0" fontId="22" fillId="0" borderId="0"/>
    <xf numFmtId="0" fontId="22" fillId="0" borderId="0"/>
    <xf numFmtId="0" fontId="9" fillId="5" borderId="4" applyNumberFormat="0" applyAlignment="0" applyProtection="0"/>
    <xf numFmtId="0" fontId="9" fillId="5" borderId="4" applyNumberFormat="0" applyAlignment="0" applyProtection="0"/>
    <xf numFmtId="0" fontId="1" fillId="8" borderId="8" applyNumberFormat="0" applyFont="0" applyAlignment="0" applyProtection="0"/>
    <xf numFmtId="0" fontId="22" fillId="0" borderId="0"/>
    <xf numFmtId="0" fontId="22" fillId="0" borderId="0"/>
    <xf numFmtId="0" fontId="9" fillId="5" borderId="4" applyNumberFormat="0" applyAlignment="0" applyProtection="0"/>
    <xf numFmtId="0" fontId="22" fillId="0" borderId="0"/>
    <xf numFmtId="0" fontId="22" fillId="0" borderId="0"/>
    <xf numFmtId="0" fontId="22" fillId="0" borderId="0"/>
    <xf numFmtId="0" fontId="22" fillId="0" borderId="0"/>
    <xf numFmtId="0" fontId="22" fillId="0" borderId="0"/>
    <xf numFmtId="0" fontId="1" fillId="0" borderId="0"/>
    <xf numFmtId="0" fontId="22" fillId="0" borderId="0"/>
    <xf numFmtId="0" fontId="22" fillId="0" borderId="0"/>
    <xf numFmtId="0" fontId="22" fillId="0" borderId="0"/>
    <xf numFmtId="0" fontId="22" fillId="0" borderId="0"/>
    <xf numFmtId="0" fontId="22" fillId="0" borderId="0"/>
    <xf numFmtId="0" fontId="22" fillId="0" borderId="0"/>
    <xf numFmtId="0" fontId="1" fillId="0" borderId="0"/>
    <xf numFmtId="0" fontId="1" fillId="0" borderId="0"/>
    <xf numFmtId="0" fontId="22" fillId="0" borderId="0"/>
    <xf numFmtId="0" fontId="1" fillId="0" borderId="0"/>
    <xf numFmtId="0" fontId="125" fillId="0" borderId="0" applyNumberFormat="0" applyFill="0" applyBorder="0" applyAlignment="0" applyProtection="0"/>
    <xf numFmtId="0" fontId="126" fillId="0" borderId="0"/>
    <xf numFmtId="43" fontId="21" fillId="0" borderId="0" applyFont="0" applyFill="0" applyBorder="0" applyAlignment="0" applyProtection="0"/>
    <xf numFmtId="43" fontId="1" fillId="0" borderId="0" applyFont="0" applyFill="0" applyBorder="0" applyAlignment="0" applyProtection="0"/>
    <xf numFmtId="0" fontId="117" fillId="0" borderId="0" applyNumberFormat="0" applyFill="0" applyBorder="0" applyAlignment="0" applyProtection="0">
      <alignment vertical="top"/>
      <protection locked="0"/>
    </xf>
    <xf numFmtId="0" fontId="129" fillId="0" borderId="0"/>
    <xf numFmtId="0" fontId="1" fillId="0" borderId="0"/>
    <xf numFmtId="9" fontId="129" fillId="0" borderId="0" applyFont="0" applyFill="0" applyBorder="0" applyAlignment="0" applyProtection="0"/>
    <xf numFmtId="0" fontId="127" fillId="0" borderId="0"/>
    <xf numFmtId="0" fontId="22"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9" fillId="5" borderId="4" applyNumberFormat="0" applyAlignment="0" applyProtection="0"/>
    <xf numFmtId="0" fontId="9" fillId="5" borderId="4" applyNumberFormat="0" applyAlignment="0" applyProtection="0"/>
    <xf numFmtId="0" fontId="8" fillId="4"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2" fillId="0" borderId="0" applyNumberFormat="0" applyFill="0" applyBorder="0" applyAlignment="0" applyProtection="0"/>
    <xf numFmtId="0" fontId="22" fillId="0" borderId="0"/>
    <xf numFmtId="0" fontId="9" fillId="5" borderId="4" applyNumberFormat="0" applyAlignment="0" applyProtection="0"/>
    <xf numFmtId="0" fontId="22" fillId="0" borderId="0"/>
    <xf numFmtId="0" fontId="22" fillId="0" borderId="0"/>
    <xf numFmtId="0" fontId="1" fillId="0" borderId="0"/>
    <xf numFmtId="0" fontId="22"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9" fillId="5" borderId="4" applyNumberFormat="0" applyAlignment="0" applyProtection="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22" fillId="0" borderId="0"/>
    <xf numFmtId="0" fontId="9" fillId="5" borderId="4" applyNumberFormat="0" applyAlignment="0" applyProtection="0"/>
    <xf numFmtId="0" fontId="22" fillId="0" borderId="0"/>
    <xf numFmtId="0" fontId="22"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9" fillId="5" borderId="4" applyNumberFormat="0" applyAlignment="0" applyProtection="0"/>
    <xf numFmtId="0" fontId="130" fillId="0" borderId="0" applyNumberFormat="0" applyFill="0" applyBorder="0" applyAlignment="0" applyProtection="0"/>
    <xf numFmtId="0" fontId="22" fillId="0" borderId="0"/>
    <xf numFmtId="0" fontId="1" fillId="0" borderId="0"/>
    <xf numFmtId="0" fontId="1" fillId="8" borderId="8" applyNumberFormat="0" applyFont="0" applyAlignment="0" applyProtection="0"/>
    <xf numFmtId="0" fontId="22" fillId="0" borderId="0"/>
    <xf numFmtId="0" fontId="1" fillId="0" borderId="0"/>
    <xf numFmtId="0" fontId="22"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1" fillId="0" borderId="0"/>
    <xf numFmtId="0" fontId="22" fillId="0" borderId="0"/>
    <xf numFmtId="0" fontId="1" fillId="8" borderId="8" applyNumberFormat="0" applyFont="0" applyAlignment="0" applyProtection="0"/>
    <xf numFmtId="0" fontId="22" fillId="0" borderId="0"/>
    <xf numFmtId="0" fontId="22" fillId="0" borderId="0"/>
    <xf numFmtId="0" fontId="9" fillId="5" borderId="4" applyNumberFormat="0" applyAlignment="0" applyProtection="0"/>
    <xf numFmtId="0" fontId="9" fillId="5" borderId="4" applyNumberFormat="0" applyAlignment="0" applyProtection="0"/>
    <xf numFmtId="0" fontId="22" fillId="0" borderId="0"/>
    <xf numFmtId="0" fontId="22" fillId="0" borderId="0"/>
    <xf numFmtId="0" fontId="22" fillId="0" borderId="0"/>
    <xf numFmtId="0" fontId="22" fillId="0" borderId="0"/>
    <xf numFmtId="0" fontId="22" fillId="0" borderId="0"/>
    <xf numFmtId="0" fontId="1" fillId="0" borderId="0"/>
    <xf numFmtId="0" fontId="22"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2" fillId="0" borderId="0"/>
    <xf numFmtId="0" fontId="9" fillId="5" borderId="4" applyNumberFormat="0" applyAlignment="0" applyProtection="0"/>
    <xf numFmtId="0" fontId="9" fillId="5" borderId="4" applyNumberFormat="0" applyAlignment="0" applyProtection="0"/>
    <xf numFmtId="0" fontId="22" fillId="0" borderId="0"/>
    <xf numFmtId="0" fontId="9" fillId="5" borderId="4" applyNumberFormat="0" applyAlignment="0" applyProtection="0"/>
    <xf numFmtId="0" fontId="9" fillId="5" borderId="4" applyNumberFormat="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9" fillId="5" borderId="4" applyNumberFormat="0" applyAlignment="0" applyProtection="0"/>
    <xf numFmtId="0" fontId="9" fillId="5" borderId="4"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2" fillId="0" borderId="0"/>
    <xf numFmtId="0" fontId="9" fillId="5" borderId="4" applyNumberFormat="0" applyAlignment="0" applyProtection="0"/>
    <xf numFmtId="0" fontId="22" fillId="0" borderId="0"/>
    <xf numFmtId="0" fontId="22"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9" fillId="5" borderId="4"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2"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9" fillId="5" borderId="4"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2"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9" fillId="5" borderId="4" applyNumberFormat="0" applyAlignment="0" applyProtection="0"/>
    <xf numFmtId="0" fontId="1" fillId="0" borderId="0"/>
    <xf numFmtId="0" fontId="1" fillId="8" borderId="8" applyNumberFormat="0" applyFont="0" applyAlignment="0" applyProtection="0"/>
    <xf numFmtId="0" fontId="22" fillId="0" borderId="0"/>
    <xf numFmtId="0" fontId="1" fillId="0" borderId="0"/>
    <xf numFmtId="0" fontId="9" fillId="5" borderId="4" applyNumberFormat="0" applyAlignment="0" applyProtection="0"/>
    <xf numFmtId="0" fontId="22" fillId="0" borderId="0"/>
    <xf numFmtId="0" fontId="9" fillId="5" borderId="4" applyNumberFormat="0" applyAlignment="0" applyProtection="0"/>
    <xf numFmtId="0" fontId="22" fillId="0" borderId="0"/>
    <xf numFmtId="0" fontId="22" fillId="0" borderId="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2" fillId="0" borderId="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22" fillId="0" borderId="0"/>
    <xf numFmtId="0" fontId="1" fillId="0" borderId="0"/>
    <xf numFmtId="0" fontId="9" fillId="5" borderId="4" applyNumberForma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22" fillId="0" borderId="0"/>
    <xf numFmtId="0" fontId="1" fillId="0" borderId="0"/>
    <xf numFmtId="0" fontId="9" fillId="5" borderId="4" applyNumberFormat="0" applyAlignment="0" applyProtection="0"/>
    <xf numFmtId="0" fontId="9" fillId="5" borderId="4" applyNumberFormat="0" applyAlignment="0" applyProtection="0"/>
    <xf numFmtId="0" fontId="22" fillId="0" borderId="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9" fillId="5" borderId="4" applyNumberFormat="0" applyAlignment="0" applyProtection="0"/>
    <xf numFmtId="0" fontId="22" fillId="0" borderId="0"/>
    <xf numFmtId="0" fontId="129" fillId="0" borderId="0"/>
    <xf numFmtId="0" fontId="22"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9" fillId="5" borderId="4" applyNumberFormat="0" applyAlignment="0" applyProtection="0"/>
    <xf numFmtId="0" fontId="1" fillId="0" borderId="0"/>
    <xf numFmtId="0" fontId="1" fillId="8" borderId="8" applyNumberFormat="0" applyFont="0" applyAlignment="0" applyProtection="0"/>
    <xf numFmtId="0" fontId="1" fillId="0" borderId="0"/>
    <xf numFmtId="0" fontId="9" fillId="5" borderId="4" applyNumberFormat="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9" fillId="5" borderId="4" applyNumberFormat="0" applyAlignment="0" applyProtection="0"/>
    <xf numFmtId="0" fontId="8" fillId="4"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 fillId="0" borderId="0" applyNumberFormat="0" applyFill="0" applyBorder="0" applyAlignment="0" applyProtection="0"/>
    <xf numFmtId="0" fontId="1" fillId="0" borderId="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1" fillId="0" borderId="0"/>
    <xf numFmtId="0" fontId="1" fillId="0" borderId="0"/>
    <xf numFmtId="0" fontId="22" fillId="0" borderId="0"/>
    <xf numFmtId="0" fontId="1" fillId="0" borderId="0"/>
    <xf numFmtId="0" fontId="9" fillId="5" borderId="4" applyNumberForma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22" fillId="0" borderId="0"/>
    <xf numFmtId="0" fontId="1" fillId="0" borderId="0"/>
    <xf numFmtId="0" fontId="9" fillId="5" borderId="4" applyNumberForma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22" fillId="0" borderId="0"/>
    <xf numFmtId="0" fontId="1" fillId="10" borderId="0" applyNumberFormat="0" applyBorder="0" applyAlignment="0" applyProtection="0"/>
    <xf numFmtId="0" fontId="129" fillId="10" borderId="0" applyNumberFormat="0" applyBorder="0" applyAlignment="0" applyProtection="0"/>
    <xf numFmtId="0" fontId="1" fillId="14" borderId="0" applyNumberFormat="0" applyBorder="0" applyAlignment="0" applyProtection="0"/>
    <xf numFmtId="0" fontId="129" fillId="14" borderId="0" applyNumberFormat="0" applyBorder="0" applyAlignment="0" applyProtection="0"/>
    <xf numFmtId="0" fontId="1" fillId="18" borderId="0" applyNumberFormat="0" applyBorder="0" applyAlignment="0" applyProtection="0"/>
    <xf numFmtId="0" fontId="129" fillId="18" borderId="0" applyNumberFormat="0" applyBorder="0" applyAlignment="0" applyProtection="0"/>
    <xf numFmtId="0" fontId="1" fillId="22" borderId="0" applyNumberFormat="0" applyBorder="0" applyAlignment="0" applyProtection="0"/>
    <xf numFmtId="0" fontId="129" fillId="22" borderId="0" applyNumberFormat="0" applyBorder="0" applyAlignment="0" applyProtection="0"/>
    <xf numFmtId="0" fontId="1" fillId="26" borderId="0" applyNumberFormat="0" applyBorder="0" applyAlignment="0" applyProtection="0"/>
    <xf numFmtId="0" fontId="129" fillId="26" borderId="0" applyNumberFormat="0" applyBorder="0" applyAlignment="0" applyProtection="0"/>
    <xf numFmtId="0" fontId="1" fillId="30" borderId="0" applyNumberFormat="0" applyBorder="0" applyAlignment="0" applyProtection="0"/>
    <xf numFmtId="0" fontId="129" fillId="30" borderId="0" applyNumberFormat="0" applyBorder="0" applyAlignment="0" applyProtection="0"/>
    <xf numFmtId="0" fontId="1" fillId="11" borderId="0" applyNumberFormat="0" applyBorder="0" applyAlignment="0" applyProtection="0"/>
    <xf numFmtId="0" fontId="129" fillId="11" borderId="0" applyNumberFormat="0" applyBorder="0" applyAlignment="0" applyProtection="0"/>
    <xf numFmtId="0" fontId="1" fillId="15" borderId="0" applyNumberFormat="0" applyBorder="0" applyAlignment="0" applyProtection="0"/>
    <xf numFmtId="0" fontId="129" fillId="15" borderId="0" applyNumberFormat="0" applyBorder="0" applyAlignment="0" applyProtection="0"/>
    <xf numFmtId="0" fontId="1" fillId="19" borderId="0" applyNumberFormat="0" applyBorder="0" applyAlignment="0" applyProtection="0"/>
    <xf numFmtId="0" fontId="129" fillId="19" borderId="0" applyNumberFormat="0" applyBorder="0" applyAlignment="0" applyProtection="0"/>
    <xf numFmtId="0" fontId="1" fillId="23" borderId="0" applyNumberFormat="0" applyBorder="0" applyAlignment="0" applyProtection="0"/>
    <xf numFmtId="0" fontId="129" fillId="23" borderId="0" applyNumberFormat="0" applyBorder="0" applyAlignment="0" applyProtection="0"/>
    <xf numFmtId="0" fontId="1" fillId="27" borderId="0" applyNumberFormat="0" applyBorder="0" applyAlignment="0" applyProtection="0"/>
    <xf numFmtId="0" fontId="129" fillId="27" borderId="0" applyNumberFormat="0" applyBorder="0" applyAlignment="0" applyProtection="0"/>
    <xf numFmtId="0" fontId="1" fillId="31" borderId="0" applyNumberFormat="0" applyBorder="0" applyAlignment="0" applyProtection="0"/>
    <xf numFmtId="0" fontId="129" fillId="31" borderId="0" applyNumberFormat="0" applyBorder="0" applyAlignment="0" applyProtection="0"/>
    <xf numFmtId="0" fontId="129" fillId="12" borderId="0" applyNumberFormat="0" applyBorder="0" applyAlignment="0" applyProtection="0"/>
    <xf numFmtId="0" fontId="129" fillId="16" borderId="0" applyNumberFormat="0" applyBorder="0" applyAlignment="0" applyProtection="0"/>
    <xf numFmtId="0" fontId="129" fillId="20" borderId="0" applyNumberFormat="0" applyBorder="0" applyAlignment="0" applyProtection="0"/>
    <xf numFmtId="0" fontId="129" fillId="24" borderId="0" applyNumberFormat="0" applyBorder="0" applyAlignment="0" applyProtection="0"/>
    <xf numFmtId="0" fontId="129" fillId="28" borderId="0" applyNumberFormat="0" applyBorder="0" applyAlignment="0" applyProtection="0"/>
    <xf numFmtId="0" fontId="129" fillId="32" borderId="0" applyNumberFormat="0" applyBorder="0" applyAlignment="0" applyProtection="0"/>
    <xf numFmtId="0" fontId="131" fillId="9" borderId="0" applyNumberFormat="0" applyBorder="0" applyAlignment="0" applyProtection="0"/>
    <xf numFmtId="0" fontId="131" fillId="13" borderId="0" applyNumberFormat="0" applyBorder="0" applyAlignment="0" applyProtection="0"/>
    <xf numFmtId="0" fontId="131" fillId="17" borderId="0" applyNumberFormat="0" applyBorder="0" applyAlignment="0" applyProtection="0"/>
    <xf numFmtId="0" fontId="131" fillId="21" borderId="0" applyNumberFormat="0" applyBorder="0" applyAlignment="0" applyProtection="0"/>
    <xf numFmtId="0" fontId="131" fillId="25" borderId="0" applyNumberFormat="0" applyBorder="0" applyAlignment="0" applyProtection="0"/>
    <xf numFmtId="0" fontId="131" fillId="29" borderId="0" applyNumberFormat="0" applyBorder="0" applyAlignment="0" applyProtection="0"/>
    <xf numFmtId="0" fontId="132" fillId="3" borderId="0" applyNumberFormat="0" applyBorder="0" applyAlignment="0" applyProtection="0"/>
    <xf numFmtId="0" fontId="133" fillId="6" borderId="4" applyNumberFormat="0" applyAlignment="0" applyProtection="0"/>
    <xf numFmtId="0" fontId="134" fillId="7" borderId="7" applyNumberFormat="0" applyAlignment="0" applyProtection="0"/>
    <xf numFmtId="0" fontId="135" fillId="0" borderId="0" applyNumberFormat="0" applyFill="0" applyBorder="0" applyAlignment="0" applyProtection="0"/>
    <xf numFmtId="0" fontId="136" fillId="2" borderId="0" applyNumberFormat="0" applyBorder="0" applyAlignment="0" applyProtection="0"/>
    <xf numFmtId="0" fontId="137" fillId="0" borderId="1" applyNumberFormat="0" applyFill="0" applyAlignment="0" applyProtection="0"/>
    <xf numFmtId="0" fontId="138" fillId="0" borderId="2" applyNumberFormat="0" applyFill="0" applyAlignment="0" applyProtection="0"/>
    <xf numFmtId="0" fontId="139" fillId="0" borderId="3" applyNumberFormat="0" applyFill="0" applyAlignment="0" applyProtection="0"/>
    <xf numFmtId="0" fontId="139" fillId="0" borderId="0" applyNumberFormat="0" applyFill="0" applyBorder="0" applyAlignment="0" applyProtection="0"/>
    <xf numFmtId="0" fontId="9" fillId="5" borderId="4" applyNumberFormat="0" applyAlignment="0" applyProtection="0"/>
    <xf numFmtId="0" fontId="140" fillId="5" borderId="4" applyNumberFormat="0" applyAlignment="0" applyProtection="0"/>
    <xf numFmtId="0" fontId="141" fillId="0" borderId="6" applyNumberFormat="0" applyFill="0" applyAlignment="0" applyProtection="0"/>
    <xf numFmtId="0" fontId="142" fillId="4" borderId="0" applyNumberFormat="0" applyBorder="0" applyAlignment="0" applyProtection="0"/>
    <xf numFmtId="0" fontId="1" fillId="0" borderId="0"/>
    <xf numFmtId="0" fontId="129" fillId="0" borderId="0"/>
    <xf numFmtId="0" fontId="1" fillId="8" borderId="8" applyNumberFormat="0" applyFont="0" applyAlignment="0" applyProtection="0"/>
    <xf numFmtId="0" fontId="129" fillId="8" borderId="8" applyNumberFormat="0" applyFont="0" applyAlignment="0" applyProtection="0"/>
    <xf numFmtId="0" fontId="143" fillId="6" borderId="5" applyNumberFormat="0" applyAlignment="0" applyProtection="0"/>
    <xf numFmtId="0" fontId="144" fillId="0" borderId="9" applyNumberFormat="0" applyFill="0" applyAlignment="0" applyProtection="0"/>
    <xf numFmtId="0" fontId="145" fillId="0" borderId="0" applyNumberFormat="0" applyFill="0" applyBorder="0" applyAlignment="0" applyProtection="0"/>
    <xf numFmtId="0" fontId="22"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9" fillId="5" borderId="4" applyNumberFormat="0" applyAlignment="0" applyProtection="0"/>
    <xf numFmtId="0" fontId="1" fillId="0" borderId="0"/>
    <xf numFmtId="0" fontId="22" fillId="0" borderId="0"/>
    <xf numFmtId="0" fontId="1" fillId="8" borderId="8" applyNumberFormat="0" applyFont="0" applyAlignment="0" applyProtection="0"/>
    <xf numFmtId="0" fontId="22" fillId="0" borderId="0"/>
    <xf numFmtId="0" fontId="22" fillId="0" borderId="0"/>
    <xf numFmtId="9" fontId="1" fillId="0" borderId="0" applyFont="0" applyFill="0" applyBorder="0" applyAlignment="0" applyProtection="0"/>
    <xf numFmtId="0" fontId="76" fillId="0" borderId="0"/>
    <xf numFmtId="0" fontId="76" fillId="0" borderId="0"/>
    <xf numFmtId="0" fontId="76" fillId="0" borderId="0"/>
    <xf numFmtId="0" fontId="125" fillId="0" borderId="0" applyNumberFormat="0" applyFill="0" applyBorder="0" applyAlignment="0" applyProtection="0"/>
    <xf numFmtId="0" fontId="76" fillId="0" borderId="0"/>
  </cellStyleXfs>
  <cellXfs count="428">
    <xf numFmtId="0" fontId="0" fillId="0" borderId="0" xfId="0"/>
    <xf numFmtId="0" fontId="19" fillId="33" borderId="10" xfId="1" applyFont="1" applyFill="1" applyBorder="1" applyAlignment="1">
      <alignment horizontal="left" wrapText="1"/>
    </xf>
    <xf numFmtId="0" fontId="0" fillId="0" borderId="0" xfId="0" quotePrefix="1"/>
    <xf numFmtId="164" fontId="0" fillId="0" borderId="0" xfId="0" applyNumberFormat="1"/>
    <xf numFmtId="164" fontId="20" fillId="0" borderId="0" xfId="0" applyNumberFormat="1" applyFont="1"/>
    <xf numFmtId="0" fontId="0" fillId="0" borderId="0" xfId="0" applyAlignment="1">
      <alignment horizontal="center"/>
    </xf>
    <xf numFmtId="165" fontId="0" fillId="0" borderId="0" xfId="0" applyNumberFormat="1" applyAlignment="1">
      <alignment horizontal="center"/>
    </xf>
    <xf numFmtId="1" fontId="0" fillId="0" borderId="0" xfId="0" applyNumberFormat="1" applyAlignment="1">
      <alignment horizontal="center"/>
    </xf>
    <xf numFmtId="0" fontId="21" fillId="0" borderId="0" xfId="2"/>
    <xf numFmtId="165" fontId="146" fillId="83" borderId="55" xfId="4" applyNumberFormat="1" applyFont="1" applyFill="1" applyBorder="1" applyAlignment="1">
      <alignment horizontal="centerContinuous" vertical="top" wrapText="1"/>
    </xf>
    <xf numFmtId="0" fontId="123" fillId="60" borderId="43" xfId="342" applyFont="1" applyFill="1" applyBorder="1"/>
    <xf numFmtId="165" fontId="146" fillId="83" borderId="56" xfId="4" applyNumberFormat="1" applyFont="1" applyFill="1" applyBorder="1" applyAlignment="1">
      <alignment horizontal="center" vertical="top" wrapText="1"/>
    </xf>
    <xf numFmtId="165" fontId="146" fillId="83" borderId="57" xfId="4" applyNumberFormat="1" applyFont="1" applyFill="1" applyBorder="1" applyAlignment="1">
      <alignment horizontal="center" vertical="top" wrapText="1"/>
    </xf>
    <xf numFmtId="165" fontId="146" fillId="60" borderId="0" xfId="4" applyNumberFormat="1" applyFont="1" applyFill="1" applyBorder="1" applyAlignment="1">
      <alignment horizontal="centerContinuous" vertical="top" wrapText="1"/>
    </xf>
    <xf numFmtId="0" fontId="123" fillId="60" borderId="0" xfId="342" applyFont="1" applyFill="1" applyBorder="1"/>
    <xf numFmtId="165" fontId="147" fillId="83" borderId="44" xfId="4" applyNumberFormat="1" applyFont="1" applyFill="1" applyBorder="1" applyAlignment="1">
      <alignment vertical="center" wrapText="1"/>
    </xf>
    <xf numFmtId="0" fontId="123" fillId="83" borderId="0" xfId="2" applyFont="1" applyFill="1" applyBorder="1" applyAlignment="1">
      <alignment horizontal="centerContinuous" vertical="center" wrapText="1"/>
    </xf>
    <xf numFmtId="0" fontId="123" fillId="83" borderId="0" xfId="342" applyFont="1" applyFill="1" applyBorder="1" applyAlignment="1">
      <alignment vertical="center" wrapText="1"/>
    </xf>
    <xf numFmtId="0" fontId="123" fillId="83" borderId="0" xfId="2" applyFont="1" applyFill="1" applyBorder="1" applyAlignment="1">
      <alignment horizontal="center" vertical="center" wrapText="1"/>
    </xf>
    <xf numFmtId="0" fontId="123" fillId="83" borderId="45" xfId="2" applyFont="1" applyFill="1" applyBorder="1" applyAlignment="1">
      <alignment horizontal="centerContinuous" vertical="center" wrapText="1"/>
    </xf>
    <xf numFmtId="0" fontId="123" fillId="83" borderId="63" xfId="2" applyFont="1" applyFill="1" applyBorder="1" applyAlignment="1">
      <alignment horizontal="centerContinuous" vertical="center" wrapText="1"/>
    </xf>
    <xf numFmtId="0" fontId="123" fillId="83" borderId="46" xfId="2" applyFont="1" applyFill="1" applyBorder="1" applyAlignment="1">
      <alignment horizontal="centerContinuous" vertical="center" wrapText="1"/>
    </xf>
    <xf numFmtId="0" fontId="123" fillId="60" borderId="0" xfId="342" applyFont="1" applyFill="1" applyAlignment="1">
      <alignment vertical="center"/>
    </xf>
    <xf numFmtId="0" fontId="123" fillId="60" borderId="0" xfId="342" applyFont="1" applyFill="1" applyBorder="1" applyAlignment="1">
      <alignment horizontal="centerContinuous" vertical="center" wrapText="1"/>
    </xf>
    <xf numFmtId="0" fontId="123" fillId="60" borderId="0" xfId="342" applyFont="1" applyFill="1" applyBorder="1" applyAlignment="1">
      <alignment vertical="center"/>
    </xf>
    <xf numFmtId="0" fontId="123" fillId="60" borderId="0" xfId="342" applyFont="1" applyFill="1" applyBorder="1" applyAlignment="1">
      <alignment vertical="center" wrapText="1"/>
    </xf>
    <xf numFmtId="0" fontId="123" fillId="60" borderId="0" xfId="342" applyFont="1" applyFill="1" applyBorder="1" applyAlignment="1">
      <alignment horizontal="left" vertical="center"/>
    </xf>
    <xf numFmtId="165" fontId="122" fillId="83" borderId="44" xfId="4" applyNumberFormat="1" applyFont="1" applyFill="1" applyBorder="1" applyAlignment="1">
      <alignment horizontal="center" wrapText="1"/>
    </xf>
    <xf numFmtId="2" fontId="122" fillId="83" borderId="0" xfId="342" applyNumberFormat="1" applyFont="1" applyFill="1" applyBorder="1" applyAlignment="1">
      <alignment horizontal="center" wrapText="1"/>
    </xf>
    <xf numFmtId="2" fontId="122" fillId="85" borderId="0" xfId="342" applyNumberFormat="1" applyFont="1" applyFill="1" applyBorder="1" applyAlignment="1">
      <alignment horizontal="center" wrapText="1"/>
    </xf>
    <xf numFmtId="2" fontId="89" fillId="85" borderId="0" xfId="342" applyNumberFormat="1" applyFont="1" applyFill="1" applyBorder="1" applyAlignment="1">
      <alignment horizontal="center" wrapText="1"/>
    </xf>
    <xf numFmtId="0" fontId="89" fillId="85" borderId="0" xfId="342" applyFont="1" applyFill="1" applyBorder="1" applyAlignment="1">
      <alignment horizontal="center" wrapText="1"/>
    </xf>
    <xf numFmtId="2" fontId="89" fillId="83" borderId="0" xfId="342" applyNumberFormat="1" applyFont="1" applyFill="1" applyBorder="1" applyAlignment="1">
      <alignment horizontal="center" wrapText="1"/>
    </xf>
    <xf numFmtId="2" fontId="89" fillId="83" borderId="52" xfId="342" applyNumberFormat="1" applyFont="1" applyFill="1" applyBorder="1" applyAlignment="1">
      <alignment horizontal="center" wrapText="1"/>
    </xf>
    <xf numFmtId="0" fontId="123" fillId="60" borderId="0" xfId="342" applyFont="1" applyFill="1" applyAlignment="1">
      <alignment horizontal="center"/>
    </xf>
    <xf numFmtId="0" fontId="89" fillId="60" borderId="0" xfId="342" applyFont="1" applyFill="1" applyBorder="1" applyAlignment="1">
      <alignment horizontal="center" wrapText="1"/>
    </xf>
    <xf numFmtId="0" fontId="123" fillId="60" borderId="0" xfId="342" applyFont="1" applyFill="1" applyBorder="1" applyAlignment="1">
      <alignment horizontal="center"/>
    </xf>
    <xf numFmtId="0" fontId="89" fillId="60" borderId="0" xfId="342" applyFont="1" applyFill="1" applyBorder="1" applyAlignment="1">
      <alignment horizontal="center"/>
    </xf>
    <xf numFmtId="2" fontId="122" fillId="60" borderId="0" xfId="342" applyNumberFormat="1" applyFont="1" applyFill="1" applyBorder="1" applyAlignment="1">
      <alignment horizontal="center" wrapText="1"/>
    </xf>
    <xf numFmtId="165" fontId="122" fillId="83" borderId="44" xfId="4" applyNumberFormat="1" applyFont="1" applyFill="1" applyBorder="1" applyAlignment="1">
      <alignment horizontal="left" wrapText="1"/>
    </xf>
    <xf numFmtId="2" fontId="122" fillId="83" borderId="0" xfId="342" quotePrefix="1" applyNumberFormat="1" applyFont="1" applyFill="1" applyBorder="1" applyAlignment="1">
      <alignment horizontal="center" wrapText="1"/>
    </xf>
    <xf numFmtId="0" fontId="89" fillId="83" borderId="0" xfId="342" applyFont="1" applyFill="1" applyBorder="1" applyAlignment="1">
      <alignment horizontal="center" wrapText="1"/>
    </xf>
    <xf numFmtId="2" fontId="89" fillId="83" borderId="0" xfId="342" quotePrefix="1" applyNumberFormat="1" applyFont="1" applyFill="1" applyBorder="1" applyAlignment="1">
      <alignment horizontal="center" wrapText="1"/>
    </xf>
    <xf numFmtId="2" fontId="89" fillId="83" borderId="46" xfId="342" applyNumberFormat="1" applyFont="1" applyFill="1" applyBorder="1" applyAlignment="1">
      <alignment horizontal="center" wrapText="1"/>
    </xf>
    <xf numFmtId="0" fontId="89" fillId="83" borderId="0" xfId="2" applyFont="1" applyFill="1" applyBorder="1" applyAlignment="1">
      <alignment horizontal="center" vertical="center" wrapText="1"/>
    </xf>
    <xf numFmtId="0" fontId="89" fillId="83" borderId="0" xfId="2" applyFont="1" applyFill="1" applyBorder="1" applyAlignment="1">
      <alignment horizontal="centerContinuous" vertical="center" wrapText="1"/>
    </xf>
    <xf numFmtId="2" fontId="122" fillId="83" borderId="0" xfId="342" applyNumberFormat="1" applyFont="1" applyFill="1" applyBorder="1" applyAlignment="1">
      <alignment horizontal="right" wrapText="1"/>
    </xf>
    <xf numFmtId="0" fontId="89" fillId="83" borderId="0" xfId="342" applyFont="1" applyFill="1" applyBorder="1" applyAlignment="1">
      <alignment horizontal="right" wrapText="1"/>
    </xf>
    <xf numFmtId="2" fontId="122" fillId="83" borderId="46" xfId="342" applyNumberFormat="1" applyFont="1" applyFill="1" applyBorder="1" applyAlignment="1">
      <alignment horizontal="right" wrapText="1"/>
    </xf>
    <xf numFmtId="0" fontId="123" fillId="60" borderId="0" xfId="342" applyFont="1" applyFill="1" applyAlignment="1">
      <alignment horizontal="right"/>
    </xf>
    <xf numFmtId="0" fontId="89" fillId="60" borderId="0" xfId="342" applyFont="1" applyFill="1" applyBorder="1" applyAlignment="1">
      <alignment horizontal="right" wrapText="1"/>
    </xf>
    <xf numFmtId="0" fontId="123" fillId="60" borderId="0" xfId="342" applyFont="1" applyFill="1" applyBorder="1" applyAlignment="1">
      <alignment horizontal="right"/>
    </xf>
    <xf numFmtId="0" fontId="21" fillId="60" borderId="0" xfId="342" applyFont="1" applyFill="1" applyBorder="1" applyAlignment="1">
      <alignment horizontal="right" wrapText="1"/>
    </xf>
    <xf numFmtId="0" fontId="89" fillId="83" borderId="45" xfId="2" applyFont="1" applyFill="1" applyBorder="1" applyAlignment="1">
      <alignment horizontal="center" vertical="center" wrapText="1"/>
    </xf>
    <xf numFmtId="0" fontId="89" fillId="83" borderId="45" xfId="2" applyFont="1" applyFill="1" applyBorder="1" applyAlignment="1">
      <alignment horizontal="centerContinuous" vertical="center" wrapText="1"/>
    </xf>
    <xf numFmtId="2" fontId="122" fillId="83" borderId="45" xfId="342" applyNumberFormat="1" applyFont="1" applyFill="1" applyBorder="1" applyAlignment="1">
      <alignment horizontal="right" wrapText="1"/>
    </xf>
    <xf numFmtId="0" fontId="89" fillId="83" borderId="45" xfId="342" applyFont="1" applyFill="1" applyBorder="1" applyAlignment="1">
      <alignment horizontal="right" wrapText="1"/>
    </xf>
    <xf numFmtId="2" fontId="122" fillId="83" borderId="49" xfId="342" applyNumberFormat="1" applyFont="1" applyFill="1" applyBorder="1" applyAlignment="1">
      <alignment horizontal="right" wrapText="1"/>
    </xf>
    <xf numFmtId="2" fontId="122" fillId="83" borderId="48" xfId="342" applyNumberFormat="1" applyFont="1" applyFill="1" applyBorder="1" applyAlignment="1">
      <alignment horizontal="right" wrapText="1"/>
    </xf>
    <xf numFmtId="0" fontId="122" fillId="60" borderId="50" xfId="2" applyFont="1" applyFill="1" applyBorder="1" applyAlignment="1">
      <alignment horizontal="right"/>
    </xf>
    <xf numFmtId="165" fontId="89" fillId="84" borderId="0" xfId="342" applyNumberFormat="1" applyFont="1" applyFill="1" applyBorder="1" applyAlignment="1">
      <alignment horizontal="center" vertical="center" wrapText="1"/>
    </xf>
    <xf numFmtId="165" fontId="122" fillId="84" borderId="0" xfId="342" applyNumberFormat="1" applyFont="1" applyFill="1" applyBorder="1" applyAlignment="1">
      <alignment horizontal="center" vertical="center" wrapText="1"/>
    </xf>
    <xf numFmtId="165" fontId="122" fillId="60" borderId="0" xfId="4" quotePrefix="1" applyNumberFormat="1" applyFont="1" applyFill="1" applyBorder="1" applyAlignment="1">
      <alignment horizontal="center" vertical="center"/>
    </xf>
    <xf numFmtId="165" fontId="122" fillId="60" borderId="0" xfId="4" applyNumberFormat="1" applyFont="1" applyFill="1" applyBorder="1" applyAlignment="1">
      <alignment horizontal="center" vertical="center"/>
    </xf>
    <xf numFmtId="2" fontId="122" fillId="60" borderId="0" xfId="342" applyNumberFormat="1" applyFont="1" applyFill="1" applyBorder="1" applyAlignment="1">
      <alignment horizontal="center" vertical="center" wrapText="1"/>
    </xf>
    <xf numFmtId="2" fontId="122" fillId="60" borderId="0" xfId="342" applyNumberFormat="1" applyFont="1" applyFill="1" applyBorder="1" applyAlignment="1">
      <alignment horizontal="right" vertical="center" wrapText="1"/>
    </xf>
    <xf numFmtId="0" fontId="89" fillId="60" borderId="0" xfId="342" applyFont="1" applyFill="1" applyBorder="1" applyAlignment="1">
      <alignment horizontal="right" vertical="center" wrapText="1"/>
    </xf>
    <xf numFmtId="0" fontId="123" fillId="60" borderId="43" xfId="342" applyFont="1" applyFill="1" applyBorder="1" applyAlignment="1">
      <alignment vertical="center"/>
    </xf>
    <xf numFmtId="165" fontId="122" fillId="84" borderId="44" xfId="342" applyNumberFormat="1" applyFont="1" applyFill="1" applyBorder="1" applyAlignment="1">
      <alignment horizontal="center" vertical="center" wrapText="1"/>
    </xf>
    <xf numFmtId="2" fontId="122" fillId="60" borderId="46" xfId="342" applyNumberFormat="1" applyFont="1" applyFill="1" applyBorder="1" applyAlignment="1">
      <alignment horizontal="center" vertical="center" wrapText="1"/>
    </xf>
    <xf numFmtId="0" fontId="122" fillId="60" borderId="51" xfId="2" applyFont="1" applyFill="1" applyBorder="1" applyAlignment="1">
      <alignment horizontal="right"/>
    </xf>
    <xf numFmtId="165" fontId="128" fillId="86" borderId="61" xfId="4" applyNumberFormat="1" applyFont="1" applyFill="1" applyBorder="1" applyAlignment="1">
      <alignment horizontal="center" vertical="center"/>
    </xf>
    <xf numFmtId="0" fontId="123" fillId="84" borderId="0" xfId="342" applyFont="1" applyFill="1" applyAlignment="1">
      <alignment horizontal="right"/>
    </xf>
    <xf numFmtId="165" fontId="122" fillId="84" borderId="51" xfId="4" applyNumberFormat="1" applyFont="1" applyFill="1" applyBorder="1" applyAlignment="1">
      <alignment horizontal="right"/>
    </xf>
    <xf numFmtId="165" fontId="89" fillId="60" borderId="0" xfId="342" applyNumberFormat="1" applyFont="1" applyFill="1" applyBorder="1" applyAlignment="1">
      <alignment horizontal="right" wrapText="1"/>
    </xf>
    <xf numFmtId="165" fontId="89" fillId="60" borderId="0" xfId="342" applyNumberFormat="1" applyFont="1" applyFill="1" applyBorder="1" applyAlignment="1">
      <alignment horizontal="left" indent="1"/>
    </xf>
    <xf numFmtId="165" fontId="89" fillId="60" borderId="0" xfId="342" applyNumberFormat="1" applyFont="1" applyFill="1" applyBorder="1" applyAlignment="1">
      <alignment horizontal="left" wrapText="1" indent="1"/>
    </xf>
    <xf numFmtId="165" fontId="123" fillId="60" borderId="0" xfId="342" applyNumberFormat="1" applyFont="1" applyFill="1" applyBorder="1" applyAlignment="1">
      <alignment horizontal="right"/>
    </xf>
    <xf numFmtId="0" fontId="123" fillId="84" borderId="0" xfId="342" applyFont="1" applyFill="1" applyBorder="1" applyAlignment="1">
      <alignment horizontal="right"/>
    </xf>
    <xf numFmtId="165" fontId="122" fillId="60" borderId="0" xfId="2" applyNumberFormat="1" applyFont="1" applyFill="1" applyBorder="1" applyAlignment="1">
      <alignment horizontal="left" vertical="center" indent="1"/>
    </xf>
    <xf numFmtId="0" fontId="123" fillId="84" borderId="0" xfId="342" applyFont="1" applyFill="1"/>
    <xf numFmtId="2" fontId="122" fillId="60" borderId="51" xfId="342" applyNumberFormat="1" applyFont="1" applyFill="1" applyBorder="1" applyAlignment="1">
      <alignment horizontal="right" vertical="center"/>
    </xf>
    <xf numFmtId="165" fontId="122" fillId="60" borderId="0" xfId="342" applyNumberFormat="1" applyFont="1" applyFill="1" applyBorder="1" applyAlignment="1">
      <alignment horizontal="center" vertical="center"/>
    </xf>
    <xf numFmtId="165" fontId="122" fillId="60" borderId="0" xfId="360" applyNumberFormat="1" applyFont="1" applyFill="1" applyBorder="1" applyAlignment="1">
      <alignment horizontal="center" vertical="center"/>
    </xf>
    <xf numFmtId="165" fontId="89" fillId="60" borderId="0" xfId="342" applyNumberFormat="1" applyFont="1" applyFill="1" applyBorder="1" applyAlignment="1">
      <alignment horizontal="center" vertical="center"/>
    </xf>
    <xf numFmtId="165" fontId="123" fillId="60" borderId="0" xfId="342" applyNumberFormat="1" applyFont="1" applyFill="1"/>
    <xf numFmtId="165" fontId="148" fillId="60" borderId="0" xfId="4" applyNumberFormat="1" applyFont="1" applyFill="1" applyBorder="1" applyAlignment="1">
      <alignment horizontal="center" vertical="center"/>
    </xf>
    <xf numFmtId="2" fontId="122" fillId="86" borderId="51" xfId="342" applyNumberFormat="1" applyFont="1" applyFill="1" applyBorder="1" applyAlignment="1">
      <alignment horizontal="right" vertical="center"/>
    </xf>
    <xf numFmtId="165" fontId="122" fillId="86" borderId="0" xfId="342" applyNumberFormat="1" applyFont="1" applyFill="1" applyBorder="1" applyAlignment="1">
      <alignment horizontal="center" vertical="center"/>
    </xf>
    <xf numFmtId="165" fontId="122" fillId="86" borderId="0" xfId="4" applyNumberFormat="1" applyFont="1" applyFill="1" applyBorder="1" applyAlignment="1">
      <alignment horizontal="center" vertical="center"/>
    </xf>
    <xf numFmtId="165" fontId="89" fillId="86" borderId="0" xfId="342" applyNumberFormat="1" applyFont="1" applyFill="1" applyBorder="1" applyAlignment="1">
      <alignment horizontal="center" vertical="center"/>
    </xf>
    <xf numFmtId="0" fontId="123" fillId="86" borderId="43" xfId="342" applyFont="1" applyFill="1" applyBorder="1" applyAlignment="1">
      <alignment vertical="center"/>
    </xf>
    <xf numFmtId="165" fontId="123" fillId="86" borderId="0" xfId="342" applyNumberFormat="1" applyFont="1" applyFill="1"/>
    <xf numFmtId="165" fontId="89" fillId="86" borderId="0" xfId="342" applyNumberFormat="1" applyFont="1" applyFill="1" applyBorder="1" applyAlignment="1">
      <alignment horizontal="right" wrapText="1"/>
    </xf>
    <xf numFmtId="0" fontId="123" fillId="86" borderId="0" xfId="342" applyFont="1" applyFill="1" applyBorder="1"/>
    <xf numFmtId="165" fontId="89" fillId="86" borderId="0" xfId="342" applyNumberFormat="1" applyFont="1" applyFill="1" applyBorder="1" applyAlignment="1">
      <alignment horizontal="left" indent="1"/>
    </xf>
    <xf numFmtId="165" fontId="122" fillId="86" borderId="0" xfId="2" applyNumberFormat="1" applyFont="1" applyFill="1" applyBorder="1" applyAlignment="1">
      <alignment horizontal="left" vertical="center" indent="1"/>
    </xf>
    <xf numFmtId="165" fontId="123" fillId="86" borderId="0" xfId="342" applyNumberFormat="1" applyFont="1" applyFill="1" applyBorder="1" applyAlignment="1">
      <alignment horizontal="right"/>
    </xf>
    <xf numFmtId="0" fontId="123" fillId="86" borderId="0" xfId="342" applyFont="1" applyFill="1"/>
    <xf numFmtId="165" fontId="122" fillId="60" borderId="0" xfId="342" applyNumberFormat="1" applyFont="1" applyFill="1" applyBorder="1" applyAlignment="1">
      <alignment horizontal="center" vertical="center" wrapText="1"/>
    </xf>
    <xf numFmtId="179" fontId="123" fillId="86" borderId="0" xfId="529" applyNumberFormat="1" applyFont="1" applyFill="1" applyBorder="1"/>
    <xf numFmtId="165" fontId="123" fillId="86" borderId="0" xfId="342" applyNumberFormat="1" applyFont="1" applyFill="1" applyBorder="1"/>
    <xf numFmtId="2" fontId="122" fillId="86" borderId="44" xfId="342" applyNumberFormat="1" applyFont="1" applyFill="1" applyBorder="1" applyAlignment="1">
      <alignment horizontal="right" vertical="center"/>
    </xf>
    <xf numFmtId="165" fontId="89" fillId="84" borderId="70" xfId="342" applyNumberFormat="1" applyFont="1" applyFill="1" applyBorder="1" applyAlignment="1">
      <alignment horizontal="center" vertical="center" wrapText="1"/>
    </xf>
    <xf numFmtId="165" fontId="122" fillId="86" borderId="0" xfId="342" applyNumberFormat="1" applyFont="1" applyFill="1" applyBorder="1" applyAlignment="1">
      <alignment horizontal="right" wrapText="1"/>
    </xf>
    <xf numFmtId="165" fontId="122" fillId="86" borderId="0" xfId="342" applyNumberFormat="1" applyFont="1" applyFill="1" applyBorder="1"/>
    <xf numFmtId="165" fontId="122" fillId="86" borderId="0" xfId="342" applyNumberFormat="1" applyFont="1" applyFill="1" applyBorder="1" applyAlignment="1">
      <alignment horizontal="left" indent="1"/>
    </xf>
    <xf numFmtId="165" fontId="122" fillId="86" borderId="0" xfId="342" applyNumberFormat="1" applyFont="1" applyFill="1" applyBorder="1" applyAlignment="1">
      <alignment horizontal="left" vertical="center" wrapText="1" indent="1"/>
    </xf>
    <xf numFmtId="0" fontId="147" fillId="86" borderId="0" xfId="342" applyFont="1" applyFill="1"/>
    <xf numFmtId="165" fontId="122" fillId="86" borderId="0" xfId="360" applyNumberFormat="1" applyFont="1" applyFill="1" applyBorder="1" applyAlignment="1">
      <alignment horizontal="center" vertical="center"/>
    </xf>
    <xf numFmtId="165" fontId="122" fillId="60" borderId="61" xfId="342" applyNumberFormat="1" applyFont="1" applyFill="1" applyBorder="1" applyAlignment="1">
      <alignment horizontal="center" vertical="center"/>
    </xf>
    <xf numFmtId="0" fontId="147" fillId="86" borderId="46" xfId="342" applyFont="1" applyFill="1" applyBorder="1" applyAlignment="1">
      <alignment vertical="center"/>
    </xf>
    <xf numFmtId="2" fontId="122" fillId="86" borderId="0" xfId="4" applyNumberFormat="1" applyFont="1" applyFill="1" applyBorder="1" applyAlignment="1">
      <alignment horizontal="center" vertical="center"/>
    </xf>
    <xf numFmtId="43" fontId="149" fillId="86" borderId="0" xfId="532" applyNumberFormat="1" applyFont="1" applyFill="1" applyBorder="1"/>
    <xf numFmtId="165" fontId="150" fillId="86" borderId="0" xfId="342" applyNumberFormat="1" applyFont="1" applyFill="1" applyBorder="1" applyAlignment="1">
      <alignment horizontal="left" indent="1"/>
    </xf>
    <xf numFmtId="165" fontId="151" fillId="86" borderId="0" xfId="342" applyNumberFormat="1" applyFont="1" applyFill="1" applyBorder="1" applyAlignment="1">
      <alignment horizontal="left" indent="1"/>
    </xf>
    <xf numFmtId="165" fontId="150" fillId="86" borderId="0" xfId="342" applyNumberFormat="1" applyFont="1" applyFill="1" applyBorder="1" applyAlignment="1">
      <alignment horizontal="left" vertical="center" wrapText="1" indent="1"/>
    </xf>
    <xf numFmtId="1" fontId="147" fillId="86" borderId="46" xfId="342" applyNumberFormat="1" applyFont="1" applyFill="1" applyBorder="1" applyAlignment="1">
      <alignment vertical="center"/>
    </xf>
    <xf numFmtId="165" fontId="122" fillId="60" borderId="70" xfId="4" applyNumberFormat="1" applyFont="1" applyFill="1" applyBorder="1" applyAlignment="1">
      <alignment horizontal="center" vertical="center"/>
    </xf>
    <xf numFmtId="165" fontId="89" fillId="84" borderId="61" xfId="342" applyNumberFormat="1" applyFont="1" applyFill="1" applyBorder="1" applyAlignment="1">
      <alignment horizontal="center" vertical="center" wrapText="1"/>
    </xf>
    <xf numFmtId="165" fontId="122" fillId="86" borderId="44" xfId="4" applyNumberFormat="1" applyFont="1" applyFill="1" applyBorder="1" applyAlignment="1">
      <alignment horizontal="center" vertical="center"/>
    </xf>
    <xf numFmtId="165" fontId="122" fillId="86" borderId="61" xfId="4" applyNumberFormat="1" applyFont="1" applyFill="1" applyBorder="1" applyAlignment="1">
      <alignment horizontal="center" vertical="center"/>
    </xf>
    <xf numFmtId="2" fontId="128" fillId="86" borderId="44" xfId="342" applyNumberFormat="1" applyFont="1" applyFill="1" applyBorder="1" applyAlignment="1">
      <alignment horizontal="right" vertical="center"/>
    </xf>
    <xf numFmtId="165" fontId="152" fillId="86" borderId="0" xfId="4" applyNumberFormat="1" applyFont="1" applyFill="1" applyBorder="1" applyAlignment="1">
      <alignment horizontal="center" vertical="center"/>
    </xf>
    <xf numFmtId="0" fontId="123" fillId="86" borderId="64" xfId="342" applyFont="1" applyFill="1" applyBorder="1"/>
    <xf numFmtId="0" fontId="123" fillId="86" borderId="61" xfId="342" applyFont="1" applyFill="1" applyBorder="1"/>
    <xf numFmtId="2" fontId="122" fillId="86" borderId="69" xfId="342" applyNumberFormat="1" applyFont="1" applyFill="1" applyBorder="1" applyAlignment="1">
      <alignment horizontal="right" vertical="center"/>
    </xf>
    <xf numFmtId="165" fontId="122" fillId="86" borderId="0" xfId="342" applyNumberFormat="1" applyFont="1" applyFill="1" applyBorder="1" applyAlignment="1">
      <alignment horizontal="center" vertical="center" wrapText="1"/>
    </xf>
    <xf numFmtId="165" fontId="122" fillId="86" borderId="61" xfId="342" applyNumberFormat="1" applyFont="1" applyFill="1" applyBorder="1" applyAlignment="1">
      <alignment horizontal="center" vertical="center"/>
    </xf>
    <xf numFmtId="1" fontId="147" fillId="86" borderId="61" xfId="342" applyNumberFormat="1" applyFont="1" applyFill="1" applyBorder="1" applyAlignment="1">
      <alignment vertical="center"/>
    </xf>
    <xf numFmtId="2" fontId="128" fillId="86" borderId="69" xfId="342" applyNumberFormat="1" applyFont="1" applyFill="1" applyBorder="1" applyAlignment="1">
      <alignment horizontal="right" vertical="center"/>
    </xf>
    <xf numFmtId="165" fontId="122" fillId="86" borderId="64" xfId="4" applyNumberFormat="1" applyFont="1" applyFill="1" applyBorder="1" applyAlignment="1">
      <alignment horizontal="center" vertical="center"/>
    </xf>
    <xf numFmtId="43" fontId="123" fillId="86" borderId="0" xfId="532" applyFont="1" applyFill="1"/>
    <xf numFmtId="179" fontId="149" fillId="86" borderId="0" xfId="342" applyNumberFormat="1" applyFont="1" applyFill="1" applyBorder="1"/>
    <xf numFmtId="2" fontId="128" fillId="86" borderId="67" xfId="342" applyNumberFormat="1" applyFont="1" applyFill="1" applyBorder="1" applyAlignment="1">
      <alignment horizontal="right" vertical="center"/>
    </xf>
    <xf numFmtId="179" fontId="123" fillId="86" borderId="0" xfId="529" applyNumberFormat="1" applyFont="1" applyFill="1"/>
    <xf numFmtId="2" fontId="122" fillId="86" borderId="72" xfId="342" applyNumberFormat="1" applyFont="1" applyFill="1" applyBorder="1" applyAlignment="1">
      <alignment horizontal="right" vertical="center"/>
    </xf>
    <xf numFmtId="165" fontId="122" fillId="86" borderId="76" xfId="4" applyNumberFormat="1" applyFont="1" applyFill="1" applyBorder="1" applyAlignment="1">
      <alignment horizontal="center" vertical="center"/>
    </xf>
    <xf numFmtId="165" fontId="122" fillId="86" borderId="80" xfId="4" applyNumberFormat="1" applyFont="1" applyFill="1" applyBorder="1" applyAlignment="1">
      <alignment horizontal="center" vertical="center"/>
    </xf>
    <xf numFmtId="2" fontId="128" fillId="86" borderId="77" xfId="4" applyNumberFormat="1" applyFont="1" applyFill="1" applyBorder="1" applyAlignment="1">
      <alignment horizontal="center" vertical="center"/>
    </xf>
    <xf numFmtId="165" fontId="128" fillId="86" borderId="78" xfId="4" applyNumberFormat="1" applyFont="1" applyFill="1" applyBorder="1" applyAlignment="1">
      <alignment horizontal="center" vertical="center"/>
    </xf>
    <xf numFmtId="2" fontId="152" fillId="86" borderId="67" xfId="342" applyNumberFormat="1" applyFont="1" applyFill="1" applyBorder="1" applyAlignment="1">
      <alignment horizontal="right" vertical="center"/>
    </xf>
    <xf numFmtId="165" fontId="152" fillId="60" borderId="73" xfId="4" applyNumberFormat="1" applyFont="1" applyFill="1" applyBorder="1" applyAlignment="1">
      <alignment horizontal="center" vertical="center"/>
    </xf>
    <xf numFmtId="165" fontId="152" fillId="60" borderId="74" xfId="4" applyNumberFormat="1" applyFont="1" applyFill="1" applyBorder="1" applyAlignment="1">
      <alignment horizontal="center" vertical="center"/>
    </xf>
    <xf numFmtId="165" fontId="152" fillId="86" borderId="74" xfId="4" applyNumberFormat="1" applyFont="1" applyFill="1" applyBorder="1" applyAlignment="1">
      <alignment horizontal="center" vertical="center"/>
    </xf>
    <xf numFmtId="165" fontId="152" fillId="86" borderId="74" xfId="342" applyNumberFormat="1" applyFont="1" applyFill="1" applyBorder="1" applyAlignment="1">
      <alignment horizontal="center" vertical="center" wrapText="1"/>
    </xf>
    <xf numFmtId="165" fontId="122" fillId="86" borderId="74" xfId="342" applyNumberFormat="1" applyFont="1" applyFill="1" applyBorder="1" applyAlignment="1">
      <alignment horizontal="center" vertical="center"/>
    </xf>
    <xf numFmtId="165" fontId="152" fillId="86" borderId="79" xfId="342" applyNumberFormat="1" applyFont="1" applyFill="1" applyBorder="1" applyAlignment="1">
      <alignment horizontal="center" vertical="center" wrapText="1"/>
    </xf>
    <xf numFmtId="165" fontId="152" fillId="86" borderId="74" xfId="342" applyNumberFormat="1" applyFont="1" applyFill="1" applyBorder="1" applyAlignment="1">
      <alignment horizontal="center" vertical="center"/>
    </xf>
    <xf numFmtId="165" fontId="152" fillId="86" borderId="75" xfId="342" applyNumberFormat="1" applyFont="1" applyFill="1" applyBorder="1" applyAlignment="1">
      <alignment horizontal="center" vertical="center"/>
    </xf>
    <xf numFmtId="165" fontId="152" fillId="86" borderId="44" xfId="342" applyNumberFormat="1" applyFont="1" applyFill="1" applyBorder="1" applyAlignment="1">
      <alignment horizontal="center" vertical="center"/>
    </xf>
    <xf numFmtId="165" fontId="152" fillId="86" borderId="0" xfId="342" applyNumberFormat="1" applyFont="1" applyFill="1" applyBorder="1" applyAlignment="1">
      <alignment horizontal="center" vertical="center"/>
    </xf>
    <xf numFmtId="2" fontId="152" fillId="86" borderId="0" xfId="342" applyNumberFormat="1" applyFont="1" applyFill="1" applyBorder="1" applyAlignment="1">
      <alignment horizontal="center" vertical="center"/>
    </xf>
    <xf numFmtId="165" fontId="152" fillId="86" borderId="61" xfId="342" applyNumberFormat="1" applyFont="1" applyFill="1" applyBorder="1" applyAlignment="1">
      <alignment horizontal="center" vertical="center"/>
    </xf>
    <xf numFmtId="165" fontId="152" fillId="60" borderId="70" xfId="4" applyNumberFormat="1" applyFont="1" applyFill="1" applyBorder="1" applyAlignment="1">
      <alignment horizontal="center" vertical="center"/>
    </xf>
    <xf numFmtId="165" fontId="152" fillId="60" borderId="0" xfId="4" applyNumberFormat="1" applyFont="1" applyFill="1" applyBorder="1" applyAlignment="1">
      <alignment horizontal="center" vertical="center"/>
    </xf>
    <xf numFmtId="165" fontId="152" fillId="86" borderId="0" xfId="342" applyNumberFormat="1" applyFont="1" applyFill="1" applyBorder="1" applyAlignment="1">
      <alignment horizontal="center" vertical="center" wrapText="1"/>
    </xf>
    <xf numFmtId="1" fontId="147" fillId="86" borderId="0" xfId="342" applyNumberFormat="1" applyFont="1" applyFill="1" applyBorder="1" applyAlignment="1">
      <alignment vertical="center"/>
    </xf>
    <xf numFmtId="165" fontId="152" fillId="86" borderId="49" xfId="342" applyNumberFormat="1" applyFont="1" applyFill="1" applyBorder="1" applyAlignment="1">
      <alignment horizontal="center" vertical="center"/>
    </xf>
    <xf numFmtId="165" fontId="152" fillId="86" borderId="45" xfId="342" applyNumberFormat="1" applyFont="1" applyFill="1" applyBorder="1" applyAlignment="1">
      <alignment horizontal="center" vertical="center"/>
    </xf>
    <xf numFmtId="2" fontId="152" fillId="86" borderId="45" xfId="342" applyNumberFormat="1" applyFont="1" applyFill="1" applyBorder="1" applyAlignment="1">
      <alignment horizontal="center" vertical="center"/>
    </xf>
    <xf numFmtId="165" fontId="152" fillId="86" borderId="66" xfId="342" applyNumberFormat="1" applyFont="1" applyFill="1" applyBorder="1" applyAlignment="1">
      <alignment horizontal="center" vertical="center"/>
    </xf>
    <xf numFmtId="2" fontId="122" fillId="86" borderId="50" xfId="4" applyNumberFormat="1" applyFont="1" applyFill="1" applyBorder="1" applyAlignment="1">
      <alignment horizontal="left" vertical="top" wrapText="1"/>
    </xf>
    <xf numFmtId="0" fontId="123" fillId="86" borderId="62" xfId="342" applyFont="1" applyFill="1" applyBorder="1"/>
    <xf numFmtId="0" fontId="116" fillId="86" borderId="64" xfId="2" applyFont="1" applyFill="1" applyBorder="1" applyAlignment="1">
      <alignment wrapText="1"/>
    </xf>
    <xf numFmtId="0" fontId="116" fillId="86" borderId="0" xfId="2" applyFont="1" applyFill="1" applyBorder="1" applyAlignment="1">
      <alignment wrapText="1"/>
    </xf>
    <xf numFmtId="0" fontId="116" fillId="86" borderId="61" xfId="2" applyFont="1" applyFill="1" applyBorder="1" applyAlignment="1">
      <alignment wrapText="1"/>
    </xf>
    <xf numFmtId="165" fontId="89" fillId="86" borderId="0" xfId="342" applyNumberFormat="1" applyFont="1" applyFill="1" applyBorder="1"/>
    <xf numFmtId="0" fontId="123" fillId="60" borderId="51" xfId="342" applyFont="1" applyFill="1" applyBorder="1"/>
    <xf numFmtId="0" fontId="123" fillId="60" borderId="61" xfId="342" applyFont="1" applyFill="1" applyBorder="1"/>
    <xf numFmtId="16" fontId="123" fillId="60" borderId="51" xfId="342" applyNumberFormat="1" applyFont="1" applyFill="1" applyBorder="1"/>
    <xf numFmtId="0" fontId="122" fillId="60" borderId="0" xfId="2" applyFont="1" applyFill="1" applyBorder="1" applyAlignment="1">
      <alignment vertical="center"/>
    </xf>
    <xf numFmtId="0" fontId="123" fillId="60" borderId="46" xfId="342" applyFont="1" applyFill="1" applyBorder="1"/>
    <xf numFmtId="16" fontId="123" fillId="60" borderId="68" xfId="342" applyNumberFormat="1" applyFont="1" applyFill="1" applyBorder="1"/>
    <xf numFmtId="0" fontId="122" fillId="84" borderId="53" xfId="2" applyFont="1" applyFill="1" applyBorder="1" applyAlignment="1">
      <alignment vertical="center"/>
    </xf>
    <xf numFmtId="0" fontId="123" fillId="60" borderId="53" xfId="342" applyFont="1" applyFill="1" applyBorder="1"/>
    <xf numFmtId="0" fontId="123" fillId="60" borderId="54" xfId="342" applyFont="1" applyFill="1" applyBorder="1"/>
    <xf numFmtId="16" fontId="123" fillId="60" borderId="0" xfId="342" applyNumberFormat="1" applyFont="1" applyFill="1"/>
    <xf numFmtId="0" fontId="0" fillId="0" borderId="0" xfId="0" applyAlignment="1">
      <alignment horizontal="center"/>
    </xf>
    <xf numFmtId="2" fontId="0" fillId="0" borderId="0" xfId="0" applyNumberFormat="1" applyAlignment="1">
      <alignment horizontal="center"/>
    </xf>
    <xf numFmtId="0" fontId="76" fillId="0" borderId="0" xfId="2170"/>
    <xf numFmtId="0" fontId="153" fillId="0" borderId="0" xfId="2170" applyFont="1" applyAlignment="1" applyProtection="1">
      <alignment horizontal="centerContinuous" vertical="top"/>
      <protection hidden="1"/>
    </xf>
    <xf numFmtId="0" fontId="153" fillId="0" borderId="0" xfId="2170" applyFont="1" applyAlignment="1" applyProtection="1">
      <alignment horizontal="centerContinuous"/>
      <protection hidden="1"/>
    </xf>
    <xf numFmtId="0" fontId="154" fillId="0" borderId="0" xfId="2170" applyFont="1" applyAlignment="1" applyProtection="1">
      <alignment horizontal="right" vertical="center" wrapText="1"/>
      <protection hidden="1"/>
    </xf>
    <xf numFmtId="0" fontId="155" fillId="0" borderId="0" xfId="2170" applyFont="1" applyAlignment="1" applyProtection="1">
      <alignment horizontal="right" vertical="center" wrapText="1"/>
      <protection hidden="1"/>
    </xf>
    <xf numFmtId="0" fontId="153" fillId="0" borderId="0" xfId="2170" applyFont="1" applyBorder="1"/>
    <xf numFmtId="0" fontId="156" fillId="0" borderId="0" xfId="979" applyFont="1" applyAlignment="1"/>
    <xf numFmtId="0" fontId="157" fillId="0" borderId="0" xfId="979" applyFont="1" applyAlignment="1"/>
    <xf numFmtId="0" fontId="153" fillId="0" borderId="0" xfId="2170" applyFont="1" applyFill="1" applyBorder="1"/>
    <xf numFmtId="0" fontId="153" fillId="87" borderId="0" xfId="2170" applyFont="1" applyFill="1" applyBorder="1"/>
    <xf numFmtId="0" fontId="158" fillId="87" borderId="0" xfId="2170" applyFont="1" applyFill="1" applyBorder="1"/>
    <xf numFmtId="0" fontId="159" fillId="0" borderId="0" xfId="2170" applyFont="1" applyFill="1" applyBorder="1" applyAlignment="1" applyProtection="1">
      <alignment horizontal="centerContinuous"/>
      <protection hidden="1"/>
    </xf>
    <xf numFmtId="0" fontId="159" fillId="0" borderId="0" xfId="2170" applyFont="1" applyBorder="1" applyAlignment="1" applyProtection="1">
      <alignment horizontal="centerContinuous"/>
      <protection hidden="1"/>
    </xf>
    <xf numFmtId="0" fontId="160" fillId="0" borderId="0" xfId="2170" applyFont="1" applyBorder="1" applyAlignment="1" applyProtection="1">
      <alignment horizontal="centerContinuous"/>
      <protection hidden="1"/>
    </xf>
    <xf numFmtId="0" fontId="161" fillId="0" borderId="0" xfId="2170" applyFont="1" applyBorder="1" applyAlignment="1" applyProtection="1">
      <alignment horizontal="centerContinuous"/>
      <protection locked="0"/>
    </xf>
    <xf numFmtId="0" fontId="153" fillId="0" borderId="0" xfId="2170" applyFont="1" applyBorder="1" applyProtection="1">
      <protection locked="0"/>
    </xf>
    <xf numFmtId="0" fontId="153" fillId="0" borderId="0" xfId="2170" applyFont="1" applyAlignment="1" applyProtection="1">
      <alignment vertical="top"/>
      <protection locked="0"/>
    </xf>
    <xf numFmtId="0" fontId="153" fillId="0" borderId="0" xfId="2170" applyFont="1" applyBorder="1" applyAlignment="1" applyProtection="1">
      <alignment vertical="top"/>
      <protection locked="0"/>
    </xf>
    <xf numFmtId="0" fontId="154" fillId="0" borderId="0" xfId="2170" applyFont="1" applyBorder="1" applyAlignment="1" applyProtection="1">
      <alignment horizontal="centerContinuous" vertical="top"/>
      <protection hidden="1"/>
    </xf>
    <xf numFmtId="0" fontId="155" fillId="0" borderId="0" xfId="2170" applyFont="1" applyBorder="1" applyAlignment="1" applyProtection="1">
      <alignment horizontal="centerContinuous" vertical="top"/>
      <protection hidden="1"/>
    </xf>
    <xf numFmtId="0" fontId="154" fillId="0" borderId="0" xfId="2170" applyFont="1" applyFill="1" applyBorder="1" applyAlignment="1" applyProtection="1">
      <alignment horizontal="centerContinuous" vertical="top"/>
      <protection hidden="1"/>
    </xf>
    <xf numFmtId="0" fontId="155" fillId="0" borderId="0" xfId="2170" applyFont="1" applyFill="1" applyBorder="1" applyAlignment="1" applyProtection="1">
      <alignment horizontal="centerContinuous" vertical="top"/>
      <protection hidden="1"/>
    </xf>
    <xf numFmtId="0" fontId="153" fillId="0" borderId="0" xfId="2170" applyFont="1" applyBorder="1" applyAlignment="1">
      <alignment horizontal="centerContinuous" vertical="top"/>
    </xf>
    <xf numFmtId="0" fontId="153" fillId="0" borderId="0" xfId="2170" applyFont="1"/>
    <xf numFmtId="0" fontId="163" fillId="0" borderId="0" xfId="2170" applyFont="1" applyBorder="1"/>
    <xf numFmtId="0" fontId="164" fillId="0" borderId="0" xfId="2170" applyFont="1" applyBorder="1" applyAlignment="1">
      <alignment horizontal="right"/>
    </xf>
    <xf numFmtId="0" fontId="164" fillId="0" borderId="0" xfId="2170" applyFont="1" applyFill="1" applyBorder="1" applyAlignment="1" applyProtection="1">
      <alignment horizontal="left" indent="1"/>
      <protection hidden="1"/>
    </xf>
    <xf numFmtId="0" fontId="164" fillId="0" borderId="0" xfId="2170" applyFont="1" applyFill="1" applyBorder="1" applyAlignment="1" applyProtection="1">
      <alignment horizontal="left"/>
      <protection hidden="1"/>
    </xf>
    <xf numFmtId="0" fontId="163" fillId="0" borderId="0" xfId="2170" applyFont="1" applyBorder="1" applyAlignment="1" applyProtection="1">
      <alignment horizontal="centerContinuous" vertical="center"/>
      <protection hidden="1"/>
    </xf>
    <xf numFmtId="0" fontId="165" fillId="0" borderId="0" xfId="2170" applyFont="1" applyBorder="1" applyAlignment="1" applyProtection="1">
      <alignment horizontal="centerContinuous" vertical="center"/>
      <protection hidden="1"/>
    </xf>
    <xf numFmtId="0" fontId="163" fillId="0" borderId="0" xfId="2170" applyFont="1" applyBorder="1" applyProtection="1">
      <protection locked="0"/>
    </xf>
    <xf numFmtId="3" fontId="153" fillId="0" borderId="0" xfId="2170" applyNumberFormat="1" applyFont="1" applyAlignment="1" applyProtection="1">
      <alignment vertical="top"/>
      <protection locked="0"/>
    </xf>
    <xf numFmtId="0" fontId="153" fillId="0" borderId="0" xfId="2170" applyFont="1" applyFill="1" applyBorder="1" applyAlignment="1" applyProtection="1">
      <alignment horizontal="left"/>
      <protection hidden="1"/>
    </xf>
    <xf numFmtId="0" fontId="153" fillId="0" borderId="0" xfId="2170" applyFont="1" applyBorder="1" applyAlignment="1" applyProtection="1">
      <alignment horizontal="left"/>
      <protection hidden="1"/>
    </xf>
    <xf numFmtId="3" fontId="153" fillId="0" borderId="0" xfId="2170" applyNumberFormat="1" applyFont="1" applyBorder="1" applyAlignment="1" applyProtection="1">
      <alignment horizontal="right"/>
      <protection locked="0" hidden="1"/>
    </xf>
    <xf numFmtId="3" fontId="153" fillId="0" borderId="0" xfId="2170" applyNumberFormat="1" applyFont="1" applyBorder="1" applyAlignment="1" applyProtection="1">
      <alignment horizontal="right"/>
      <protection hidden="1"/>
    </xf>
    <xf numFmtId="0" fontId="153" fillId="88" borderId="0" xfId="2170" applyFont="1" applyFill="1" applyBorder="1" applyAlignment="1" applyProtection="1">
      <alignment horizontal="left"/>
      <protection hidden="1"/>
    </xf>
    <xf numFmtId="3" fontId="153" fillId="88" borderId="0" xfId="2170" applyNumberFormat="1" applyFont="1" applyFill="1" applyBorder="1" applyAlignment="1" applyProtection="1">
      <alignment horizontal="right"/>
      <protection locked="0"/>
    </xf>
    <xf numFmtId="3" fontId="153" fillId="88" borderId="0" xfId="2170" applyNumberFormat="1" applyFont="1" applyFill="1" applyBorder="1" applyAlignment="1" applyProtection="1">
      <alignment horizontal="right"/>
    </xf>
    <xf numFmtId="0" fontId="168" fillId="0" borderId="0" xfId="2170" applyFont="1"/>
    <xf numFmtId="3" fontId="153" fillId="0" borderId="0" xfId="2170" applyNumberFormat="1" applyFont="1" applyFill="1" applyBorder="1" applyAlignment="1" applyProtection="1">
      <alignment horizontal="right"/>
      <protection locked="0"/>
    </xf>
    <xf numFmtId="3" fontId="153" fillId="0" borderId="0" xfId="2170" applyNumberFormat="1" applyFont="1" applyFill="1" applyBorder="1" applyAlignment="1" applyProtection="1">
      <alignment horizontal="right"/>
    </xf>
    <xf numFmtId="3" fontId="153" fillId="88" borderId="0" xfId="2170" applyNumberFormat="1" applyFont="1" applyFill="1" applyBorder="1" applyAlignment="1" applyProtection="1">
      <alignment horizontal="right"/>
      <protection locked="0" hidden="1"/>
    </xf>
    <xf numFmtId="3" fontId="153" fillId="88" borderId="0" xfId="2170" applyNumberFormat="1" applyFont="1" applyFill="1" applyBorder="1" applyAlignment="1" applyProtection="1">
      <alignment horizontal="right"/>
      <protection hidden="1"/>
    </xf>
    <xf numFmtId="3" fontId="170" fillId="88" borderId="0" xfId="2170" applyNumberFormat="1" applyFont="1" applyFill="1" applyBorder="1" applyAlignment="1" applyProtection="1">
      <alignment horizontal="right"/>
    </xf>
    <xf numFmtId="3" fontId="153" fillId="0" borderId="0" xfId="2170" applyNumberFormat="1" applyFont="1" applyFill="1" applyBorder="1" applyAlignment="1" applyProtection="1">
      <alignment horizontal="right"/>
      <protection locked="0" hidden="1"/>
    </xf>
    <xf numFmtId="3" fontId="170" fillId="0" borderId="0" xfId="2170" applyNumberFormat="1" applyFont="1" applyFill="1" applyBorder="1" applyAlignment="1" applyProtection="1">
      <alignment horizontal="right"/>
      <protection hidden="1"/>
    </xf>
    <xf numFmtId="3" fontId="158" fillId="0" borderId="0" xfId="2170" applyNumberFormat="1" applyFont="1" applyBorder="1" applyAlignment="1" applyProtection="1">
      <alignment horizontal="right"/>
      <protection locked="0" hidden="1"/>
    </xf>
    <xf numFmtId="0" fontId="163" fillId="0" borderId="0" xfId="2170" applyFont="1" applyBorder="1" applyAlignment="1" applyProtection="1">
      <alignment horizontal="centerContinuous" vertical="center" wrapText="1"/>
      <protection hidden="1"/>
    </xf>
    <xf numFmtId="1" fontId="163" fillId="0" borderId="0" xfId="2170" applyNumberFormat="1" applyFont="1" applyBorder="1" applyAlignment="1" applyProtection="1">
      <alignment horizontal="centerContinuous" vertical="center" wrapText="1"/>
      <protection hidden="1"/>
    </xf>
    <xf numFmtId="1" fontId="165" fillId="0" borderId="0" xfId="2170" applyNumberFormat="1" applyFont="1" applyBorder="1" applyAlignment="1" applyProtection="1">
      <alignment horizontal="centerContinuous" vertical="center" wrapText="1"/>
      <protection hidden="1"/>
    </xf>
    <xf numFmtId="3" fontId="170" fillId="0" borderId="0" xfId="2170" applyNumberFormat="1" applyFont="1" applyBorder="1" applyAlignment="1" applyProtection="1">
      <alignment horizontal="right"/>
      <protection locked="0" hidden="1"/>
    </xf>
    <xf numFmtId="3" fontId="170" fillId="88" borderId="0" xfId="2170" applyNumberFormat="1" applyFont="1" applyFill="1" applyBorder="1" applyAlignment="1" applyProtection="1">
      <alignment horizontal="right"/>
      <protection locked="0"/>
    </xf>
    <xf numFmtId="3" fontId="170" fillId="0" borderId="0" xfId="2170" applyNumberFormat="1" applyFont="1" applyFill="1" applyBorder="1" applyAlignment="1" applyProtection="1">
      <alignment horizontal="right"/>
      <protection locked="0" hidden="1"/>
    </xf>
    <xf numFmtId="3" fontId="170" fillId="0" borderId="0" xfId="2170" applyNumberFormat="1" applyFont="1" applyFill="1" applyBorder="1" applyAlignment="1" applyProtection="1">
      <alignment horizontal="right"/>
      <protection locked="0"/>
    </xf>
    <xf numFmtId="3" fontId="170" fillId="88" borderId="0" xfId="2170" applyNumberFormat="1" applyFont="1" applyFill="1" applyBorder="1" applyAlignment="1" applyProtection="1">
      <alignment horizontal="right"/>
      <protection locked="0" hidden="1"/>
    </xf>
    <xf numFmtId="0" fontId="154" fillId="0" borderId="0" xfId="2170" applyFont="1" applyFill="1" applyBorder="1" applyAlignment="1" applyProtection="1">
      <alignment vertical="top"/>
      <protection hidden="1"/>
    </xf>
    <xf numFmtId="0" fontId="155" fillId="0" borderId="0" xfId="2170" applyFont="1" applyFill="1" applyBorder="1" applyAlignment="1" applyProtection="1">
      <alignment vertical="top"/>
      <protection hidden="1"/>
    </xf>
    <xf numFmtId="0" fontId="1" fillId="0" borderId="0" xfId="979" applyFont="1"/>
    <xf numFmtId="0" fontId="171" fillId="0" borderId="0" xfId="979" applyFont="1" applyAlignment="1">
      <alignment horizontal="left" vertical="top"/>
    </xf>
    <xf numFmtId="0" fontId="171" fillId="0" borderId="0" xfId="979" applyFont="1" applyAlignment="1">
      <alignment horizontal="left" vertical="top" wrapText="1"/>
    </xf>
    <xf numFmtId="0" fontId="172" fillId="0" borderId="0" xfId="979" applyFont="1" applyAlignment="1">
      <alignment horizontal="left" vertical="top" wrapText="1"/>
    </xf>
    <xf numFmtId="0" fontId="1" fillId="0" borderId="0" xfId="979" applyFont="1" applyAlignment="1">
      <alignment horizontal="right"/>
    </xf>
    <xf numFmtId="0" fontId="153" fillId="0" borderId="0" xfId="2170" applyFont="1" applyBorder="1" applyAlignment="1" applyProtection="1">
      <alignment horizontal="left" indent="1"/>
      <protection locked="0"/>
    </xf>
    <xf numFmtId="0" fontId="153" fillId="0" borderId="0" xfId="2171" applyFont="1" applyBorder="1" applyAlignment="1">
      <alignment horizontal="left"/>
    </xf>
    <xf numFmtId="0" fontId="153" fillId="0" borderId="0" xfId="2170" applyFont="1" applyBorder="1" applyAlignment="1" applyProtection="1">
      <protection locked="0"/>
    </xf>
    <xf numFmtId="0" fontId="158" fillId="0" borderId="0" xfId="2170" applyFont="1" applyBorder="1" applyProtection="1">
      <protection locked="0"/>
    </xf>
    <xf numFmtId="205" fontId="173" fillId="0" borderId="0" xfId="2170" applyNumberFormat="1" applyFont="1" applyFill="1" applyBorder="1" applyAlignment="1" applyProtection="1">
      <alignment horizontal="centerContinuous"/>
      <protection hidden="1"/>
    </xf>
    <xf numFmtId="205" fontId="174" fillId="0" borderId="0" xfId="2170" applyNumberFormat="1" applyFont="1" applyFill="1" applyBorder="1" applyAlignment="1" applyProtection="1">
      <alignment horizontal="centerContinuous"/>
      <protection hidden="1"/>
    </xf>
    <xf numFmtId="0" fontId="154" fillId="0" borderId="0" xfId="2170" applyFont="1" applyFill="1" applyAlignment="1">
      <alignment horizontal="centerContinuous"/>
    </xf>
    <xf numFmtId="0" fontId="154" fillId="0" borderId="0" xfId="2170" applyFont="1" applyAlignment="1">
      <alignment horizontal="centerContinuous"/>
    </xf>
    <xf numFmtId="0" fontId="158" fillId="0" borderId="0" xfId="2170" applyFont="1" applyBorder="1" applyAlignment="1" applyProtection="1">
      <protection locked="0"/>
    </xf>
    <xf numFmtId="0" fontId="170" fillId="0" borderId="0" xfId="2170" applyFont="1" applyProtection="1">
      <protection locked="0"/>
    </xf>
    <xf numFmtId="0" fontId="169" fillId="0" borderId="0" xfId="2170" applyFont="1" applyBorder="1" applyAlignment="1" applyProtection="1">
      <alignment horizontal="left" indent="1"/>
      <protection locked="0"/>
    </xf>
    <xf numFmtId="0" fontId="169" fillId="0" borderId="0" xfId="2170" applyFont="1" applyBorder="1" applyProtection="1">
      <protection locked="0"/>
    </xf>
    <xf numFmtId="0" fontId="169" fillId="0" borderId="0" xfId="2171" applyFont="1" applyBorder="1" applyAlignment="1">
      <alignment horizontal="left"/>
    </xf>
    <xf numFmtId="0" fontId="169" fillId="0" borderId="0" xfId="2170" applyFont="1" applyBorder="1" applyAlignment="1" applyProtection="1">
      <protection locked="0"/>
    </xf>
    <xf numFmtId="0" fontId="1" fillId="0" borderId="0" xfId="2170" applyFont="1" applyFill="1" applyAlignment="1">
      <alignment horizontal="left"/>
    </xf>
    <xf numFmtId="0" fontId="153" fillId="0" borderId="0" xfId="2170" applyFont="1" applyFill="1" applyBorder="1" applyAlignment="1" applyProtection="1">
      <alignment vertical="top"/>
      <protection locked="0"/>
    </xf>
    <xf numFmtId="0" fontId="173" fillId="0" borderId="0" xfId="2170" quotePrefix="1" applyFont="1" applyFill="1" applyBorder="1" applyAlignment="1" applyProtection="1">
      <alignment horizontal="centerContinuous"/>
      <protection hidden="1"/>
    </xf>
    <xf numFmtId="0" fontId="153" fillId="0" borderId="0" xfId="2170" applyFont="1" applyFill="1" applyBorder="1" applyProtection="1">
      <protection locked="0"/>
    </xf>
    <xf numFmtId="0" fontId="153" fillId="0" borderId="0" xfId="2170" applyFont="1" applyFill="1" applyAlignment="1" applyProtection="1">
      <alignment vertical="top"/>
      <protection locked="0"/>
    </xf>
    <xf numFmtId="0" fontId="162" fillId="0" borderId="0" xfId="2170" applyFont="1" applyFill="1" applyAlignment="1" applyProtection="1">
      <alignment vertical="top"/>
      <protection locked="0"/>
    </xf>
    <xf numFmtId="0" fontId="153" fillId="0" borderId="0" xfId="2170" applyFont="1" applyFill="1"/>
    <xf numFmtId="3" fontId="166" fillId="0" borderId="0" xfId="2170" applyNumberFormat="1" applyFont="1" applyFill="1" applyBorder="1" applyAlignment="1" applyProtection="1">
      <alignment vertical="top"/>
      <protection locked="0"/>
    </xf>
    <xf numFmtId="3" fontId="167" fillId="0" borderId="0" xfId="2170" applyNumberFormat="1" applyFont="1" applyFill="1" applyBorder="1" applyAlignment="1" applyProtection="1">
      <alignment vertical="top"/>
      <protection locked="0"/>
    </xf>
    <xf numFmtId="3" fontId="153" fillId="0" borderId="0" xfId="2170" applyNumberFormat="1" applyFont="1" applyFill="1" applyBorder="1" applyAlignment="1" applyProtection="1">
      <alignment vertical="top"/>
      <protection locked="0"/>
    </xf>
    <xf numFmtId="0" fontId="168" fillId="0" borderId="0" xfId="2170" applyFont="1" applyFill="1"/>
    <xf numFmtId="3" fontId="169" fillId="0" borderId="0" xfId="2170" applyNumberFormat="1" applyFont="1" applyFill="1" applyBorder="1" applyAlignment="1" applyProtection="1">
      <alignment vertical="top"/>
      <protection locked="0"/>
    </xf>
    <xf numFmtId="0" fontId="1" fillId="0" borderId="0" xfId="979" applyFont="1" applyFill="1"/>
    <xf numFmtId="0" fontId="169" fillId="0" borderId="0" xfId="2170" applyFont="1" applyFill="1" applyBorder="1" applyProtection="1">
      <protection locked="0"/>
    </xf>
    <xf numFmtId="0" fontId="169" fillId="0" borderId="0" xfId="2170" applyFont="1" applyFill="1" applyProtection="1">
      <protection locked="0"/>
    </xf>
    <xf numFmtId="2" fontId="177" fillId="0" borderId="0" xfId="0" applyNumberFormat="1" applyFont="1" applyAlignment="1">
      <alignment horizontal="center"/>
    </xf>
    <xf numFmtId="165" fontId="0" fillId="0" borderId="0" xfId="0" applyNumberFormat="1"/>
    <xf numFmtId="0" fontId="153" fillId="0" borderId="0" xfId="2172" applyFont="1" applyBorder="1"/>
    <xf numFmtId="0" fontId="156" fillId="0" borderId="0" xfId="979" applyFont="1" applyAlignment="1"/>
    <xf numFmtId="0" fontId="153" fillId="0" borderId="0" xfId="2172" applyFont="1" applyFill="1" applyBorder="1"/>
    <xf numFmtId="0" fontId="153" fillId="87" borderId="0" xfId="2172" applyFont="1" applyFill="1" applyBorder="1"/>
    <xf numFmtId="0" fontId="159" fillId="0" borderId="0" xfId="2172" applyFont="1" applyFill="1" applyBorder="1" applyAlignment="1" applyProtection="1">
      <alignment horizontal="centerContinuous"/>
      <protection hidden="1"/>
    </xf>
    <xf numFmtId="0" fontId="153" fillId="0" borderId="0" xfId="2172" applyFont="1" applyBorder="1" applyAlignment="1" applyProtection="1">
      <alignment vertical="top"/>
      <protection locked="0"/>
    </xf>
    <xf numFmtId="0" fontId="154" fillId="0" borderId="0" xfId="2172" applyFont="1" applyBorder="1" applyAlignment="1" applyProtection="1">
      <alignment horizontal="centerContinuous" vertical="top"/>
      <protection hidden="1"/>
    </xf>
    <xf numFmtId="0" fontId="154" fillId="0" borderId="0" xfId="2172" applyFont="1" applyFill="1" applyBorder="1" applyAlignment="1" applyProtection="1">
      <alignment horizontal="centerContinuous" vertical="top"/>
      <protection hidden="1"/>
    </xf>
    <xf numFmtId="0" fontId="163" fillId="0" borderId="0" xfId="2172" applyFont="1" applyBorder="1"/>
    <xf numFmtId="0" fontId="164" fillId="0" borderId="0" xfId="2172" applyFont="1" applyBorder="1" applyAlignment="1">
      <alignment horizontal="right"/>
    </xf>
    <xf numFmtId="0" fontId="164" fillId="0" borderId="0" xfId="2172" applyFont="1" applyFill="1" applyBorder="1" applyAlignment="1" applyProtection="1">
      <alignment horizontal="left" indent="1"/>
      <protection hidden="1"/>
    </xf>
    <xf numFmtId="0" fontId="164" fillId="0" borderId="0" xfId="2172" applyFont="1" applyFill="1" applyBorder="1" applyAlignment="1" applyProtection="1">
      <alignment horizontal="left"/>
      <protection hidden="1"/>
    </xf>
    <xf numFmtId="0" fontId="163" fillId="0" borderId="0" xfId="2172" applyFont="1" applyBorder="1" applyAlignment="1" applyProtection="1">
      <alignment horizontal="centerContinuous" vertical="center"/>
      <protection hidden="1"/>
    </xf>
    <xf numFmtId="0" fontId="163" fillId="0" borderId="0" xfId="2172" applyFont="1" applyBorder="1" applyProtection="1">
      <protection locked="0"/>
    </xf>
    <xf numFmtId="0" fontId="153" fillId="0" borderId="0" xfId="2172" applyFont="1" applyFill="1" applyBorder="1" applyAlignment="1" applyProtection="1">
      <alignment horizontal="left"/>
      <protection hidden="1"/>
    </xf>
    <xf numFmtId="0" fontId="153" fillId="88" borderId="0" xfId="2172" applyFont="1" applyFill="1" applyBorder="1" applyAlignment="1" applyProtection="1">
      <alignment horizontal="left"/>
      <protection hidden="1"/>
    </xf>
    <xf numFmtId="0" fontId="154" fillId="0" borderId="0" xfId="2172" applyFont="1" applyFill="1" applyBorder="1" applyAlignment="1" applyProtection="1">
      <alignment vertical="top"/>
      <protection hidden="1"/>
    </xf>
    <xf numFmtId="0" fontId="1" fillId="0" borderId="0" xfId="979" applyFont="1"/>
    <xf numFmtId="205" fontId="173" fillId="0" borderId="0" xfId="2172" applyNumberFormat="1" applyFont="1" applyFill="1" applyBorder="1" applyAlignment="1" applyProtection="1">
      <alignment horizontal="centerContinuous"/>
      <protection hidden="1"/>
    </xf>
    <xf numFmtId="0" fontId="153" fillId="0" borderId="0" xfId="2172" applyFont="1" applyFill="1" applyBorder="1" applyAlignment="1" applyProtection="1">
      <alignment horizontal="left" indent="2"/>
      <protection hidden="1"/>
    </xf>
    <xf numFmtId="0" fontId="153" fillId="0" borderId="0" xfId="2172" applyFont="1" applyBorder="1" applyAlignment="1" applyProtection="1">
      <protection hidden="1"/>
    </xf>
    <xf numFmtId="4" fontId="153" fillId="0" borderId="0" xfId="2172" applyNumberFormat="1" applyFont="1" applyBorder="1" applyAlignment="1" applyProtection="1">
      <alignment horizontal="right"/>
      <protection locked="0" hidden="1"/>
    </xf>
    <xf numFmtId="4" fontId="153" fillId="0" borderId="0" xfId="2172" applyNumberFormat="1" applyFont="1" applyBorder="1" applyAlignment="1" applyProtection="1">
      <alignment horizontal="right"/>
      <protection hidden="1"/>
    </xf>
    <xf numFmtId="0" fontId="153" fillId="88" borderId="0" xfId="2172" applyFont="1" applyFill="1" applyBorder="1" applyAlignment="1" applyProtection="1">
      <protection hidden="1"/>
    </xf>
    <xf numFmtId="4" fontId="153" fillId="88" borderId="0" xfId="2172" applyNumberFormat="1" applyFont="1" applyFill="1" applyBorder="1" applyAlignment="1" applyProtection="1">
      <alignment horizontal="right"/>
      <protection locked="0"/>
    </xf>
    <xf numFmtId="4" fontId="153" fillId="88" borderId="0" xfId="2172" applyNumberFormat="1" applyFont="1" applyFill="1" applyBorder="1" applyAlignment="1" applyProtection="1">
      <alignment horizontal="right"/>
    </xf>
    <xf numFmtId="4" fontId="153" fillId="0" borderId="0" xfId="2172" applyNumberFormat="1" applyFont="1" applyFill="1" applyBorder="1" applyAlignment="1" applyProtection="1">
      <alignment horizontal="right"/>
      <protection locked="0"/>
    </xf>
    <xf numFmtId="4" fontId="153" fillId="0" borderId="0" xfId="2172" applyNumberFormat="1" applyFont="1" applyFill="1" applyBorder="1" applyAlignment="1" applyProtection="1">
      <alignment horizontal="right"/>
    </xf>
    <xf numFmtId="0" fontId="153" fillId="0" borderId="0" xfId="2172" applyFont="1" applyFill="1" applyBorder="1" applyAlignment="1" applyProtection="1">
      <protection hidden="1"/>
    </xf>
    <xf numFmtId="4" fontId="153" fillId="88" borderId="0" xfId="2172" applyNumberFormat="1" applyFont="1" applyFill="1" applyBorder="1" applyAlignment="1" applyProtection="1">
      <alignment horizontal="right"/>
      <protection locked="0" hidden="1"/>
    </xf>
    <xf numFmtId="4" fontId="153" fillId="88" borderId="0" xfId="2172" applyNumberFormat="1" applyFont="1" applyFill="1" applyBorder="1" applyAlignment="1" applyProtection="1">
      <alignment horizontal="right"/>
      <protection hidden="1"/>
    </xf>
    <xf numFmtId="4" fontId="153" fillId="0" borderId="0" xfId="2172" applyNumberFormat="1" applyFont="1" applyFill="1" applyBorder="1" applyAlignment="1" applyProtection="1">
      <alignment horizontal="right"/>
      <protection locked="0" hidden="1"/>
    </xf>
    <xf numFmtId="4" fontId="153" fillId="0" borderId="0" xfId="2172" applyNumberFormat="1" applyFont="1" applyFill="1" applyBorder="1" applyAlignment="1" applyProtection="1">
      <alignment horizontal="right"/>
      <protection hidden="1"/>
    </xf>
    <xf numFmtId="0" fontId="175" fillId="0" borderId="0" xfId="2172" applyFont="1" applyBorder="1" applyAlignment="1" applyProtection="1">
      <alignment horizontal="left" indent="2"/>
      <protection hidden="1"/>
    </xf>
    <xf numFmtId="0" fontId="176" fillId="0" borderId="0" xfId="2172" applyFont="1" applyAlignment="1" applyProtection="1">
      <protection locked="0"/>
    </xf>
    <xf numFmtId="4" fontId="175" fillId="0" borderId="0" xfId="2172" applyNumberFormat="1" applyFont="1" applyBorder="1" applyAlignment="1" applyProtection="1">
      <alignment horizontal="right"/>
      <protection locked="0" hidden="1"/>
    </xf>
    <xf numFmtId="4" fontId="175" fillId="0" borderId="0" xfId="2172" applyNumberFormat="1" applyFont="1" applyBorder="1" applyAlignment="1" applyProtection="1">
      <alignment horizontal="right"/>
      <protection hidden="1"/>
    </xf>
    <xf numFmtId="0" fontId="176" fillId="0" borderId="0" xfId="2172" applyFont="1" applyBorder="1" applyAlignment="1" applyProtection="1">
      <alignment vertical="top"/>
      <protection locked="0"/>
    </xf>
    <xf numFmtId="0" fontId="163" fillId="0" borderId="0" xfId="2172" applyFont="1" applyBorder="1" applyAlignment="1" applyProtection="1">
      <alignment horizontal="left" vertical="center" wrapText="1" indent="2"/>
      <protection hidden="1"/>
    </xf>
    <xf numFmtId="1" fontId="163" fillId="0" borderId="0" xfId="2172" applyNumberFormat="1" applyFont="1" applyBorder="1" applyAlignment="1" applyProtection="1">
      <alignment horizontal="left" vertical="center" wrapText="1" indent="2"/>
      <protection hidden="1"/>
    </xf>
    <xf numFmtId="0" fontId="175" fillId="0" borderId="0" xfId="2172" applyFont="1" applyBorder="1" applyAlignment="1" applyProtection="1">
      <alignment horizontal="left" indent="1"/>
      <protection hidden="1"/>
    </xf>
    <xf numFmtId="4" fontId="154" fillId="0" borderId="0" xfId="2172" applyNumberFormat="1" applyFont="1" applyBorder="1" applyAlignment="1" applyProtection="1">
      <alignment horizontal="right"/>
      <protection locked="0" hidden="1"/>
    </xf>
    <xf numFmtId="4" fontId="154" fillId="0" borderId="0" xfId="2172" applyNumberFormat="1" applyFont="1" applyBorder="1" applyAlignment="1" applyProtection="1">
      <alignment horizontal="right"/>
      <protection hidden="1"/>
    </xf>
    <xf numFmtId="0" fontId="173" fillId="0" borderId="0" xfId="2172" quotePrefix="1" applyFont="1" applyFill="1" applyBorder="1" applyAlignment="1" applyProtection="1">
      <alignment horizontal="centerContinuous"/>
      <protection hidden="1"/>
    </xf>
    <xf numFmtId="2" fontId="0" fillId="0" borderId="0" xfId="0" applyNumberFormat="1"/>
    <xf numFmtId="0" fontId="125" fillId="0" borderId="0" xfId="2173"/>
    <xf numFmtId="14" fontId="0" fillId="0" borderId="0" xfId="0" applyNumberFormat="1"/>
    <xf numFmtId="0" fontId="0" fillId="0" borderId="0" xfId="0" applyAlignment="1">
      <alignment horizontal="center"/>
    </xf>
    <xf numFmtId="0" fontId="76" fillId="0" borderId="0" xfId="2174"/>
    <xf numFmtId="0" fontId="153" fillId="0" borderId="0" xfId="2174" applyFont="1" applyAlignment="1" applyProtection="1">
      <alignment horizontal="centerContinuous" vertical="top"/>
      <protection hidden="1"/>
    </xf>
    <xf numFmtId="0" fontId="153" fillId="0" borderId="0" xfId="2174" applyFont="1" applyBorder="1"/>
    <xf numFmtId="0" fontId="156" fillId="0" borderId="0" xfId="979" applyFont="1" applyAlignment="1"/>
    <xf numFmtId="0" fontId="153" fillId="0" borderId="0" xfId="2174" applyFont="1" applyFill="1" applyBorder="1"/>
    <xf numFmtId="0" fontId="153" fillId="87" borderId="0" xfId="2174" applyFont="1" applyFill="1" applyBorder="1"/>
    <xf numFmtId="0" fontId="159" fillId="0" borderId="0" xfId="2174" applyFont="1" applyFill="1" applyBorder="1" applyAlignment="1" applyProtection="1">
      <alignment horizontal="centerContinuous"/>
      <protection hidden="1"/>
    </xf>
    <xf numFmtId="0" fontId="153" fillId="0" borderId="0" xfId="2174" applyFont="1" applyBorder="1" applyProtection="1">
      <protection locked="0"/>
    </xf>
    <xf numFmtId="0" fontId="153" fillId="0" borderId="0" xfId="2174" applyFont="1" applyAlignment="1" applyProtection="1">
      <alignment vertical="top"/>
      <protection locked="0"/>
    </xf>
    <xf numFmtId="0" fontId="153" fillId="0" borderId="0" xfId="2174" applyFont="1" applyBorder="1" applyAlignment="1" applyProtection="1">
      <alignment vertical="top"/>
      <protection locked="0"/>
    </xf>
    <xf numFmtId="0" fontId="154" fillId="0" borderId="0" xfId="2174" applyFont="1" applyFill="1" applyBorder="1" applyAlignment="1" applyProtection="1">
      <alignment horizontal="centerContinuous" vertical="top"/>
      <protection hidden="1"/>
    </xf>
    <xf numFmtId="0" fontId="153" fillId="0" borderId="0" xfId="2174" applyFont="1"/>
    <xf numFmtId="0" fontId="164" fillId="0" borderId="0" xfId="2174" applyFont="1" applyBorder="1" applyAlignment="1">
      <alignment horizontal="right"/>
    </xf>
    <xf numFmtId="0" fontId="164" fillId="0" borderId="0" xfId="2174" applyFont="1" applyFill="1" applyBorder="1" applyAlignment="1" applyProtection="1">
      <alignment horizontal="left" indent="1"/>
      <protection hidden="1"/>
    </xf>
    <xf numFmtId="0" fontId="164" fillId="0" borderId="0" xfId="2174" applyFont="1" applyFill="1" applyBorder="1" applyAlignment="1" applyProtection="1">
      <alignment horizontal="left"/>
      <protection hidden="1"/>
    </xf>
    <xf numFmtId="3" fontId="153" fillId="0" borderId="0" xfId="2174" applyNumberFormat="1" applyFont="1" applyAlignment="1" applyProtection="1">
      <alignment vertical="top"/>
      <protection locked="0"/>
    </xf>
    <xf numFmtId="0" fontId="153" fillId="0" borderId="0" xfId="2174" applyFont="1" applyFill="1" applyBorder="1" applyAlignment="1" applyProtection="1">
      <alignment horizontal="left"/>
      <protection hidden="1"/>
    </xf>
    <xf numFmtId="0" fontId="153" fillId="0" borderId="0" xfId="2174" applyFont="1" applyBorder="1" applyAlignment="1" applyProtection="1">
      <alignment horizontal="left"/>
      <protection hidden="1"/>
    </xf>
    <xf numFmtId="3" fontId="153" fillId="0" borderId="0" xfId="2174" applyNumberFormat="1" applyFont="1" applyBorder="1" applyAlignment="1" applyProtection="1">
      <alignment horizontal="right"/>
      <protection locked="0" hidden="1"/>
    </xf>
    <xf numFmtId="3" fontId="153" fillId="0" borderId="0" xfId="2174" applyNumberFormat="1" applyFont="1" applyBorder="1" applyAlignment="1" applyProtection="1">
      <alignment horizontal="right"/>
      <protection hidden="1"/>
    </xf>
    <xf numFmtId="0" fontId="153" fillId="88" borderId="0" xfId="2174" applyFont="1" applyFill="1" applyBorder="1" applyAlignment="1" applyProtection="1">
      <alignment horizontal="left"/>
      <protection hidden="1"/>
    </xf>
    <xf numFmtId="3" fontId="153" fillId="88" borderId="0" xfId="2174" applyNumberFormat="1" applyFont="1" applyFill="1" applyBorder="1" applyAlignment="1" applyProtection="1">
      <alignment horizontal="right"/>
      <protection locked="0"/>
    </xf>
    <xf numFmtId="3" fontId="153" fillId="88" borderId="0" xfId="2174" applyNumberFormat="1" applyFont="1" applyFill="1" applyBorder="1" applyAlignment="1" applyProtection="1">
      <alignment horizontal="right"/>
    </xf>
    <xf numFmtId="0" fontId="168" fillId="0" borderId="0" xfId="2174" applyFont="1"/>
    <xf numFmtId="3" fontId="153" fillId="0" borderId="0" xfId="2174" applyNumberFormat="1" applyFont="1" applyFill="1" applyBorder="1" applyAlignment="1" applyProtection="1">
      <alignment horizontal="right"/>
      <protection locked="0"/>
    </xf>
    <xf numFmtId="3" fontId="153" fillId="0" borderId="0" xfId="2174" applyNumberFormat="1" applyFont="1" applyFill="1" applyBorder="1" applyAlignment="1" applyProtection="1">
      <alignment horizontal="right"/>
    </xf>
    <xf numFmtId="3" fontId="153" fillId="88" borderId="0" xfId="2174" applyNumberFormat="1" applyFont="1" applyFill="1" applyBorder="1" applyAlignment="1" applyProtection="1">
      <alignment horizontal="right"/>
      <protection locked="0" hidden="1"/>
    </xf>
    <xf numFmtId="3" fontId="153" fillId="88" borderId="0" xfId="2174" applyNumberFormat="1" applyFont="1" applyFill="1" applyBorder="1" applyAlignment="1" applyProtection="1">
      <alignment horizontal="right"/>
      <protection hidden="1"/>
    </xf>
    <xf numFmtId="3" fontId="153" fillId="0" borderId="0" xfId="2174" applyNumberFormat="1" applyFont="1" applyFill="1" applyBorder="1" applyAlignment="1" applyProtection="1">
      <alignment horizontal="right"/>
      <protection locked="0" hidden="1"/>
    </xf>
    <xf numFmtId="3" fontId="170" fillId="88" borderId="0" xfId="2174" applyNumberFormat="1" applyFont="1" applyFill="1" applyBorder="1" applyAlignment="1" applyProtection="1">
      <alignment horizontal="right"/>
      <protection locked="0"/>
    </xf>
    <xf numFmtId="3" fontId="170" fillId="0" borderId="0" xfId="2174" applyNumberFormat="1" applyFont="1" applyFill="1" applyBorder="1" applyAlignment="1" applyProtection="1">
      <alignment horizontal="right"/>
      <protection locked="0" hidden="1"/>
    </xf>
    <xf numFmtId="0" fontId="154" fillId="0" borderId="0" xfId="2174" applyFont="1" applyFill="1" applyBorder="1" applyAlignment="1" applyProtection="1">
      <alignment vertical="top"/>
      <protection hidden="1"/>
    </xf>
    <xf numFmtId="0" fontId="1" fillId="0" borderId="0" xfId="979" applyFont="1"/>
    <xf numFmtId="0" fontId="171" fillId="0" borderId="0" xfId="979" applyFont="1" applyAlignment="1">
      <alignment horizontal="left" vertical="top" wrapText="1"/>
    </xf>
    <xf numFmtId="0" fontId="1" fillId="0" borderId="0" xfId="979" applyFont="1" applyAlignment="1">
      <alignment horizontal="right"/>
    </xf>
    <xf numFmtId="0" fontId="153" fillId="0" borderId="0" xfId="2174" applyFont="1" applyBorder="1" applyAlignment="1" applyProtection="1">
      <alignment horizontal="left" indent="1"/>
      <protection locked="0"/>
    </xf>
    <xf numFmtId="0" fontId="153" fillId="0" borderId="0" xfId="2171" applyFont="1" applyBorder="1" applyAlignment="1">
      <alignment horizontal="left"/>
    </xf>
    <xf numFmtId="0" fontId="153" fillId="0" borderId="0" xfId="2174" applyFont="1" applyBorder="1" applyAlignment="1" applyProtection="1">
      <protection locked="0"/>
    </xf>
    <xf numFmtId="205" fontId="173" fillId="0" borderId="0" xfId="2174" applyNumberFormat="1" applyFont="1" applyFill="1" applyBorder="1" applyAlignment="1" applyProtection="1">
      <alignment horizontal="centerContinuous"/>
      <protection hidden="1"/>
    </xf>
    <xf numFmtId="0" fontId="170" fillId="0" borderId="0" xfId="2174" applyFont="1" applyProtection="1">
      <protection locked="0"/>
    </xf>
    <xf numFmtId="0" fontId="1" fillId="0" borderId="0" xfId="2174" applyFont="1" applyFill="1" applyAlignment="1">
      <alignment horizontal="left"/>
    </xf>
    <xf numFmtId="0" fontId="153" fillId="0" borderId="0" xfId="2174" applyFont="1" applyFill="1" applyAlignment="1" applyProtection="1">
      <alignment horizontal="centerContinuous" vertical="top"/>
      <protection hidden="1"/>
    </xf>
    <xf numFmtId="0" fontId="153" fillId="0" borderId="0" xfId="2174" applyFont="1" applyAlignment="1" applyProtection="1">
      <protection hidden="1"/>
    </xf>
    <xf numFmtId="0" fontId="154" fillId="0" borderId="0" xfId="2174" applyFont="1" applyAlignment="1" applyProtection="1">
      <alignment vertical="center" wrapText="1"/>
      <protection hidden="1"/>
    </xf>
    <xf numFmtId="0" fontId="153" fillId="87" borderId="0" xfId="2174" applyFont="1" applyFill="1" applyBorder="1" applyAlignment="1"/>
    <xf numFmtId="0" fontId="153" fillId="0" borderId="0" xfId="2174" applyFont="1" applyFill="1" applyBorder="1" applyAlignment="1" applyProtection="1">
      <alignment vertical="top"/>
      <protection locked="0"/>
    </xf>
    <xf numFmtId="0" fontId="154" fillId="0" borderId="0" xfId="2174" applyFont="1" applyBorder="1" applyAlignment="1" applyProtection="1">
      <alignment vertical="top"/>
      <protection hidden="1"/>
    </xf>
    <xf numFmtId="0" fontId="154" fillId="0" borderId="0" xfId="2174" applyFont="1" applyBorder="1" applyAlignment="1">
      <alignment horizontal="right" indent="2"/>
    </xf>
    <xf numFmtId="0" fontId="153" fillId="87" borderId="0" xfId="2174" applyFont="1" applyFill="1" applyBorder="1" applyAlignment="1">
      <alignment horizontal="right" indent="2"/>
    </xf>
    <xf numFmtId="0" fontId="163" fillId="0" borderId="0" xfId="2174" applyFont="1" applyBorder="1" applyAlignment="1" applyProtection="1">
      <alignment vertical="center"/>
      <protection hidden="1"/>
    </xf>
    <xf numFmtId="0" fontId="163" fillId="0" borderId="0" xfId="2174" applyFont="1" applyBorder="1" applyAlignment="1" applyProtection="1">
      <alignment horizontal="right" vertical="center" indent="2"/>
      <protection hidden="1"/>
    </xf>
    <xf numFmtId="0" fontId="153" fillId="0" borderId="0" xfId="2174" applyFont="1" applyFill="1" applyBorder="1" applyAlignment="1" applyProtection="1">
      <alignment horizontal="left" vertical="center" indent="2"/>
      <protection hidden="1"/>
    </xf>
    <xf numFmtId="3" fontId="153" fillId="0" borderId="0" xfId="2174" applyNumberFormat="1" applyFont="1" applyFill="1" applyBorder="1" applyAlignment="1" applyProtection="1">
      <alignment horizontal="right" indent="2"/>
      <protection locked="0" hidden="1"/>
    </xf>
    <xf numFmtId="0" fontId="153" fillId="0" borderId="0" xfId="2174" applyFont="1" applyFill="1" applyBorder="1" applyAlignment="1" applyProtection="1">
      <alignment horizontal="left" indent="2"/>
      <protection hidden="1"/>
    </xf>
    <xf numFmtId="0" fontId="175" fillId="0" borderId="0" xfId="2174" applyFont="1" applyFill="1" applyBorder="1" applyAlignment="1" applyProtection="1">
      <alignment horizontal="left" indent="2"/>
      <protection hidden="1"/>
    </xf>
    <xf numFmtId="3" fontId="154" fillId="0" borderId="0" xfId="2174" applyNumberFormat="1" applyFont="1" applyBorder="1" applyAlignment="1" applyProtection="1">
      <alignment horizontal="right"/>
      <protection hidden="1"/>
    </xf>
    <xf numFmtId="3" fontId="175" fillId="0" borderId="0" xfId="2174" applyNumberFormat="1" applyFont="1" applyFill="1" applyBorder="1" applyAlignment="1" applyProtection="1">
      <alignment horizontal="right" indent="2"/>
      <protection locked="0" hidden="1"/>
    </xf>
    <xf numFmtId="0" fontId="175" fillId="0" borderId="0" xfId="2174" applyFont="1" applyBorder="1" applyAlignment="1" applyProtection="1">
      <alignment horizontal="left"/>
      <protection hidden="1"/>
    </xf>
    <xf numFmtId="3" fontId="175" fillId="0" borderId="0" xfId="2174" applyNumberFormat="1" applyFont="1" applyBorder="1" applyAlignment="1" applyProtection="1">
      <alignment horizontal="right"/>
      <protection hidden="1"/>
    </xf>
    <xf numFmtId="3" fontId="153" fillId="0" borderId="0" xfId="2174" applyNumberFormat="1" applyFont="1" applyAlignment="1" applyProtection="1">
      <protection locked="0"/>
    </xf>
    <xf numFmtId="1" fontId="163" fillId="0" borderId="0" xfId="2174" applyNumberFormat="1" applyFont="1" applyFill="1" applyBorder="1" applyAlignment="1" applyProtection="1">
      <alignment horizontal="right" vertical="center" wrapText="1" indent="2"/>
      <protection hidden="1"/>
    </xf>
    <xf numFmtId="3" fontId="153" fillId="0" borderId="0" xfId="2174" applyNumberFormat="1" applyFont="1" applyFill="1" applyBorder="1" applyAlignment="1" applyProtection="1">
      <alignment horizontal="right" vertical="center" indent="2"/>
      <protection locked="0" hidden="1"/>
    </xf>
    <xf numFmtId="3" fontId="153" fillId="0" borderId="0" xfId="2174" applyNumberFormat="1" applyFont="1" applyFill="1" applyBorder="1" applyAlignment="1" applyProtection="1">
      <alignment horizontal="right"/>
      <protection hidden="1"/>
    </xf>
    <xf numFmtId="3" fontId="175" fillId="0" borderId="0" xfId="2174" applyNumberFormat="1" applyFont="1" applyBorder="1" applyAlignment="1" applyProtection="1">
      <alignment horizontal="right"/>
      <protection locked="0" hidden="1"/>
    </xf>
    <xf numFmtId="3" fontId="175" fillId="0" borderId="0" xfId="2174" applyNumberFormat="1" applyFont="1" applyFill="1" applyBorder="1" applyAlignment="1" applyProtection="1">
      <alignment horizontal="right"/>
      <protection hidden="1"/>
    </xf>
    <xf numFmtId="3" fontId="175" fillId="0" borderId="0" xfId="2174" applyNumberFormat="1" applyFont="1" applyFill="1" applyBorder="1" applyAlignment="1" applyProtection="1">
      <alignment horizontal="right"/>
      <protection locked="0" hidden="1"/>
    </xf>
    <xf numFmtId="0" fontId="173" fillId="0" borderId="0" xfId="2174" quotePrefix="1" applyFont="1" applyFill="1" applyBorder="1" applyAlignment="1" applyProtection="1">
      <alignment horizontal="centerContinuous"/>
      <protection hidden="1"/>
    </xf>
    <xf numFmtId="0" fontId="153" fillId="0" borderId="0" xfId="2174" applyFont="1" applyFill="1" applyBorder="1" applyProtection="1">
      <protection locked="0"/>
    </xf>
    <xf numFmtId="0" fontId="153" fillId="0" borderId="0" xfId="2174" applyFont="1" applyFill="1" applyAlignment="1" applyProtection="1">
      <alignment vertical="top"/>
      <protection locked="0"/>
    </xf>
    <xf numFmtId="0" fontId="153" fillId="0" borderId="0" xfId="2174" applyFont="1" applyFill="1"/>
    <xf numFmtId="3" fontId="153" fillId="0" borderId="0" xfId="2174" applyNumberFormat="1" applyFont="1" applyFill="1" applyBorder="1" applyAlignment="1" applyProtection="1">
      <alignment vertical="top"/>
      <protection locked="0"/>
    </xf>
    <xf numFmtId="0" fontId="168" fillId="0" borderId="0" xfId="2174" applyFont="1" applyFill="1"/>
    <xf numFmtId="0" fontId="1" fillId="0" borderId="0" xfId="979" applyFont="1" applyFill="1"/>
    <xf numFmtId="0" fontId="164" fillId="0" borderId="0" xfId="2174" applyFont="1" applyFill="1" applyBorder="1" applyAlignment="1">
      <alignment horizontal="right"/>
    </xf>
    <xf numFmtId="0" fontId="153" fillId="0" borderId="0" xfId="2174" applyFont="1" applyFill="1" applyAlignment="1" applyProtection="1">
      <alignment horizontal="right" vertical="top"/>
      <protection locked="0"/>
    </xf>
    <xf numFmtId="0" fontId="153" fillId="0" borderId="0" xfId="2174" applyFont="1" applyFill="1" applyAlignment="1" applyProtection="1">
      <alignment horizontal="center" vertical="top"/>
      <protection locked="0"/>
    </xf>
    <xf numFmtId="0" fontId="154" fillId="0" borderId="0" xfId="2174" applyFont="1" applyFill="1" applyAlignment="1" applyProtection="1">
      <alignment horizontal="center" vertical="top"/>
      <protection locked="0"/>
    </xf>
    <xf numFmtId="3" fontId="153" fillId="0" borderId="0" xfId="2174" applyNumberFormat="1" applyFont="1" applyFill="1" applyAlignment="1" applyProtection="1">
      <alignment vertical="top"/>
      <protection locked="0"/>
    </xf>
    <xf numFmtId="3" fontId="154" fillId="0" borderId="0" xfId="2174" applyNumberFormat="1" applyFont="1" applyFill="1" applyBorder="1" applyAlignment="1" applyProtection="1">
      <alignment vertical="top"/>
      <protection locked="0"/>
    </xf>
    <xf numFmtId="3" fontId="154" fillId="0" borderId="0" xfId="2174" applyNumberFormat="1" applyFont="1" applyFill="1" applyAlignment="1" applyProtection="1">
      <alignment vertical="top"/>
      <protection locked="0"/>
    </xf>
    <xf numFmtId="0" fontId="178" fillId="0" borderId="0" xfId="2174" applyFont="1" applyFill="1" applyAlignment="1" applyProtection="1">
      <alignment vertical="top"/>
      <protection locked="0"/>
    </xf>
    <xf numFmtId="3" fontId="164" fillId="0" borderId="0" xfId="2174" applyNumberFormat="1" applyFont="1" applyFill="1" applyBorder="1" applyAlignment="1">
      <alignment horizontal="right"/>
    </xf>
    <xf numFmtId="0" fontId="163" fillId="0" borderId="0" xfId="2174" applyFont="1" applyFill="1" applyBorder="1" applyAlignment="1">
      <alignment horizontal="right"/>
    </xf>
    <xf numFmtId="0" fontId="154" fillId="0" borderId="0" xfId="2174" applyFont="1" applyFill="1" applyAlignment="1" applyProtection="1">
      <alignment horizontal="right" vertical="top"/>
      <protection locked="0"/>
    </xf>
    <xf numFmtId="3" fontId="154" fillId="0" borderId="0" xfId="2174" applyNumberFormat="1" applyFont="1" applyFill="1" applyBorder="1" applyAlignment="1" applyProtection="1">
      <protection locked="0"/>
    </xf>
    <xf numFmtId="3" fontId="154" fillId="0" borderId="0" xfId="2174" applyNumberFormat="1" applyFont="1" applyFill="1" applyAlignment="1" applyProtection="1">
      <protection locked="0"/>
    </xf>
    <xf numFmtId="165" fontId="122" fillId="83" borderId="44" xfId="4" applyNumberFormat="1" applyFont="1" applyFill="1" applyBorder="1" applyAlignment="1">
      <alignment horizontal="left" vertical="center" wrapText="1"/>
    </xf>
    <xf numFmtId="0" fontId="123" fillId="60" borderId="49" xfId="342" applyFont="1" applyFill="1" applyBorder="1" applyAlignment="1">
      <alignment horizontal="left" vertical="center" wrapText="1"/>
    </xf>
    <xf numFmtId="0" fontId="123" fillId="83" borderId="59" xfId="342" applyFont="1" applyFill="1" applyBorder="1" applyAlignment="1">
      <alignment horizontal="center" vertical="center" wrapText="1"/>
    </xf>
    <xf numFmtId="0" fontId="123" fillId="83" borderId="58" xfId="342" applyFont="1" applyFill="1" applyBorder="1" applyAlignment="1">
      <alignment horizontal="center" vertical="center" wrapText="1"/>
    </xf>
    <xf numFmtId="0" fontId="123" fillId="83" borderId="47" xfId="342" applyFont="1" applyFill="1" applyBorder="1" applyAlignment="1">
      <alignment horizontal="center" vertical="center" wrapText="1"/>
    </xf>
    <xf numFmtId="0" fontId="89" fillId="60" borderId="0" xfId="342" applyFont="1" applyFill="1" applyBorder="1" applyAlignment="1">
      <alignment horizontal="left" vertical="center"/>
    </xf>
    <xf numFmtId="165" fontId="146" fillId="83" borderId="56" xfId="4" applyNumberFormat="1" applyFont="1" applyFill="1" applyBorder="1" applyAlignment="1">
      <alignment horizontal="center" vertical="center" wrapText="1"/>
    </xf>
    <xf numFmtId="165" fontId="146" fillId="83" borderId="57" xfId="4" applyNumberFormat="1" applyFont="1" applyFill="1" applyBorder="1" applyAlignment="1">
      <alignment horizontal="center" vertical="center" wrapText="1"/>
    </xf>
    <xf numFmtId="0" fontId="122" fillId="86" borderId="71" xfId="2" applyFont="1" applyFill="1" applyBorder="1" applyAlignment="1">
      <alignment vertical="center"/>
    </xf>
    <xf numFmtId="0" fontId="122" fillId="86" borderId="52" xfId="2" applyFont="1" applyFill="1" applyBorder="1" applyAlignment="1">
      <alignment vertical="center"/>
    </xf>
    <xf numFmtId="0" fontId="123" fillId="83" borderId="60" xfId="2" applyFont="1" applyFill="1" applyBorder="1" applyAlignment="1">
      <alignment horizontal="center" vertical="center" wrapText="1"/>
    </xf>
    <xf numFmtId="0" fontId="21" fillId="0" borderId="60" xfId="2" applyFont="1" applyBorder="1" applyAlignment="1">
      <alignment horizontal="center" vertical="center" wrapText="1"/>
    </xf>
    <xf numFmtId="0" fontId="123" fillId="86" borderId="0" xfId="342" applyFont="1" applyFill="1" applyBorder="1" applyAlignment="1">
      <alignment horizontal="left" vertical="center"/>
    </xf>
    <xf numFmtId="0" fontId="123" fillId="83" borderId="65" xfId="2" applyFont="1" applyFill="1" applyBorder="1" applyAlignment="1">
      <alignment horizontal="center" vertical="center" wrapText="1"/>
    </xf>
    <xf numFmtId="0" fontId="123" fillId="83" borderId="58" xfId="2" applyFont="1" applyFill="1" applyBorder="1" applyAlignment="1">
      <alignment horizontal="center" vertical="center" wrapText="1"/>
    </xf>
    <xf numFmtId="0" fontId="123" fillId="83" borderId="47" xfId="2" applyFont="1" applyFill="1" applyBorder="1" applyAlignment="1">
      <alignment horizontal="center" vertical="center" wrapText="1"/>
    </xf>
    <xf numFmtId="0" fontId="171" fillId="86" borderId="0" xfId="979" applyFont="1" applyFill="1" applyAlignment="1">
      <alignment horizontal="left" vertical="top" wrapText="1"/>
    </xf>
    <xf numFmtId="0" fontId="171" fillId="0" borderId="0" xfId="979" applyFont="1" applyAlignment="1">
      <alignment horizontal="left" vertical="top" wrapText="1"/>
    </xf>
    <xf numFmtId="9" fontId="0" fillId="0" borderId="0" xfId="2169" applyFont="1" applyAlignment="1">
      <alignment horizontal="center"/>
    </xf>
    <xf numFmtId="0" fontId="0" fillId="0" borderId="0" xfId="0" applyAlignment="1">
      <alignment horizontal="center"/>
    </xf>
  </cellXfs>
  <cellStyles count="2175">
    <cellStyle name="_x000a_386grabber=M" xfId="3" xr:uid="{677D3DC6-7C3C-4271-A629-F01680836C86}"/>
    <cellStyle name="_x000a_386grabber=M 2" xfId="535" xr:uid="{6C3D9774-0386-4C37-83F0-7BB67D44BCB3}"/>
    <cellStyle name="%" xfId="4" xr:uid="{C9581EB8-6621-4698-88FF-568E7DE12FE5}"/>
    <cellStyle name="% 2" xfId="5" xr:uid="{6CE58C35-8781-4E68-ABF7-C50C28F5927A}"/>
    <cellStyle name="% 2 2" xfId="536" xr:uid="{739F00DC-46B1-44B6-ABCD-6685448BD4EF}"/>
    <cellStyle name="%_Fiscal Tables" xfId="6" xr:uid="{B8F44D97-31CB-4D15-A025-1CAD2755C306}"/>
    <cellStyle name="%_Fiscal Tables 2" xfId="537" xr:uid="{E97902D1-89C3-4523-9314-1D6F82A2A0FB}"/>
    <cellStyle name="%_inc to ex AS12 EFOsupps" xfId="7" xr:uid="{B1294618-A4DB-4F34-8066-35E759297039}"/>
    <cellStyle name="%_March-2012-Fiscal-Supplementary-Tables1(1)" xfId="8" xr:uid="{AA18778F-7F6F-4911-834C-59389D4708EC}"/>
    <cellStyle name="%_March-2012-Fiscal-Supplementary-Tables1(1) 2" xfId="538" xr:uid="{4A04F69E-201B-4D27-91FD-F497773D5484}"/>
    <cellStyle name="%_PEF Autumn2011" xfId="9" xr:uid="{4DBB608D-35CA-4AB0-8099-CF3436228053}"/>
    <cellStyle name="%_PEF Autumn2011 2" xfId="539" xr:uid="{6DBB1F6D-4971-4888-B9E1-75CD442B93B9}"/>
    <cellStyle name="%_PEF FSBR2011" xfId="10" xr:uid="{26F7B709-6763-4D3D-B5B8-2671E29A0987}"/>
    <cellStyle name="%_PEF FSBR2011 2" xfId="540" xr:uid="{D3AF0E55-0634-419C-A239-32F93710A3B6}"/>
    <cellStyle name="%_PEF FSBR2011 AA simplification" xfId="11" xr:uid="{CBB88547-6AB9-42CF-A67A-DF973BB8AB30}"/>
    <cellStyle name="%_PEF FSBR2011 AA simplification 2" xfId="541" xr:uid="{ECD5862B-12E6-4D70-BFE4-37160E229AAB}"/>
    <cellStyle name="%_Scorecard" xfId="12" xr:uid="{7AF75B4F-86AB-4235-A82A-413BCCA538FB}"/>
    <cellStyle name="%_Scorecard 2" xfId="542" xr:uid="{E7F716E8-5D4F-48FD-88FE-A30D1D99981B}"/>
    <cellStyle name="%_VAT refunds" xfId="13" xr:uid="{03CD27B6-998D-44AA-A901-AF3AA7C7A616}"/>
    <cellStyle name="%_VAT refunds 2" xfId="543" xr:uid="{27125720-9C45-4546-A15E-7C23E2F7AC61}"/>
    <cellStyle name="]_x000d__x000a_Zoomed=1_x000d__x000a_Row=0_x000d__x000a_Column=0_x000d__x000a_Height=0_x000d__x000a_Width=0_x000d__x000a_FontName=FoxFont_x000d__x000a_FontStyle=0_x000d__x000a_FontSize=9_x000d__x000a_PrtFontName=FoxPrin" xfId="14" xr:uid="{57E41C92-10B9-411F-AB37-0BC668B445C5}"/>
    <cellStyle name="]_x000d__x000a_Zoomed=1_x000d__x000a_Row=0_x000d__x000a_Column=0_x000d__x000a_Height=0_x000d__x000a_Width=0_x000d__x000a_FontName=FoxFont_x000d__x000a_FontStyle=0_x000d__x000a_FontSize=9_x000d__x000a_PrtFontName=FoxPrin 2" xfId="544" xr:uid="{5524C71C-3930-4D33-A008-607D5AEE6113}"/>
    <cellStyle name="_111125 APDPassengerNumbers" xfId="15" xr:uid="{329655FB-60D4-441D-9029-99695282CF75}"/>
    <cellStyle name="_111125 APDPassengerNumbers_inc to ex AS12 EFOsupps" xfId="16" xr:uid="{B538B9AE-D49B-4C55-8802-24F4870BF519}"/>
    <cellStyle name="_Asset Co - 2014-40" xfId="17" xr:uid="{08981A77-E8BC-42C6-9ACB-CAE1E2653866}"/>
    <cellStyle name="_covered bonds" xfId="18" xr:uid="{F770B615-72D6-49DF-A6D2-31B1246DA9B3}"/>
    <cellStyle name="_covered bonds_20110317 Guarantee Data sheet with CDS Expected Losses" xfId="19" xr:uid="{D13E41FC-4D47-447A-A4EB-60E14E9CEE55}"/>
    <cellStyle name="_covered bonds_20110317 Guarantee Data sheet with CDS Expected Losses 2" xfId="545" xr:uid="{7E39B709-04A4-4544-B273-25C46EC4E69E}"/>
    <cellStyle name="_Dpn Forecast 2008-2010 (14-Dec-07)" xfId="20" xr:uid="{C6C9C298-5A26-4AF8-BB0F-41D9E2FF3EC8}"/>
    <cellStyle name="_Dpn Forecast 2008-2010 (14-Dec-07)_20110317 Guarantee Data sheet with CDS Expected Losses" xfId="21" xr:uid="{D08279A9-772A-4BA5-B2F4-CE59D5849EE9}"/>
    <cellStyle name="_Dpn Forecast 2008-2010 (14-Dec-07)_20110317 Guarantee Data sheet with CDS Expected Losses 2" xfId="546" xr:uid="{13C84102-7793-4B81-A4A7-9BFF7A787D42}"/>
    <cellStyle name="_Fair Value schedule" xfId="22" xr:uid="{E04C72FF-B97A-4C34-B6D2-E3B46F7DF0B7}"/>
    <cellStyle name="_Fair Value schedule_20110317 Guarantee Data sheet with CDS Expected Losses" xfId="23" xr:uid="{17845DBF-4DD5-47D7-8655-5350E9115472}"/>
    <cellStyle name="_Fair Value schedule_20110317 Guarantee Data sheet with CDS Expected Losses 2" xfId="547" xr:uid="{5D4D6C5E-59EC-49D2-AB73-FC1D2B084029}"/>
    <cellStyle name="_FPS Options High Level Costing 23rd Aug 06" xfId="24" xr:uid="{D7789D96-B3D0-4719-BD1F-CC67133C3375}"/>
    <cellStyle name="_HOD Gosforth_current" xfId="25" xr:uid="{CED08AA7-87D1-47D0-8306-1888250A0F9D}"/>
    <cellStyle name="_IT HOD Rainton - Tower Cost Update 5th April 2007 (Revised) V3" xfId="26" xr:uid="{AB520DB7-C5D5-45F9-9FFD-59F60BA9C56F}"/>
    <cellStyle name="_IT HOD Rainton - Tower Cost Update 5th April 2007 (Revised) V3_20110317 Guarantee Data sheet with CDS Expected Losses" xfId="27" xr:uid="{6F7380E3-07BA-46AD-8900-2CC4E4649421}"/>
    <cellStyle name="_IT HOD Rainton - Tower Cost Update 5th April 2007 (Revised) V3_20110317 Guarantee Data sheet with CDS Expected Losses 2" xfId="548" xr:uid="{2A071C4F-10C1-43A4-ACF9-3B233F02E225}"/>
    <cellStyle name="_Project Details Report Aug v0.12" xfId="28" xr:uid="{3657BCE7-59B0-4AF9-90A7-49322000B23A}"/>
    <cellStyle name="_RB_Update_current" xfId="29" xr:uid="{95AEE49A-319C-40D0-84A4-E609101B9511}"/>
    <cellStyle name="_RB_Update_current (SCA draft)PH review" xfId="30" xr:uid="{E0CE44E3-2758-4DBD-9943-6F575280B89B}"/>
    <cellStyle name="_RB_Update_current (SCA draft)PH review_20110317 Guarantee Data sheet with CDS Expected Losses" xfId="31" xr:uid="{4574EAD7-5101-44A1-B843-C867CD448E28}"/>
    <cellStyle name="_RB_Update_current (SCA draft)PH review_20110317 Guarantee Data sheet with CDS Expected Losses 2" xfId="549" xr:uid="{2CCB9DB0-A10B-49B0-AD2D-FFF8B5792700}"/>
    <cellStyle name="_RB_Update_current (SCA draft)revised" xfId="32" xr:uid="{EB712750-7AE9-4D26-900D-CAA007479225}"/>
    <cellStyle name="_RB_Update_current (SCA draft)revised_20110317 Guarantee Data sheet with CDS Expected Losses" xfId="33" xr:uid="{A7E64CBE-A98D-4BEC-B0FC-8CE850BFE29C}"/>
    <cellStyle name="_RB_Update_current (SCA draft)revised_20110317 Guarantee Data sheet with CDS Expected Losses 2" xfId="550" xr:uid="{B34355FB-F5B3-46DC-9A9E-AD9E677BB41B}"/>
    <cellStyle name="_RB_Update_current_20110317 Guarantee Data sheet with CDS Expected Losses" xfId="34" xr:uid="{613137EC-61B7-4237-95E5-4CCB0F91C094}"/>
    <cellStyle name="_RB_Update_current_20110317 Guarantee Data sheet with CDS Expected Losses 2" xfId="551" xr:uid="{FAA2BD07-9BAC-46F4-8555-2153F8ED52F4}"/>
    <cellStyle name="_Sample change log v0 2" xfId="35" xr:uid="{D44DA816-7292-40C8-892C-1FF222CDFD64}"/>
    <cellStyle name="_Sample change log v0 2_20110317 Guarantee Data sheet with CDS Expected Losses" xfId="36" xr:uid="{2621D109-60B8-497A-B02C-BC2C7847084A}"/>
    <cellStyle name="_Sample change log v0 2_20110317 Guarantee Data sheet with CDS Expected Losses 2" xfId="552" xr:uid="{EEC15195-359F-4DA4-8A21-4A283719443C}"/>
    <cellStyle name="_Sub debt extension discount table 31 1 11 v2" xfId="37" xr:uid="{FB6FBB90-9949-484C-AF4A-E07592F98E32}"/>
    <cellStyle name="_sub debt int" xfId="38" xr:uid="{45770537-6672-4514-A8BF-55F4C7A2E4B7}"/>
    <cellStyle name="_sub debt int_20110317 Guarantee Data sheet with CDS Expected Losses" xfId="39" xr:uid="{36CBE783-3FA6-4AD2-A6AF-CD20DD89D6B7}"/>
    <cellStyle name="_sub debt int_20110317 Guarantee Data sheet with CDS Expected Losses 2" xfId="553" xr:uid="{BE2CEEBD-C687-4AD8-BB1B-82C395407414}"/>
    <cellStyle name="_TableHead" xfId="40" xr:uid="{164F8A71-70D5-4922-8DBC-DB4E02DD1CA2}"/>
    <cellStyle name="_Tailor Analysis 1.11 (1 Dec take up rates)" xfId="41" xr:uid="{FFBFE882-C683-462D-8F6D-21742404758B}"/>
    <cellStyle name="1dp" xfId="42" xr:uid="{565DD6A3-B4D2-4BBA-B7E3-C92EE4AF1976}"/>
    <cellStyle name="1dp 2" xfId="43" xr:uid="{5642E8AA-4D5B-4E46-BFAE-233CE59FB44D}"/>
    <cellStyle name="1dp 2 2" xfId="555" xr:uid="{D3D5F5B9-319A-43B5-B790-B9D7A850A80F}"/>
    <cellStyle name="1dp 3" xfId="554" xr:uid="{80FFEB0C-A2DA-44F7-8909-87F71D19606C}"/>
    <cellStyle name="20% - Accent1 10" xfId="1043" xr:uid="{9D886758-E715-469F-8327-F547503CB698}"/>
    <cellStyle name="20% - Accent1 11" xfId="1091" xr:uid="{EFF861B6-C942-47B0-975B-B3EF73B9A0B2}"/>
    <cellStyle name="20% - Accent1 12" xfId="1111" xr:uid="{84EE5F92-44EF-46B5-BAC5-C63C656EAD59}"/>
    <cellStyle name="20% - Accent1 13" xfId="1140" xr:uid="{B9E3E2DC-B076-4F58-B0A8-B8219E74F9AD}"/>
    <cellStyle name="20% - Accent1 14" xfId="1242" xr:uid="{3BBDE122-6281-4649-92BB-33985773D98B}"/>
    <cellStyle name="20% - Accent1 15" xfId="1334" xr:uid="{EAD719D1-4D77-4580-B45C-307C91EA5D75}"/>
    <cellStyle name="20% - Accent1 16" xfId="1422" xr:uid="{A4A0A39C-8197-4C50-B3C4-885ED4F05E5B}"/>
    <cellStyle name="20% - Accent1 17" xfId="1510" xr:uid="{D13E18B2-EB3C-4632-85E6-876E61F9B529}"/>
    <cellStyle name="20% - Accent1 18" xfId="1532" xr:uid="{50D5DF2B-0C04-4FC1-AE7F-8C879A738F91}"/>
    <cellStyle name="20% - Accent1 19" xfId="1624" xr:uid="{131B9D0B-048C-4CEE-B8E4-8F390EE77670}"/>
    <cellStyle name="20% - Accent1 2" xfId="45" xr:uid="{D60E31CF-7977-461E-AF1E-7FBDA51FCBE8}"/>
    <cellStyle name="20% - Accent1 2 10" xfId="1736" xr:uid="{D1664ED5-B8FB-46C7-A5AC-4C48C4AEB3E4}"/>
    <cellStyle name="20% - Accent1 2 11" xfId="1821" xr:uid="{E0507A13-0E3D-4DC1-88C8-6CDC34E76AE2}"/>
    <cellStyle name="20% - Accent1 2 12" xfId="1942" xr:uid="{39BF73F4-4F21-45B3-B35D-DAA790877EE7}"/>
    <cellStyle name="20% - Accent1 2 13" xfId="2030" xr:uid="{89446B75-0EBA-4201-B2BA-BD97B64FDE6E}"/>
    <cellStyle name="20% - Accent1 2 14" xfId="2095" xr:uid="{AB2430AD-01CF-4720-8F4D-DA026F458055}"/>
    <cellStyle name="20% - Accent1 2 2" xfId="991" xr:uid="{7BF90ED6-53E6-440F-BAFC-A7C311F069F4}"/>
    <cellStyle name="20% - Accent1 2 2 10" xfId="1963" xr:uid="{6B4CEEEF-E2BB-44CB-A5C8-F8600F845B13}"/>
    <cellStyle name="20% - Accent1 2 2 11" xfId="2051" xr:uid="{0D9D67B5-355D-4798-9AE0-885997C89AE3}"/>
    <cellStyle name="20% - Accent1 2 2 2" xfId="1142" xr:uid="{1B1DC9B1-443F-443E-B352-E20238D9D0B7}"/>
    <cellStyle name="20% - Accent1 2 2 3" xfId="1244" xr:uid="{73439063-B012-4A3A-A1A8-6C1A5EDADD79}"/>
    <cellStyle name="20% - Accent1 2 2 4" xfId="1336" xr:uid="{4FD816D2-53D3-44E2-86C7-94B8116E459C}"/>
    <cellStyle name="20% - Accent1 2 2 5" xfId="1424" xr:uid="{75269F50-F8C5-45E1-B9EF-FDEC9B06F9E5}"/>
    <cellStyle name="20% - Accent1 2 2 6" xfId="1576" xr:uid="{51F05AF0-4D85-4E9F-AF8C-E948DD45A019}"/>
    <cellStyle name="20% - Accent1 2 2 7" xfId="1667" xr:uid="{938ACC3E-44D9-48E0-8185-A3232D66CCD4}"/>
    <cellStyle name="20% - Accent1 2 2 8" xfId="1757" xr:uid="{F4E85A1D-4ADF-4031-A49E-C148F276581C}"/>
    <cellStyle name="20% - Accent1 2 2 9" xfId="1822" xr:uid="{DDAD769C-BE0F-4286-8B4F-91FF805233E5}"/>
    <cellStyle name="20% - Accent1 2 3" xfId="1044" xr:uid="{FA25F803-D65F-4EBA-90C0-E5E27433C805}"/>
    <cellStyle name="20% - Accent1 2 4" xfId="1141" xr:uid="{F0B8107F-869C-43A2-A6E5-FC49F4BFCA16}"/>
    <cellStyle name="20% - Accent1 2 5" xfId="1243" xr:uid="{A14D2A4C-7298-489F-A29E-7E7AAE784FD1}"/>
    <cellStyle name="20% - Accent1 2 6" xfId="1335" xr:uid="{0F19AF3C-E87A-40F1-BEAB-9D5D56E9FF43}"/>
    <cellStyle name="20% - Accent1 2 7" xfId="1423" xr:uid="{662AC03D-E025-48EE-902E-CD63C9264448}"/>
    <cellStyle name="20% - Accent1 2 8" xfId="1555" xr:uid="{5BA95A74-212F-4429-989D-124DF4FAF6DE}"/>
    <cellStyle name="20% - Accent1 2 9" xfId="1646" xr:uid="{2CE5E138-0ADE-4000-9B13-5D5E7B2CF98B}"/>
    <cellStyle name="20% - Accent1 20" xfId="1714" xr:uid="{C521092F-F605-4488-8CB9-2D02F9A5BCD6}"/>
    <cellStyle name="20% - Accent1 21" xfId="1803" xr:uid="{E2F872A5-ADF0-4B6E-82E0-A53F774EB5DA}"/>
    <cellStyle name="20% - Accent1 22" xfId="1820" xr:uid="{889DB6B8-8B11-492E-B950-AF416795F001}"/>
    <cellStyle name="20% - Accent1 23" xfId="1920" xr:uid="{AC36FB15-53EB-4226-AC9F-BEA242F0854E}"/>
    <cellStyle name="20% - Accent1 24" xfId="2008" xr:uid="{39169B4C-614B-4FC4-A29E-6ED9DD969A4F}"/>
    <cellStyle name="20% - Accent1 25" xfId="2094" xr:uid="{D69AE9A0-F691-481E-8299-6C07C8E62B4E}"/>
    <cellStyle name="20% - Accent1 26" xfId="2151" xr:uid="{C73E3B44-0657-490F-9F5F-96A4BBF8B19F}"/>
    <cellStyle name="20% - Accent1 27" xfId="44" xr:uid="{3F36BB01-0414-4F30-B7C4-3022CCE17F32}"/>
    <cellStyle name="20% - Accent1 3" xfId="718" xr:uid="{DDB4B70C-85EB-464C-9B8E-A1E6B95264A9}"/>
    <cellStyle name="20% - Accent1 3 10" xfId="1962" xr:uid="{10BBB123-50E4-4F4A-B899-07CDED48E39C}"/>
    <cellStyle name="20% - Accent1 3 11" xfId="2050" xr:uid="{2D7357C8-25B8-4011-BAB5-167D6CF2BEEC}"/>
    <cellStyle name="20% - Accent1 3 2" xfId="1143" xr:uid="{15BA0F2D-A793-462A-BE7D-39C6DBCF9BFB}"/>
    <cellStyle name="20% - Accent1 3 3" xfId="1245" xr:uid="{2E901BB1-093C-474E-A4B7-F20DCA767296}"/>
    <cellStyle name="20% - Accent1 3 4" xfId="1337" xr:uid="{196E4776-4A22-41AF-B7FF-B713B03E827E}"/>
    <cellStyle name="20% - Accent1 3 5" xfId="1425" xr:uid="{BCC7E658-8D7E-4FC8-ACC2-A63968A84BCC}"/>
    <cellStyle name="20% - Accent1 3 6" xfId="1575" xr:uid="{6D224E56-94CE-420D-9FD2-CBA2F3C24CF1}"/>
    <cellStyle name="20% - Accent1 3 7" xfId="1666" xr:uid="{5350313B-F6FE-4161-BDAD-B2742D66B040}"/>
    <cellStyle name="20% - Accent1 3 8" xfId="1756" xr:uid="{910463B4-1EF5-43F3-866A-4F632AF7482E}"/>
    <cellStyle name="20% - Accent1 3 9" xfId="1823" xr:uid="{8D3D5C1D-B5D4-46DB-BF8F-D8D523A7DB7E}"/>
    <cellStyle name="20% - Accent1 4" xfId="766" xr:uid="{A4B11870-489B-41F0-ADFE-AA5BA999FB40}"/>
    <cellStyle name="20% - Accent1 5" xfId="822" xr:uid="{D2D8342D-9306-42CF-BB13-264F8BEB49C4}"/>
    <cellStyle name="20% - Accent1 6" xfId="870" xr:uid="{39D5C34A-FB6F-4373-8381-9D578C626120}"/>
    <cellStyle name="20% - Accent1 7" xfId="900" xr:uid="{887236F2-3D22-457D-A09E-111799A952A9}"/>
    <cellStyle name="20% - Accent1 8" xfId="935" xr:uid="{28B3C8D1-D279-43B1-BC12-05E15F0EEAB6}"/>
    <cellStyle name="20% - Accent1 9" xfId="990" xr:uid="{B61E35BE-23ED-422D-A321-9F33CE05ECE4}"/>
    <cellStyle name="20% - Accent2 10" xfId="1045" xr:uid="{1CC08363-6A51-4BF5-98FC-9A1A3C1A313D}"/>
    <cellStyle name="20% - Accent2 11" xfId="1092" xr:uid="{1EB1C048-6E9B-4446-AEEA-E2E1979FC23A}"/>
    <cellStyle name="20% - Accent2 12" xfId="1112" xr:uid="{96F9CB12-509C-4D51-A050-561BBEFA0AE7}"/>
    <cellStyle name="20% - Accent2 13" xfId="1144" xr:uid="{9AE04DCE-F6BA-496D-8DA2-3497BF0B35CC}"/>
    <cellStyle name="20% - Accent2 14" xfId="1246" xr:uid="{EDBA4DB3-5C21-4986-AF5D-9D332407682C}"/>
    <cellStyle name="20% - Accent2 15" xfId="1338" xr:uid="{9A24F469-F038-4282-A8E8-0AE72D4A8D5C}"/>
    <cellStyle name="20% - Accent2 16" xfId="1426" xr:uid="{C4722C9A-63F1-4E2C-8386-3EF4BD49C69C}"/>
    <cellStyle name="20% - Accent2 17" xfId="1511" xr:uid="{81106835-0265-4668-90E9-F69F12CC9640}"/>
    <cellStyle name="20% - Accent2 18" xfId="1535" xr:uid="{4755F81E-7C55-4A16-9C6A-739B4B8A9BA4}"/>
    <cellStyle name="20% - Accent2 19" xfId="1627" xr:uid="{7827BAF3-0217-4E11-8377-513A1F5E8184}"/>
    <cellStyle name="20% - Accent2 2" xfId="47" xr:uid="{E00097B8-A3B1-4D4F-9568-23BDF8DFC1A2}"/>
    <cellStyle name="20% - Accent2 2 10" xfId="1739" xr:uid="{7B18A83B-BD8C-41FC-A10B-9AF45B8EF31F}"/>
    <cellStyle name="20% - Accent2 2 11" xfId="1825" xr:uid="{BEECB6DF-7DC2-4B46-A89D-69FDAD00396D}"/>
    <cellStyle name="20% - Accent2 2 12" xfId="1945" xr:uid="{7E2270F3-40EA-4DB8-B830-EDA0E97F465F}"/>
    <cellStyle name="20% - Accent2 2 13" xfId="2033" xr:uid="{F10F71C4-3983-4B92-8DE4-526B7F7EE899}"/>
    <cellStyle name="20% - Accent2 2 14" xfId="2097" xr:uid="{E207FABF-0211-4954-B8C0-BAAC87B5E9C3}"/>
    <cellStyle name="20% - Accent2 2 2" xfId="993" xr:uid="{D1E850E8-F893-43D8-AF94-CE7F32C9BC39}"/>
    <cellStyle name="20% - Accent2 2 2 10" xfId="1965" xr:uid="{81FF0648-F37C-4AE6-B3D8-FE0A954C4B9F}"/>
    <cellStyle name="20% - Accent2 2 2 11" xfId="2053" xr:uid="{3148D874-45D9-4EDD-84A1-35030B9B7A82}"/>
    <cellStyle name="20% - Accent2 2 2 2" xfId="1146" xr:uid="{5554177F-2582-4710-AAC3-2006152E0214}"/>
    <cellStyle name="20% - Accent2 2 2 3" xfId="1248" xr:uid="{617E9404-0625-4A44-88F7-DCBC7086F72E}"/>
    <cellStyle name="20% - Accent2 2 2 4" xfId="1340" xr:uid="{F88F594C-2473-47D0-AD3A-71529C6CD47C}"/>
    <cellStyle name="20% - Accent2 2 2 5" xfId="1428" xr:uid="{4FED426B-FA4A-499B-BC5F-BBA8CB0F5B6C}"/>
    <cellStyle name="20% - Accent2 2 2 6" xfId="1578" xr:uid="{24CE2919-5F49-4128-BCDE-F12061D77E6D}"/>
    <cellStyle name="20% - Accent2 2 2 7" xfId="1669" xr:uid="{62E370F1-04DD-4C48-A93C-4AC5961F7F77}"/>
    <cellStyle name="20% - Accent2 2 2 8" xfId="1759" xr:uid="{9E16B953-C51F-424D-991B-5237C3A96B2E}"/>
    <cellStyle name="20% - Accent2 2 2 9" xfId="1826" xr:uid="{7BF40B2F-DA90-45C4-B8DF-48F42D96B27F}"/>
    <cellStyle name="20% - Accent2 2 3" xfId="1046" xr:uid="{45B6BC8C-FE44-492F-B7EC-3518DDB31CF1}"/>
    <cellStyle name="20% - Accent2 2 4" xfId="1145" xr:uid="{3548AAC2-D245-4FA8-82BA-F78FA51F0826}"/>
    <cellStyle name="20% - Accent2 2 5" xfId="1247" xr:uid="{DC0C81D7-438D-4508-A231-4B0E3F6C9954}"/>
    <cellStyle name="20% - Accent2 2 6" xfId="1339" xr:uid="{0CB23BC7-3F5C-404E-B772-F7FA59A21280}"/>
    <cellStyle name="20% - Accent2 2 7" xfId="1427" xr:uid="{6D5E3873-FB98-469F-B9C0-4247796DFC27}"/>
    <cellStyle name="20% - Accent2 2 8" xfId="1558" xr:uid="{06DC993A-631B-4412-9EF5-BC166E7983C3}"/>
    <cellStyle name="20% - Accent2 2 9" xfId="1649" xr:uid="{992FD2DE-1D2F-4C17-83C8-E24056FFD7ED}"/>
    <cellStyle name="20% - Accent2 20" xfId="1717" xr:uid="{23FBAA04-022B-4B0A-AB9C-5DECBBE0F23D}"/>
    <cellStyle name="20% - Accent2 21" xfId="1804" xr:uid="{329E2CE8-64E2-4F64-A04C-A5176D752A66}"/>
    <cellStyle name="20% - Accent2 22" xfId="1824" xr:uid="{BAD499A8-272F-41D4-BB2D-79F361AA37AF}"/>
    <cellStyle name="20% - Accent2 23" xfId="1923" xr:uid="{6EC7621F-1391-406B-9466-78ED37681E16}"/>
    <cellStyle name="20% - Accent2 24" xfId="2011" xr:uid="{EBD172E1-B0EE-414B-AC19-E26419DE3570}"/>
    <cellStyle name="20% - Accent2 25" xfId="2096" xr:uid="{91F01FFA-EBF6-40FE-B5FF-7ED576E8F0DB}"/>
    <cellStyle name="20% - Accent2 26" xfId="2152" xr:uid="{87D7E4D5-5F8D-4728-B66E-89C7A30FE6D5}"/>
    <cellStyle name="20% - Accent2 27" xfId="46" xr:uid="{DEDC2ECD-D70F-4DD6-8531-77C20FEDC878}"/>
    <cellStyle name="20% - Accent2 3" xfId="719" xr:uid="{578AF2E5-F387-4B80-8184-BF540542A7BF}"/>
    <cellStyle name="20% - Accent2 3 10" xfId="1964" xr:uid="{213BA8E3-3A74-4316-9EC2-2470368C868A}"/>
    <cellStyle name="20% - Accent2 3 11" xfId="2052" xr:uid="{32D4E869-4DDF-4139-8B36-75297081BAD8}"/>
    <cellStyle name="20% - Accent2 3 2" xfId="1147" xr:uid="{B96388AD-9AE9-49B0-AAA9-87C3549E197E}"/>
    <cellStyle name="20% - Accent2 3 3" xfId="1249" xr:uid="{17B348EF-DDD8-458F-BC52-AFA9918A648A}"/>
    <cellStyle name="20% - Accent2 3 4" xfId="1341" xr:uid="{73BFCBB3-AE5D-411F-B416-6A1A6BC18FC5}"/>
    <cellStyle name="20% - Accent2 3 5" xfId="1429" xr:uid="{0C43B139-DDFC-4DD7-B45D-878D1E6A0314}"/>
    <cellStyle name="20% - Accent2 3 6" xfId="1577" xr:uid="{6B9C0002-B3BB-4BC4-BE5C-BAE6884A4B36}"/>
    <cellStyle name="20% - Accent2 3 7" xfId="1668" xr:uid="{8A1AAC39-2111-4176-ABB5-004B95F4FB6C}"/>
    <cellStyle name="20% - Accent2 3 8" xfId="1758" xr:uid="{793D643F-6B0E-4070-A8AD-BA5A78AF062F}"/>
    <cellStyle name="20% - Accent2 3 9" xfId="1827" xr:uid="{A4CE06E7-AAC9-4FBC-99C1-B7BA0D45DCC9}"/>
    <cellStyle name="20% - Accent2 4" xfId="767" xr:uid="{D478D2DB-31C8-49B6-8E72-5CDB0CD67589}"/>
    <cellStyle name="20% - Accent2 5" xfId="823" xr:uid="{52426BB0-ADC7-4B10-9331-A7EFE5101B19}"/>
    <cellStyle name="20% - Accent2 6" xfId="869" xr:uid="{C2B11C80-E7A8-435F-966C-E1B99AED67E6}"/>
    <cellStyle name="20% - Accent2 7" xfId="899" xr:uid="{225C0668-D2D1-44A6-9897-05DE6F1B4380}"/>
    <cellStyle name="20% - Accent2 8" xfId="938" xr:uid="{DB5BD708-18DF-48FD-B658-DB7EB5122E5A}"/>
    <cellStyle name="20% - Accent2 9" xfId="992" xr:uid="{E756D852-02DF-4423-8298-170BC5BEC31A}"/>
    <cellStyle name="20% - Accent3 10" xfId="1047" xr:uid="{783BB4B0-A719-4D6C-AD52-22B619FC06DC}"/>
    <cellStyle name="20% - Accent3 11" xfId="1093" xr:uid="{A3EC6EB2-AFF2-4170-BD2D-4D2618BEE272}"/>
    <cellStyle name="20% - Accent3 12" xfId="1113" xr:uid="{C66C7071-3B0E-4E6A-B5F1-D2D327F37D05}"/>
    <cellStyle name="20% - Accent3 13" xfId="1148" xr:uid="{6BFB9FCE-AFA2-48D4-8E49-F8DDAA96C373}"/>
    <cellStyle name="20% - Accent3 14" xfId="1250" xr:uid="{B1B07F66-3965-489B-9159-6129FF696168}"/>
    <cellStyle name="20% - Accent3 15" xfId="1342" xr:uid="{356BF7DD-4525-4BAC-8ABE-6E716D6FFCC2}"/>
    <cellStyle name="20% - Accent3 16" xfId="1430" xr:uid="{9A463A8A-5284-4411-9858-F086F5C2AA12}"/>
    <cellStyle name="20% - Accent3 17" xfId="1512" xr:uid="{2493A3F7-3528-4340-8513-9C8E45C1AA50}"/>
    <cellStyle name="20% - Accent3 18" xfId="1538" xr:uid="{4D132727-9BB7-4CF2-9855-45F83A04BE86}"/>
    <cellStyle name="20% - Accent3 19" xfId="1630" xr:uid="{64A77B5E-BFFF-40E7-AFFA-6E9A7F865FFD}"/>
    <cellStyle name="20% - Accent3 2" xfId="49" xr:uid="{B1BD125B-3B47-422F-8223-79BEA1A035DA}"/>
    <cellStyle name="20% - Accent3 2 10" xfId="1742" xr:uid="{0DF0C217-1E46-4473-90E0-9D45C97A3F30}"/>
    <cellStyle name="20% - Accent3 2 11" xfId="1829" xr:uid="{DCD7F463-01F0-403A-849C-D3259C93D52B}"/>
    <cellStyle name="20% - Accent3 2 12" xfId="1948" xr:uid="{F2D7D132-B1CD-4684-A493-486405C495A8}"/>
    <cellStyle name="20% - Accent3 2 13" xfId="2036" xr:uid="{6D17754B-2C72-402E-B1E9-F097A3AA345B}"/>
    <cellStyle name="20% - Accent3 2 14" xfId="2099" xr:uid="{29B301FA-B33E-42C4-81F4-BEF1D634D209}"/>
    <cellStyle name="20% - Accent3 2 2" xfId="995" xr:uid="{14BB3BA5-CFC4-47A4-8092-3BD78AB9F70E}"/>
    <cellStyle name="20% - Accent3 2 2 10" xfId="1967" xr:uid="{725D94E3-C738-412F-A563-5FF17C546E7F}"/>
    <cellStyle name="20% - Accent3 2 2 11" xfId="2055" xr:uid="{4554FD77-0617-4F41-9B63-3BAC221E5F25}"/>
    <cellStyle name="20% - Accent3 2 2 2" xfId="1150" xr:uid="{582D8209-9A8E-4AE5-A816-6924875D6D33}"/>
    <cellStyle name="20% - Accent3 2 2 3" xfId="1252" xr:uid="{FC8E8FEE-0CFF-4233-A9D9-DF857C5C57DF}"/>
    <cellStyle name="20% - Accent3 2 2 4" xfId="1344" xr:uid="{39BF3A01-E669-40CD-8683-BBFAA10160DA}"/>
    <cellStyle name="20% - Accent3 2 2 5" xfId="1432" xr:uid="{A14CC5D8-0BA8-4C1B-8AE6-315D6CF87C2C}"/>
    <cellStyle name="20% - Accent3 2 2 6" xfId="1580" xr:uid="{7B2960B8-0715-46CA-87AE-501319761D8E}"/>
    <cellStyle name="20% - Accent3 2 2 7" xfId="1671" xr:uid="{C7D715F8-2BDF-4F95-9ABC-5C81C5B96DA4}"/>
    <cellStyle name="20% - Accent3 2 2 8" xfId="1761" xr:uid="{DB7F03F7-5F76-4FDE-BBE4-E4A7BE9F9BE5}"/>
    <cellStyle name="20% - Accent3 2 2 9" xfId="1830" xr:uid="{07BE9BE1-D149-4F5E-8241-89369205654C}"/>
    <cellStyle name="20% - Accent3 2 3" xfId="1048" xr:uid="{239FCABE-DF7E-4EDC-911D-5FB3B203F67E}"/>
    <cellStyle name="20% - Accent3 2 4" xfId="1149" xr:uid="{BB3A3E62-3265-4FDC-A703-5635AC54B74A}"/>
    <cellStyle name="20% - Accent3 2 5" xfId="1251" xr:uid="{C5FF45B6-1DF5-49AD-978F-B696295422BB}"/>
    <cellStyle name="20% - Accent3 2 6" xfId="1343" xr:uid="{E6E16B17-EA42-4E87-9964-3CAE68722AB0}"/>
    <cellStyle name="20% - Accent3 2 7" xfId="1431" xr:uid="{4B08616F-380A-4A4A-B2F9-D8F2065323A3}"/>
    <cellStyle name="20% - Accent3 2 8" xfId="1561" xr:uid="{F3C61AC7-9437-4589-84DC-0B36E54BACB2}"/>
    <cellStyle name="20% - Accent3 2 9" xfId="1652" xr:uid="{43011052-AE26-46A5-B0DF-3E2D73C1C5D2}"/>
    <cellStyle name="20% - Accent3 20" xfId="1720" xr:uid="{781B8CBD-3AB5-464C-A180-68CC19E44324}"/>
    <cellStyle name="20% - Accent3 21" xfId="1805" xr:uid="{F6932617-38D9-416F-9D55-A83D8775FA38}"/>
    <cellStyle name="20% - Accent3 22" xfId="1828" xr:uid="{1CDC8495-5015-488C-BF8B-B44AACDB2D02}"/>
    <cellStyle name="20% - Accent3 23" xfId="1926" xr:uid="{AF33C3CB-B10C-4252-A3C1-5C5B06030A5A}"/>
    <cellStyle name="20% - Accent3 24" xfId="2014" xr:uid="{A4FB690A-244C-4703-8A7E-88EC6E5F2FBF}"/>
    <cellStyle name="20% - Accent3 25" xfId="2098" xr:uid="{8F68A08C-BFFC-4463-B706-C676AE395BAD}"/>
    <cellStyle name="20% - Accent3 26" xfId="2153" xr:uid="{C926B1DC-C22F-42CE-9E75-D62B52AB92AD}"/>
    <cellStyle name="20% - Accent3 27" xfId="48" xr:uid="{5D4CE59C-5AFC-4F55-9106-11BA89ADA4E5}"/>
    <cellStyle name="20% - Accent3 3" xfId="720" xr:uid="{BD2ED0F9-B58A-4C8B-8AD8-0860E9075632}"/>
    <cellStyle name="20% - Accent3 3 10" xfId="1966" xr:uid="{A197C429-6A83-4C75-B5E2-C262475F6C19}"/>
    <cellStyle name="20% - Accent3 3 11" xfId="2054" xr:uid="{46AF3743-9C66-4D97-8545-76D36424A5E1}"/>
    <cellStyle name="20% - Accent3 3 2" xfId="1151" xr:uid="{464DA7C6-0ACC-46B1-BFAF-DF1F05B294DD}"/>
    <cellStyle name="20% - Accent3 3 3" xfId="1253" xr:uid="{D9EA5960-1932-456F-903A-FC31F7FAEB5C}"/>
    <cellStyle name="20% - Accent3 3 4" xfId="1345" xr:uid="{C06778A6-92FB-427D-A275-80A8A3676E60}"/>
    <cellStyle name="20% - Accent3 3 5" xfId="1433" xr:uid="{4910E740-E7FF-4F34-BD42-EB9F3A62ADAF}"/>
    <cellStyle name="20% - Accent3 3 6" xfId="1579" xr:uid="{DABFFFF5-EE9C-470B-AD0A-461CBCA1D920}"/>
    <cellStyle name="20% - Accent3 3 7" xfId="1670" xr:uid="{AD7C9CA9-92B3-45BA-BE5D-F8631D75CF02}"/>
    <cellStyle name="20% - Accent3 3 8" xfId="1760" xr:uid="{5A4BDABB-5069-4998-B4CC-44531EE386A8}"/>
    <cellStyle name="20% - Accent3 3 9" xfId="1831" xr:uid="{944E1832-86CB-4375-B706-B3D7407E07FC}"/>
    <cellStyle name="20% - Accent3 4" xfId="768" xr:uid="{A4179B3E-DD01-4690-B607-721BAE582052}"/>
    <cellStyle name="20% - Accent3 5" xfId="824" xr:uid="{F61FC014-BBB5-4424-8BAA-40B333199325}"/>
    <cellStyle name="20% - Accent3 6" xfId="868" xr:uid="{DE4A262C-C1B7-47BC-A317-B1BD40A554EE}"/>
    <cellStyle name="20% - Accent3 7" xfId="898" xr:uid="{04FD7053-A05B-4C4E-AFFF-AD3038C438B4}"/>
    <cellStyle name="20% - Accent3 8" xfId="939" xr:uid="{A4774A65-403F-4F18-BF0A-59705A603357}"/>
    <cellStyle name="20% - Accent3 9" xfId="994" xr:uid="{1C800BFB-371E-443E-A36A-E6EC197A0439}"/>
    <cellStyle name="20% - Accent4 10" xfId="1049" xr:uid="{B4D99090-AB08-4128-8003-A71D207ADBEF}"/>
    <cellStyle name="20% - Accent4 11" xfId="1094" xr:uid="{DC022169-00E9-4622-97E9-08A94BD8733F}"/>
    <cellStyle name="20% - Accent4 12" xfId="1114" xr:uid="{B58CCB55-06D4-4F89-96C0-FF1DD2BEAF6E}"/>
    <cellStyle name="20% - Accent4 13" xfId="1152" xr:uid="{FD983B94-3116-4B4E-9D03-DED0C9CDF769}"/>
    <cellStyle name="20% - Accent4 14" xfId="1254" xr:uid="{6999E65C-8A24-43AA-AF36-813F963FFCFA}"/>
    <cellStyle name="20% - Accent4 15" xfId="1346" xr:uid="{1200DAE3-1DDA-4FAD-B590-490685D6ED9B}"/>
    <cellStyle name="20% - Accent4 16" xfId="1434" xr:uid="{68D7F784-B7F3-4498-9543-A969B19BF3EC}"/>
    <cellStyle name="20% - Accent4 17" xfId="1513" xr:uid="{E87D13A1-846D-4888-85A2-07E9666A7BCA}"/>
    <cellStyle name="20% - Accent4 18" xfId="1542" xr:uid="{1AA521A9-7F38-4093-9FCB-29690122C810}"/>
    <cellStyle name="20% - Accent4 19" xfId="1633" xr:uid="{73F7776D-DECD-4F6B-AD4F-420DC1866073}"/>
    <cellStyle name="20% - Accent4 2" xfId="51" xr:uid="{7B315681-931E-4013-BCDF-E9373431ABCE}"/>
    <cellStyle name="20% - Accent4 2 10" xfId="1745" xr:uid="{B87AE732-FF0F-4E3C-9E34-5D200D0BB6D1}"/>
    <cellStyle name="20% - Accent4 2 11" xfId="1833" xr:uid="{51086C45-B450-4FE6-A0D3-C7FCB426A542}"/>
    <cellStyle name="20% - Accent4 2 12" xfId="1951" xr:uid="{CD00D109-2329-4A75-AD4A-ACFD6919F3B4}"/>
    <cellStyle name="20% - Accent4 2 13" xfId="2039" xr:uid="{4F928ED5-BE41-4F55-9241-4B2A1965BDEB}"/>
    <cellStyle name="20% - Accent4 2 14" xfId="2101" xr:uid="{5B7E17AD-F9E8-4748-B52F-231DC5BC5AED}"/>
    <cellStyle name="20% - Accent4 2 2" xfId="997" xr:uid="{80543ED6-C017-469A-80FB-3C0332F6FC40}"/>
    <cellStyle name="20% - Accent4 2 2 10" xfId="1969" xr:uid="{0B4D6508-A05D-4C77-BC2E-3A1B55B0C0DE}"/>
    <cellStyle name="20% - Accent4 2 2 11" xfId="2057" xr:uid="{F75340BD-FB05-42EE-ACBB-61E1C56BBF67}"/>
    <cellStyle name="20% - Accent4 2 2 2" xfId="1154" xr:uid="{4DB1F3D7-AC05-4775-9465-4E4A3894AD63}"/>
    <cellStyle name="20% - Accent4 2 2 3" xfId="1256" xr:uid="{B2E112AD-55BC-4DCB-97B3-7B3BD64F2544}"/>
    <cellStyle name="20% - Accent4 2 2 4" xfId="1348" xr:uid="{82DEB1C2-AB6A-4386-B206-70B19B7E10A2}"/>
    <cellStyle name="20% - Accent4 2 2 5" xfId="1436" xr:uid="{28D6EC0D-1D4B-405B-93C1-50AAC86F3EBE}"/>
    <cellStyle name="20% - Accent4 2 2 6" xfId="1582" xr:uid="{66690BE7-0DCF-4BF9-8CD1-AB38E1B6146C}"/>
    <cellStyle name="20% - Accent4 2 2 7" xfId="1673" xr:uid="{27451B35-1265-430D-B3C9-E105638FB1A6}"/>
    <cellStyle name="20% - Accent4 2 2 8" xfId="1763" xr:uid="{78A06491-D34E-4519-858B-A7B30C68430B}"/>
    <cellStyle name="20% - Accent4 2 2 9" xfId="1834" xr:uid="{59F44C11-9788-440E-8308-9007AD4D871F}"/>
    <cellStyle name="20% - Accent4 2 3" xfId="1050" xr:uid="{089E28D0-044E-400F-83AD-10D8FB62911C}"/>
    <cellStyle name="20% - Accent4 2 4" xfId="1153" xr:uid="{001D3E8A-4B60-49F6-8505-5591654FEFB1}"/>
    <cellStyle name="20% - Accent4 2 5" xfId="1255" xr:uid="{D1C1C695-D03A-4364-931E-9CC5520C9F6D}"/>
    <cellStyle name="20% - Accent4 2 6" xfId="1347" xr:uid="{2EBF80BD-B3FB-46A5-B225-6531F0E646B7}"/>
    <cellStyle name="20% - Accent4 2 7" xfId="1435" xr:uid="{95F67BB3-031D-4F7B-B3DF-D3A40D02D46F}"/>
    <cellStyle name="20% - Accent4 2 8" xfId="1564" xr:uid="{3BEC0628-6349-4C48-AE66-D4641654293E}"/>
    <cellStyle name="20% - Accent4 2 9" xfId="1655" xr:uid="{00D0B94A-10AE-435A-86E5-18D852847E87}"/>
    <cellStyle name="20% - Accent4 20" xfId="1723" xr:uid="{7CBF2A1C-1DC0-46D5-B2E3-EC670C1D3FFE}"/>
    <cellStyle name="20% - Accent4 21" xfId="1806" xr:uid="{65740579-C912-4537-9C4C-92F08A279AC3}"/>
    <cellStyle name="20% - Accent4 22" xfId="1832" xr:uid="{D86A8C41-8ADC-4C7A-B3E4-252A68862092}"/>
    <cellStyle name="20% - Accent4 23" xfId="1929" xr:uid="{BA26ADB2-7FBE-4EDD-84FE-EC2909AD2DE5}"/>
    <cellStyle name="20% - Accent4 24" xfId="2017" xr:uid="{E07F9CE0-FF30-44E9-A98F-83051CD0C5BF}"/>
    <cellStyle name="20% - Accent4 25" xfId="2100" xr:uid="{CC8082E6-2A88-409E-8AD2-F77A41EDD011}"/>
    <cellStyle name="20% - Accent4 26" xfId="2154" xr:uid="{D6420B77-EF74-4D2F-831C-CDE40EC1A41C}"/>
    <cellStyle name="20% - Accent4 27" xfId="50" xr:uid="{84ADFC7D-0BE9-46A0-A508-2BC03359527E}"/>
    <cellStyle name="20% - Accent4 3" xfId="721" xr:uid="{E1D50E17-4AC0-43C0-A007-D7A2EB001807}"/>
    <cellStyle name="20% - Accent4 3 10" xfId="1968" xr:uid="{AB6B8BA6-126A-4DB6-A728-684427C7EDAE}"/>
    <cellStyle name="20% - Accent4 3 11" xfId="2056" xr:uid="{BC0D4F22-FDEB-4D10-9DA8-C8296FC49C3F}"/>
    <cellStyle name="20% - Accent4 3 2" xfId="1155" xr:uid="{338CD3C5-0C66-433D-8055-EF631D189597}"/>
    <cellStyle name="20% - Accent4 3 3" xfId="1257" xr:uid="{853687E8-6AB6-4BE8-93D5-1FA27D659735}"/>
    <cellStyle name="20% - Accent4 3 4" xfId="1349" xr:uid="{A454C7EB-965D-4C98-AB5B-E8D607F6EC97}"/>
    <cellStyle name="20% - Accent4 3 5" xfId="1437" xr:uid="{0B0DD629-EFB6-4E26-B3BF-263F983349C6}"/>
    <cellStyle name="20% - Accent4 3 6" xfId="1581" xr:uid="{322CC074-8D85-48A0-9F98-6D5B40716B56}"/>
    <cellStyle name="20% - Accent4 3 7" xfId="1672" xr:uid="{28C0C8B2-89EB-4580-A710-4C1796099BED}"/>
    <cellStyle name="20% - Accent4 3 8" xfId="1762" xr:uid="{8F118792-013A-41E3-B9DA-E65A8F64E41E}"/>
    <cellStyle name="20% - Accent4 3 9" xfId="1835" xr:uid="{640B88CB-517C-4F6C-9C19-90BC4B322698}"/>
    <cellStyle name="20% - Accent4 4" xfId="769" xr:uid="{9FEF1203-77A4-41B2-BF8F-3C35408888A1}"/>
    <cellStyle name="20% - Accent4 5" xfId="825" xr:uid="{74494146-4048-400F-882A-33B5AD043292}"/>
    <cellStyle name="20% - Accent4 6" xfId="874" xr:uid="{5C89E42E-26C8-4F13-9222-85C1F4272485}"/>
    <cellStyle name="20% - Accent4 7" xfId="903" xr:uid="{03956A4B-BB0C-454B-B312-95734A8B9921}"/>
    <cellStyle name="20% - Accent4 8" xfId="940" xr:uid="{48C8ACFD-D2E9-4264-BB77-B0F28616C2C3}"/>
    <cellStyle name="20% - Accent4 9" xfId="996" xr:uid="{564FCC94-67F4-4A20-8876-31AA278ECDDD}"/>
    <cellStyle name="20% - Accent5 10" xfId="1051" xr:uid="{22B9C516-A77C-473B-9AD9-64A14E21E8D0}"/>
    <cellStyle name="20% - Accent5 11" xfId="1095" xr:uid="{CA75F805-ACED-492A-9151-5D91FC9947AE}"/>
    <cellStyle name="20% - Accent5 12" xfId="1115" xr:uid="{4DEE8EBB-B77E-4E4D-8E59-44F7E28AD2C0}"/>
    <cellStyle name="20% - Accent5 13" xfId="1156" xr:uid="{CA29F59D-7CFD-4DB0-B5EB-C3DC1B87C81B}"/>
    <cellStyle name="20% - Accent5 14" xfId="1258" xr:uid="{67290E8E-1E8F-4AF6-997B-BE869FFCB79D}"/>
    <cellStyle name="20% - Accent5 15" xfId="1350" xr:uid="{FC645827-3C84-4EDD-8AB2-42BEB25D09F8}"/>
    <cellStyle name="20% - Accent5 16" xfId="1438" xr:uid="{D6793304-1C99-47E7-A188-779F4210C92B}"/>
    <cellStyle name="20% - Accent5 17" xfId="1514" xr:uid="{A76B3B75-7EF3-4DB6-9EC8-224439155043}"/>
    <cellStyle name="20% - Accent5 18" xfId="1545" xr:uid="{AEC166FD-A63F-47C3-BC58-E370E4EF25AB}"/>
    <cellStyle name="20% - Accent5 19" xfId="1636" xr:uid="{E5264E3B-FB03-4DA4-99BB-A4C313C8EB2D}"/>
    <cellStyle name="20% - Accent5 2" xfId="53" xr:uid="{EB7336CA-E7C5-4FA1-AC6A-3D3E3301AD16}"/>
    <cellStyle name="20% - Accent5 2 10" xfId="1748" xr:uid="{A9ED81FD-3B6E-49EE-A099-BD7D50737235}"/>
    <cellStyle name="20% - Accent5 2 11" xfId="1837" xr:uid="{01F2C618-CD07-45EB-B7E0-44D35B860F25}"/>
    <cellStyle name="20% - Accent5 2 12" xfId="1954" xr:uid="{A8E92067-3B62-44DC-96E0-E444ACC1D3C0}"/>
    <cellStyle name="20% - Accent5 2 13" xfId="2042" xr:uid="{10ACC1FE-BD20-406E-86D5-28C671A4AB26}"/>
    <cellStyle name="20% - Accent5 2 14" xfId="2103" xr:uid="{9C338BB7-4212-4060-A551-1ADBE0DD4A44}"/>
    <cellStyle name="20% - Accent5 2 2" xfId="999" xr:uid="{69A8ABE2-D412-422B-AE95-1B9384630EBA}"/>
    <cellStyle name="20% - Accent5 2 2 10" xfId="1971" xr:uid="{207D4C22-590D-4510-A1D2-E7CCA42A8660}"/>
    <cellStyle name="20% - Accent5 2 2 11" xfId="2059" xr:uid="{71019A5A-A114-4AB6-801A-928041281F5C}"/>
    <cellStyle name="20% - Accent5 2 2 2" xfId="1158" xr:uid="{2A6D8CD1-8E61-4372-A8C9-329DCBE040B7}"/>
    <cellStyle name="20% - Accent5 2 2 3" xfId="1260" xr:uid="{E37B8986-C068-49DA-9CFE-1F6B9A565C49}"/>
    <cellStyle name="20% - Accent5 2 2 4" xfId="1352" xr:uid="{54A2C428-AD73-4AD9-8881-854BBFE84C4A}"/>
    <cellStyle name="20% - Accent5 2 2 5" xfId="1440" xr:uid="{D133E1CA-C5FD-4F79-8C63-881EFC9A3D4E}"/>
    <cellStyle name="20% - Accent5 2 2 6" xfId="1584" xr:uid="{3C72E615-D369-4898-9D2F-AECA04B53A3D}"/>
    <cellStyle name="20% - Accent5 2 2 7" xfId="1675" xr:uid="{4E4C6FB9-BB3F-4E69-B512-053AB29EEB1C}"/>
    <cellStyle name="20% - Accent5 2 2 8" xfId="1765" xr:uid="{2826F1C7-865B-4C33-95B5-A28877D5B419}"/>
    <cellStyle name="20% - Accent5 2 2 9" xfId="1838" xr:uid="{FBB7E6E4-D3DE-4473-8B3C-7A523AF907A9}"/>
    <cellStyle name="20% - Accent5 2 3" xfId="1052" xr:uid="{ADB142A2-5BED-43DA-A6C5-66E88AEC55F9}"/>
    <cellStyle name="20% - Accent5 2 4" xfId="1157" xr:uid="{11BC5270-3904-4C2F-80D8-47728AD6319E}"/>
    <cellStyle name="20% - Accent5 2 5" xfId="1259" xr:uid="{581B620C-480A-48A9-BE6B-8CD6D08B1299}"/>
    <cellStyle name="20% - Accent5 2 6" xfId="1351" xr:uid="{E953518C-B30D-421C-A025-777CBC0927AC}"/>
    <cellStyle name="20% - Accent5 2 7" xfId="1439" xr:uid="{88E34C2A-DA89-45CA-B153-C43397E5FB72}"/>
    <cellStyle name="20% - Accent5 2 8" xfId="1567" xr:uid="{B022C119-C474-48AC-9CFD-56B776374BB7}"/>
    <cellStyle name="20% - Accent5 2 9" xfId="1658" xr:uid="{FE9F1B89-458A-4D30-AC92-50C532F47A5B}"/>
    <cellStyle name="20% - Accent5 20" xfId="1726" xr:uid="{13321BBD-A6D4-4263-BA34-31DAD5237602}"/>
    <cellStyle name="20% - Accent5 21" xfId="1807" xr:uid="{8D6F726D-BF3C-4DDA-A998-BBDA3B241B06}"/>
    <cellStyle name="20% - Accent5 22" xfId="1836" xr:uid="{1EB97A61-42A2-4F49-B1DE-ABE0B2A00097}"/>
    <cellStyle name="20% - Accent5 23" xfId="1932" xr:uid="{14A87D99-1EBA-420C-8D10-D27D0A8FC691}"/>
    <cellStyle name="20% - Accent5 24" xfId="2020" xr:uid="{9817CBCB-278A-4CBF-A17A-E93730631962}"/>
    <cellStyle name="20% - Accent5 25" xfId="2102" xr:uid="{1ACCC10D-AB77-48E0-9DF9-77AB2B9EC7DD}"/>
    <cellStyle name="20% - Accent5 26" xfId="2155" xr:uid="{C1EC5AEB-C9C8-429C-83EE-EA472336F700}"/>
    <cellStyle name="20% - Accent5 27" xfId="52" xr:uid="{CCE7B659-74F6-4466-A8F5-B823F4712137}"/>
    <cellStyle name="20% - Accent5 3" xfId="722" xr:uid="{36B59E96-0C9B-4561-8DC1-5104DA56B533}"/>
    <cellStyle name="20% - Accent5 3 10" xfId="1970" xr:uid="{12BD5508-1777-4589-B8D3-EEF1AB3F582B}"/>
    <cellStyle name="20% - Accent5 3 11" xfId="2058" xr:uid="{BF974F49-D015-4822-AA77-4D1F68EB979E}"/>
    <cellStyle name="20% - Accent5 3 2" xfId="1159" xr:uid="{D5F2A56C-5D54-495F-B388-D2C48D4D2901}"/>
    <cellStyle name="20% - Accent5 3 3" xfId="1261" xr:uid="{1ED0FE64-392B-4A3F-A034-EC6C9EEB51D6}"/>
    <cellStyle name="20% - Accent5 3 4" xfId="1353" xr:uid="{6424856B-B90B-497B-AE24-91AEA78DE499}"/>
    <cellStyle name="20% - Accent5 3 5" xfId="1441" xr:uid="{3991A324-52C6-4B72-B701-EA042F3E547A}"/>
    <cellStyle name="20% - Accent5 3 6" xfId="1583" xr:uid="{273560EA-72DB-4E9D-AC71-2091C3CD39FA}"/>
    <cellStyle name="20% - Accent5 3 7" xfId="1674" xr:uid="{A5BDFB68-C7E9-47BF-B2B1-6086DFFC41F6}"/>
    <cellStyle name="20% - Accent5 3 8" xfId="1764" xr:uid="{51CE109C-36E5-4DDC-A68E-E75AB18B3E91}"/>
    <cellStyle name="20% - Accent5 3 9" xfId="1839" xr:uid="{F77F1D92-BF05-43D8-8461-31BB9E4AAE1E}"/>
    <cellStyle name="20% - Accent5 4" xfId="770" xr:uid="{CE0E5FAE-56F3-4BD8-B61F-F0F75BA149A7}"/>
    <cellStyle name="20% - Accent5 5" xfId="826" xr:uid="{787EE77B-0388-4DF0-AC65-3F8D60C3B644}"/>
    <cellStyle name="20% - Accent5 6" xfId="875" xr:uid="{1506A2C7-F871-499E-9C97-7F5002594A9A}"/>
    <cellStyle name="20% - Accent5 7" xfId="904" xr:uid="{1E3104D9-75C7-4F86-82E6-411027345F49}"/>
    <cellStyle name="20% - Accent5 8" xfId="945" xr:uid="{CA13912F-8087-4E7F-B7D0-41CCB4408F32}"/>
    <cellStyle name="20% - Accent5 9" xfId="998" xr:uid="{51CF652F-EB43-46A0-BB99-04775C38ACDA}"/>
    <cellStyle name="20% - Accent6 10" xfId="1053" xr:uid="{DD4EEE65-99B7-4460-BDAF-DC65FA30B06A}"/>
    <cellStyle name="20% - Accent6 11" xfId="1096" xr:uid="{2F13001C-EF68-4D20-85D9-CBAC5B5720E9}"/>
    <cellStyle name="20% - Accent6 12" xfId="1116" xr:uid="{4FE3C9F4-A4A7-44A3-AAB7-0185754F221C}"/>
    <cellStyle name="20% - Accent6 13" xfId="1160" xr:uid="{E0E14128-E36E-45DB-AC20-5C7CD36EF2AC}"/>
    <cellStyle name="20% - Accent6 14" xfId="1262" xr:uid="{2D158AC9-05D6-4E4A-915D-E3A97F8C0734}"/>
    <cellStyle name="20% - Accent6 15" xfId="1354" xr:uid="{234A9856-B56B-40D2-8C24-19F7CC50109D}"/>
    <cellStyle name="20% - Accent6 16" xfId="1442" xr:uid="{FC6B9443-B5C2-4EBF-8234-8376BB2C7187}"/>
    <cellStyle name="20% - Accent6 17" xfId="1515" xr:uid="{1581B6F3-F7E9-499E-BAF5-6EFA6BE66708}"/>
    <cellStyle name="20% - Accent6 18" xfId="1548" xr:uid="{A653A4CC-0DAA-404C-8BAC-303BB1F1C32B}"/>
    <cellStyle name="20% - Accent6 19" xfId="1639" xr:uid="{F9D124D0-C558-40AF-96A5-A4B9454FC78B}"/>
    <cellStyle name="20% - Accent6 2" xfId="55" xr:uid="{2C0419A3-D84E-45DF-9AF6-DE1CD2FFE9A0}"/>
    <cellStyle name="20% - Accent6 2 10" xfId="1751" xr:uid="{620B4D2F-B698-4E05-9BE8-E18D1D8F8065}"/>
    <cellStyle name="20% - Accent6 2 11" xfId="1841" xr:uid="{F5B70665-8CFE-482B-A935-4A3735ABC0D4}"/>
    <cellStyle name="20% - Accent6 2 12" xfId="1957" xr:uid="{15C4D7C3-3676-4BF9-9716-482A1B797BB5}"/>
    <cellStyle name="20% - Accent6 2 13" xfId="2045" xr:uid="{7B3B7630-0A13-4908-8D11-D3BA5458F998}"/>
    <cellStyle name="20% - Accent6 2 14" xfId="2105" xr:uid="{F763ABB0-ABE2-4216-AAD6-C8872530269B}"/>
    <cellStyle name="20% - Accent6 2 2" xfId="1001" xr:uid="{872E8796-A2D5-4E77-95BB-73D7D5599B0E}"/>
    <cellStyle name="20% - Accent6 2 2 10" xfId="1973" xr:uid="{9C4342ED-8C9B-48E6-A400-D1E644F0CCBF}"/>
    <cellStyle name="20% - Accent6 2 2 11" xfId="2061" xr:uid="{AC0C99AA-5119-4D98-B436-4823B485D4B0}"/>
    <cellStyle name="20% - Accent6 2 2 2" xfId="1162" xr:uid="{B79DA891-3E6D-44AA-B78C-A6505FCEC679}"/>
    <cellStyle name="20% - Accent6 2 2 3" xfId="1264" xr:uid="{B18309A8-8F56-4158-85BF-F8676CD1DB64}"/>
    <cellStyle name="20% - Accent6 2 2 4" xfId="1356" xr:uid="{070A3D65-CE60-4FAA-A768-DD201CF77D31}"/>
    <cellStyle name="20% - Accent6 2 2 5" xfId="1444" xr:uid="{D221BF1C-4322-434E-9D2B-0EADE3175CF7}"/>
    <cellStyle name="20% - Accent6 2 2 6" xfId="1586" xr:uid="{6EBC2C65-111B-4B76-90B9-AEE952E480A9}"/>
    <cellStyle name="20% - Accent6 2 2 7" xfId="1677" xr:uid="{C97C09A6-F015-4013-A29D-5513CA0BE846}"/>
    <cellStyle name="20% - Accent6 2 2 8" xfId="1767" xr:uid="{CBEA85A7-2F10-401C-B4B6-CB741139DAEB}"/>
    <cellStyle name="20% - Accent6 2 2 9" xfId="1842" xr:uid="{7D6FF6A8-4EB3-4CCD-BD11-A2D346C7D5E7}"/>
    <cellStyle name="20% - Accent6 2 3" xfId="1054" xr:uid="{A4116D0F-ABC0-41E9-A552-58CDA02C48CD}"/>
    <cellStyle name="20% - Accent6 2 4" xfId="1161" xr:uid="{6ED6F269-4D2D-4107-8373-4D4544C1F89B}"/>
    <cellStyle name="20% - Accent6 2 5" xfId="1263" xr:uid="{9DE06EF3-7986-4AB5-9F53-48E6DE8B1725}"/>
    <cellStyle name="20% - Accent6 2 6" xfId="1355" xr:uid="{ABC9B604-287A-4F4D-A46B-3DF0CF58A8A2}"/>
    <cellStyle name="20% - Accent6 2 7" xfId="1443" xr:uid="{34E56736-0B5A-482E-A2FC-F609A23832CA}"/>
    <cellStyle name="20% - Accent6 2 8" xfId="1570" xr:uid="{07FED4F0-896E-4A42-BA7B-2D5B59EE24DD}"/>
    <cellStyle name="20% - Accent6 2 9" xfId="1661" xr:uid="{E1EF49CA-8890-46E3-9A07-AA2DCF33D028}"/>
    <cellStyle name="20% - Accent6 20" xfId="1729" xr:uid="{AE9BE65B-E8E9-4846-A9FD-395893D7AD1D}"/>
    <cellStyle name="20% - Accent6 21" xfId="1808" xr:uid="{8284B6B1-6943-4511-847A-BC8D359E593D}"/>
    <cellStyle name="20% - Accent6 22" xfId="1840" xr:uid="{C665BD07-7EE5-433D-98BC-D138715812F4}"/>
    <cellStyle name="20% - Accent6 23" xfId="1935" xr:uid="{14623A99-7F7D-4B12-92E8-3D00CF645A60}"/>
    <cellStyle name="20% - Accent6 24" xfId="2023" xr:uid="{524C7E5D-BA51-4D40-96FC-D3F5059D76A1}"/>
    <cellStyle name="20% - Accent6 25" xfId="2104" xr:uid="{43435364-B98C-4314-9EB5-A01BE8EEA779}"/>
    <cellStyle name="20% - Accent6 26" xfId="2156" xr:uid="{0881BA24-8FE0-4B92-8F9A-D1B987310978}"/>
    <cellStyle name="20% - Accent6 27" xfId="54" xr:uid="{50F7B9CD-DA09-4FD3-A80E-228029CAC2AB}"/>
    <cellStyle name="20% - Accent6 3" xfId="723" xr:uid="{05ADDF8B-D1B6-46E9-A6E3-AA8F93C50322}"/>
    <cellStyle name="20% - Accent6 3 10" xfId="1972" xr:uid="{C95C61E7-387E-4D1C-BBBC-AE848537BEC0}"/>
    <cellStyle name="20% - Accent6 3 11" xfId="2060" xr:uid="{E2B28700-8270-41CC-9A6E-20AC44F50586}"/>
    <cellStyle name="20% - Accent6 3 2" xfId="1163" xr:uid="{D0E68A26-2BB5-4213-9E34-1224FC2C21A4}"/>
    <cellStyle name="20% - Accent6 3 3" xfId="1265" xr:uid="{9B2AA657-C9D8-4BA0-A73E-9D1EDEE2042C}"/>
    <cellStyle name="20% - Accent6 3 4" xfId="1357" xr:uid="{A4A7C3D6-1082-4D1E-B772-7AC355451129}"/>
    <cellStyle name="20% - Accent6 3 5" xfId="1445" xr:uid="{94B5EF2E-A15B-41B8-B764-7D286B26BFD2}"/>
    <cellStyle name="20% - Accent6 3 6" xfId="1585" xr:uid="{9C5F076E-1CA1-48C1-9DA7-C2B76F812C9D}"/>
    <cellStyle name="20% - Accent6 3 7" xfId="1676" xr:uid="{6E6CCB28-5332-4433-A60D-07EB93B385C1}"/>
    <cellStyle name="20% - Accent6 3 8" xfId="1766" xr:uid="{F436AA15-D5ED-428D-B3BC-9AF3744E3AF6}"/>
    <cellStyle name="20% - Accent6 3 9" xfId="1843" xr:uid="{5B0732D8-5094-49EB-93EB-648E38553802}"/>
    <cellStyle name="20% - Accent6 4" xfId="771" xr:uid="{40AC012F-1385-4A07-AC81-6BCC36A65987}"/>
    <cellStyle name="20% - Accent6 5" xfId="827" xr:uid="{DEEC65F3-384E-4477-B8EF-F36E3CE01B1E}"/>
    <cellStyle name="20% - Accent6 6" xfId="876" xr:uid="{303EDC14-B167-4E97-AB00-7DFF36F23E58}"/>
    <cellStyle name="20% - Accent6 7" xfId="905" xr:uid="{AD1D0A79-01C6-4FBA-A611-D73AC9D75444}"/>
    <cellStyle name="20% - Accent6 8" xfId="946" xr:uid="{75100569-4AFC-4E60-B7F7-EECF75F9CCE9}"/>
    <cellStyle name="20% - Accent6 9" xfId="1000" xr:uid="{75BB0C53-91CA-4114-9DCF-8DC36818D79D}"/>
    <cellStyle name="3dp" xfId="56" xr:uid="{E854286C-2234-497B-98B8-07FEE3B893E0}"/>
    <cellStyle name="3dp 2" xfId="57" xr:uid="{5C68DC9B-B2E6-4612-A934-FF95B03B9A1C}"/>
    <cellStyle name="3dp 2 2" xfId="557" xr:uid="{61E8C62D-0BD2-41BF-B928-2C7A7BA19BBD}"/>
    <cellStyle name="3dp 3" xfId="556" xr:uid="{3FCAE759-C695-40BA-9411-E51ACBB52887}"/>
    <cellStyle name="40% - Accent1 10" xfId="1055" xr:uid="{EE872297-76F7-4424-935C-5BFB1C2030E5}"/>
    <cellStyle name="40% - Accent1 11" xfId="1097" xr:uid="{067D6C4B-90BD-4DBC-B22F-921EF58517EC}"/>
    <cellStyle name="40% - Accent1 12" xfId="1117" xr:uid="{D60BE78A-4C96-4651-86FC-391A70BE5685}"/>
    <cellStyle name="40% - Accent1 13" xfId="1164" xr:uid="{04602EBF-1F08-4647-A0AA-DA30A26FCE44}"/>
    <cellStyle name="40% - Accent1 14" xfId="1266" xr:uid="{2D815E51-2B51-4515-888D-1B94B497C8A2}"/>
    <cellStyle name="40% - Accent1 15" xfId="1358" xr:uid="{ECC88178-A8F0-4E21-B966-88C26641BB88}"/>
    <cellStyle name="40% - Accent1 16" xfId="1446" xr:uid="{032A18F7-BB29-4B42-9B44-4C7B4D27EA3C}"/>
    <cellStyle name="40% - Accent1 17" xfId="1516" xr:uid="{2BF7566A-2CFC-49C5-B2E2-81AF206EAD5A}"/>
    <cellStyle name="40% - Accent1 18" xfId="1533" xr:uid="{58A4075A-2854-4409-BEBF-DD7E05B9E4DE}"/>
    <cellStyle name="40% - Accent1 19" xfId="1625" xr:uid="{C8824A63-9306-4013-900A-1CDA92F7F35D}"/>
    <cellStyle name="40% - Accent1 2" xfId="59" xr:uid="{330930FC-BE02-48D8-B085-A055B3411722}"/>
    <cellStyle name="40% - Accent1 2 10" xfId="1737" xr:uid="{DE33E5DB-D08D-480B-9BC0-EC01FF1CC786}"/>
    <cellStyle name="40% - Accent1 2 11" xfId="1845" xr:uid="{36399067-77EA-416B-A3E3-749A531E50E7}"/>
    <cellStyle name="40% - Accent1 2 12" xfId="1943" xr:uid="{A1B2299E-54F7-4CD2-B3AF-119C444DED15}"/>
    <cellStyle name="40% - Accent1 2 13" xfId="2031" xr:uid="{442D7349-B24D-4238-8142-7CB5DE128B63}"/>
    <cellStyle name="40% - Accent1 2 14" xfId="2107" xr:uid="{7750E4FA-39DC-422F-BB58-299103A1CD0B}"/>
    <cellStyle name="40% - Accent1 2 2" xfId="1003" xr:uid="{097ABD49-5906-4631-AF98-DFD257A70EBD}"/>
    <cellStyle name="40% - Accent1 2 2 10" xfId="1975" xr:uid="{5C26F87D-5C0B-4875-B26A-6439F9D4B3BE}"/>
    <cellStyle name="40% - Accent1 2 2 11" xfId="2063" xr:uid="{4D428BC0-6062-4FD6-B844-EA48543FC37F}"/>
    <cellStyle name="40% - Accent1 2 2 2" xfId="1166" xr:uid="{61ECAD9C-7974-4DE6-8406-73E31153259E}"/>
    <cellStyle name="40% - Accent1 2 2 3" xfId="1268" xr:uid="{68B2262C-6106-455D-A262-F81541FE7986}"/>
    <cellStyle name="40% - Accent1 2 2 4" xfId="1360" xr:uid="{7B84BAB8-DBF7-4A4B-ABCD-0AC9AB01DCC8}"/>
    <cellStyle name="40% - Accent1 2 2 5" xfId="1448" xr:uid="{6B503B0E-52C1-4A81-8470-5FC0EF4B4D55}"/>
    <cellStyle name="40% - Accent1 2 2 6" xfId="1588" xr:uid="{0F3A701C-4526-4B54-8FF5-81566C747877}"/>
    <cellStyle name="40% - Accent1 2 2 7" xfId="1679" xr:uid="{8FEBC2DA-C63E-4D26-9246-4DB55310A2D8}"/>
    <cellStyle name="40% - Accent1 2 2 8" xfId="1769" xr:uid="{733A4410-C33D-4331-9C83-390186FD7F13}"/>
    <cellStyle name="40% - Accent1 2 2 9" xfId="1846" xr:uid="{DE95565D-9EE7-4B1B-9857-B033E534B925}"/>
    <cellStyle name="40% - Accent1 2 3" xfId="1056" xr:uid="{18C763F8-26B4-4205-BE04-0AFEC2B8529D}"/>
    <cellStyle name="40% - Accent1 2 4" xfId="1165" xr:uid="{214CD849-5DB1-4260-8206-4BBDEA17C405}"/>
    <cellStyle name="40% - Accent1 2 5" xfId="1267" xr:uid="{1E985DFD-C500-43C7-BDBA-FF3FAD03AC89}"/>
    <cellStyle name="40% - Accent1 2 6" xfId="1359" xr:uid="{24A6CF19-887F-4160-89A4-36A9B69C5ABF}"/>
    <cellStyle name="40% - Accent1 2 7" xfId="1447" xr:uid="{5CB8E9BB-3749-4FE9-BC50-3985C6F72818}"/>
    <cellStyle name="40% - Accent1 2 8" xfId="1556" xr:uid="{A43AEC76-1EC4-4CFB-ABEE-795A4EB70D2A}"/>
    <cellStyle name="40% - Accent1 2 9" xfId="1647" xr:uid="{8BB82614-479D-43B6-B3BF-E9FC7FF2ADDF}"/>
    <cellStyle name="40% - Accent1 20" xfId="1715" xr:uid="{2FDB7504-0C48-4268-92D0-865FCFCFD362}"/>
    <cellStyle name="40% - Accent1 21" xfId="1809" xr:uid="{88983AFB-4127-4195-A484-4A801DBED22E}"/>
    <cellStyle name="40% - Accent1 22" xfId="1844" xr:uid="{3AB23C4D-431B-4BFC-9BAC-CA3337892C0A}"/>
    <cellStyle name="40% - Accent1 23" xfId="1921" xr:uid="{6394D20A-94BA-48DB-8394-2E84C10B3607}"/>
    <cellStyle name="40% - Accent1 24" xfId="2009" xr:uid="{705D0FC9-EBD8-4387-A608-E9A9A659B30F}"/>
    <cellStyle name="40% - Accent1 25" xfId="2106" xr:uid="{BCC7881B-B946-47C4-849D-9C7D8BB6319A}"/>
    <cellStyle name="40% - Accent1 26" xfId="2157" xr:uid="{D946FB11-7283-451E-BAAE-C7961841518C}"/>
    <cellStyle name="40% - Accent1 27" xfId="58" xr:uid="{BFB7266C-986B-48EF-8235-66E6CA554C27}"/>
    <cellStyle name="40% - Accent1 3" xfId="724" xr:uid="{00D57AF2-CA2A-4D4B-AA1E-E52AA3398B0B}"/>
    <cellStyle name="40% - Accent1 3 10" xfId="1974" xr:uid="{674CDE6E-DD24-4875-9DCF-1163002AF006}"/>
    <cellStyle name="40% - Accent1 3 11" xfId="2062" xr:uid="{67063623-AF5C-4278-90D4-E8DC9946B1E1}"/>
    <cellStyle name="40% - Accent1 3 2" xfId="1167" xr:uid="{1D4677DA-FB6C-4ED3-81EB-00E8E0805684}"/>
    <cellStyle name="40% - Accent1 3 3" xfId="1269" xr:uid="{C88E4649-3CE9-496B-97EA-5D01938F5851}"/>
    <cellStyle name="40% - Accent1 3 4" xfId="1361" xr:uid="{DABF0350-88E6-4A15-9359-9DAD6E95F10F}"/>
    <cellStyle name="40% - Accent1 3 5" xfId="1449" xr:uid="{9962E9AC-8184-4181-81DF-014B10D70A3A}"/>
    <cellStyle name="40% - Accent1 3 6" xfId="1587" xr:uid="{F4305D9D-6A3A-43FF-909A-05072B66D6B8}"/>
    <cellStyle name="40% - Accent1 3 7" xfId="1678" xr:uid="{F7F0758C-6A58-4778-8512-B65E82D357FF}"/>
    <cellStyle name="40% - Accent1 3 8" xfId="1768" xr:uid="{C74D87E9-7DC7-4AFD-AE72-929CE9077CAE}"/>
    <cellStyle name="40% - Accent1 3 9" xfId="1847" xr:uid="{378EDAF4-0C15-4557-AD0B-D7A966ECFAC5}"/>
    <cellStyle name="40% - Accent1 4" xfId="772" xr:uid="{DA0A5448-B68A-4E00-9FB5-9F4524C20A97}"/>
    <cellStyle name="40% - Accent1 5" xfId="828" xr:uid="{9D1EC017-8A9E-40D1-B12C-7167F404D1B9}"/>
    <cellStyle name="40% - Accent1 6" xfId="877" xr:uid="{80622DB2-26B5-4A6D-B191-100AF9B19881}"/>
    <cellStyle name="40% - Accent1 7" xfId="906" xr:uid="{7B7A6C2A-7A95-4A1F-B3AD-868F94C86B71}"/>
    <cellStyle name="40% - Accent1 8" xfId="947" xr:uid="{2FC8AD8E-0143-4EA5-8AB3-57C504ED04EA}"/>
    <cellStyle name="40% - Accent1 9" xfId="1002" xr:uid="{4B29C41C-AF62-47A2-812C-C9EA9EAB6AA4}"/>
    <cellStyle name="40% - Accent2 10" xfId="1057" xr:uid="{805FF8E5-05C7-4B8F-A53B-C99903F72CDB}"/>
    <cellStyle name="40% - Accent2 11" xfId="1098" xr:uid="{8F7A940B-4214-4154-B564-E8BEC2C58661}"/>
    <cellStyle name="40% - Accent2 12" xfId="1118" xr:uid="{81846B07-3C91-47D8-9D5A-2B66AA4FC5C2}"/>
    <cellStyle name="40% - Accent2 13" xfId="1168" xr:uid="{4C962C7D-95A8-47F2-9D4A-1D1C59EB2C7E}"/>
    <cellStyle name="40% - Accent2 14" xfId="1270" xr:uid="{4D670740-62B3-4716-AF85-55AB0817E49E}"/>
    <cellStyle name="40% - Accent2 15" xfId="1362" xr:uid="{3C24215F-39A7-4426-B4C8-C24DFB54871C}"/>
    <cellStyle name="40% - Accent2 16" xfId="1450" xr:uid="{49C576D5-5D3E-4E84-A7A2-2D45B28480C9}"/>
    <cellStyle name="40% - Accent2 17" xfId="1517" xr:uid="{C6B8DF74-D2BC-462E-A16C-FE94E76EE9ED}"/>
    <cellStyle name="40% - Accent2 18" xfId="1536" xr:uid="{55B174A4-748D-441F-9843-59AE7DE6848B}"/>
    <cellStyle name="40% - Accent2 19" xfId="1628" xr:uid="{6BF79D17-1224-4EF9-8B95-B8AC61195565}"/>
    <cellStyle name="40% - Accent2 2" xfId="61" xr:uid="{F00AD5D3-AAD5-45A3-A86B-DCBBA5E406C6}"/>
    <cellStyle name="40% - Accent2 2 10" xfId="1740" xr:uid="{CAED7317-AA50-4C0E-87EE-4B3B096AB57C}"/>
    <cellStyle name="40% - Accent2 2 11" xfId="1849" xr:uid="{5E56D571-3775-425A-AF12-F559E39AD1B2}"/>
    <cellStyle name="40% - Accent2 2 12" xfId="1946" xr:uid="{28D7F730-BD45-4736-AF46-EDA24FD8D2CC}"/>
    <cellStyle name="40% - Accent2 2 13" xfId="2034" xr:uid="{7189E8A3-1D18-46FB-89A9-6FD2C6960339}"/>
    <cellStyle name="40% - Accent2 2 14" xfId="2109" xr:uid="{47201B83-4668-4172-88C9-7559E8DCE16E}"/>
    <cellStyle name="40% - Accent2 2 2" xfId="1005" xr:uid="{EC895CBD-5915-47D4-B6AD-C79183754A04}"/>
    <cellStyle name="40% - Accent2 2 2 10" xfId="1977" xr:uid="{6B9A5693-DC62-467B-9603-663B5D98E711}"/>
    <cellStyle name="40% - Accent2 2 2 11" xfId="2065" xr:uid="{0506DF01-2247-4F7E-B892-2DE7CD910E2A}"/>
    <cellStyle name="40% - Accent2 2 2 2" xfId="1170" xr:uid="{0306FF06-E732-4D24-B851-CC8D56D86327}"/>
    <cellStyle name="40% - Accent2 2 2 3" xfId="1272" xr:uid="{7B626468-A043-4E4E-9F2B-64F52995EC1E}"/>
    <cellStyle name="40% - Accent2 2 2 4" xfId="1364" xr:uid="{5956C35E-6DCD-4152-A910-F09EB9F1006E}"/>
    <cellStyle name="40% - Accent2 2 2 5" xfId="1452" xr:uid="{9A28B3C8-EA60-4F99-9650-9103F278D17C}"/>
    <cellStyle name="40% - Accent2 2 2 6" xfId="1590" xr:uid="{7FAB98F5-39C1-4C04-A9A3-2D19C8CB31AF}"/>
    <cellStyle name="40% - Accent2 2 2 7" xfId="1681" xr:uid="{A87748F2-3A5A-4D99-B35E-022B50A5C55D}"/>
    <cellStyle name="40% - Accent2 2 2 8" xfId="1771" xr:uid="{8810837D-1CBD-4C83-8641-CB27224F525F}"/>
    <cellStyle name="40% - Accent2 2 2 9" xfId="1850" xr:uid="{46822427-E004-4E89-BD54-367EBD9179E5}"/>
    <cellStyle name="40% - Accent2 2 3" xfId="1058" xr:uid="{721763E5-5078-4DF6-A90A-3032D7961ED9}"/>
    <cellStyle name="40% - Accent2 2 4" xfId="1169" xr:uid="{0689245D-7B27-4D82-B79A-61EC8DA6FA47}"/>
    <cellStyle name="40% - Accent2 2 5" xfId="1271" xr:uid="{67BBB768-635D-417D-882D-DEF00CC6F7E4}"/>
    <cellStyle name="40% - Accent2 2 6" xfId="1363" xr:uid="{4687C9ED-FC67-428C-B9A4-4E7B87754F89}"/>
    <cellStyle name="40% - Accent2 2 7" xfId="1451" xr:uid="{11575764-CE99-41EE-B28D-FFBCC43F7443}"/>
    <cellStyle name="40% - Accent2 2 8" xfId="1559" xr:uid="{E4852C79-05A7-4F3E-99A6-0FBB548095D0}"/>
    <cellStyle name="40% - Accent2 2 9" xfId="1650" xr:uid="{FFACC301-AF61-4BF8-88D7-68D05A7FD477}"/>
    <cellStyle name="40% - Accent2 20" xfId="1718" xr:uid="{51FD6006-1371-410A-9142-95FE4012E3E3}"/>
    <cellStyle name="40% - Accent2 21" xfId="1810" xr:uid="{43740DB1-544A-4410-B01B-1745563AD85E}"/>
    <cellStyle name="40% - Accent2 22" xfId="1848" xr:uid="{02DE7DDD-3205-41E2-BA0F-95C5F7492F01}"/>
    <cellStyle name="40% - Accent2 23" xfId="1924" xr:uid="{7C88D0B0-C0B8-4593-9872-45F4FC90105E}"/>
    <cellStyle name="40% - Accent2 24" xfId="2012" xr:uid="{AD4EA7DE-2A68-443F-8E34-B043EAC9F25C}"/>
    <cellStyle name="40% - Accent2 25" xfId="2108" xr:uid="{FDEB4F10-17F5-48F8-9838-F4E91A29A251}"/>
    <cellStyle name="40% - Accent2 26" xfId="2158" xr:uid="{DB6E5594-2362-4BCF-883C-DD330D5D0F68}"/>
    <cellStyle name="40% - Accent2 27" xfId="60" xr:uid="{8799A7F5-242C-4257-9996-77243DDBAA15}"/>
    <cellStyle name="40% - Accent2 3" xfId="725" xr:uid="{820ACE02-C853-46A5-B6BE-C96CCC2D1AC5}"/>
    <cellStyle name="40% - Accent2 3 10" xfId="1976" xr:uid="{6F41741D-4A84-4D9A-8002-20703CC66FDD}"/>
    <cellStyle name="40% - Accent2 3 11" xfId="2064" xr:uid="{78AC4328-6719-4014-8C14-2EA8320CB1C0}"/>
    <cellStyle name="40% - Accent2 3 2" xfId="1171" xr:uid="{870169DE-8F56-48BE-AE73-7447F9DC761F}"/>
    <cellStyle name="40% - Accent2 3 3" xfId="1273" xr:uid="{F964B858-EE06-4DA4-83DB-88A5A5989BD6}"/>
    <cellStyle name="40% - Accent2 3 4" xfId="1365" xr:uid="{0D511600-21D9-46E9-8C04-807501D48135}"/>
    <cellStyle name="40% - Accent2 3 5" xfId="1453" xr:uid="{7581EEE3-1602-4C64-A29C-C805B657D3BE}"/>
    <cellStyle name="40% - Accent2 3 6" xfId="1589" xr:uid="{FBC65E6D-200B-42C7-863E-46D537EAEA31}"/>
    <cellStyle name="40% - Accent2 3 7" xfId="1680" xr:uid="{D8800F3E-0E5A-48D2-9109-B31384217CDC}"/>
    <cellStyle name="40% - Accent2 3 8" xfId="1770" xr:uid="{522A66B5-4471-46B7-AB63-0C7E834CEF3F}"/>
    <cellStyle name="40% - Accent2 3 9" xfId="1851" xr:uid="{816EA336-392E-41C3-8BFD-CEEFC94D66F1}"/>
    <cellStyle name="40% - Accent2 4" xfId="773" xr:uid="{183AFDE2-3EC8-419C-8306-31B0E20F42B6}"/>
    <cellStyle name="40% - Accent2 5" xfId="829" xr:uid="{FDF42C77-A73D-4DCB-8B9E-D45651DD5ABD}"/>
    <cellStyle name="40% - Accent2 6" xfId="878" xr:uid="{D4F54361-6F6A-40EA-B69B-28864EA3608C}"/>
    <cellStyle name="40% - Accent2 7" xfId="907" xr:uid="{15CEA784-93D9-441A-B0BC-FDA6F67DE10B}"/>
    <cellStyle name="40% - Accent2 8" xfId="948" xr:uid="{D0EC13D3-B789-4995-8CDF-DD804D60AC24}"/>
    <cellStyle name="40% - Accent2 9" xfId="1004" xr:uid="{7731368F-40B5-49A0-A631-B91840C01A46}"/>
    <cellStyle name="40% - Accent3 10" xfId="1059" xr:uid="{32DD1CC2-55C3-4255-8702-5A7E6116FBEF}"/>
    <cellStyle name="40% - Accent3 11" xfId="1099" xr:uid="{8ADC2649-CB7B-49A3-8864-6A7D4F7216DA}"/>
    <cellStyle name="40% - Accent3 12" xfId="1119" xr:uid="{B565AC0C-2DAC-4C06-99C6-86A21E2BA146}"/>
    <cellStyle name="40% - Accent3 13" xfId="1172" xr:uid="{DC81D2A8-66C0-43DE-AEB5-59BE2683B960}"/>
    <cellStyle name="40% - Accent3 14" xfId="1274" xr:uid="{CB8A41E1-AAEE-41A7-98FC-4BFF2261F02D}"/>
    <cellStyle name="40% - Accent3 15" xfId="1366" xr:uid="{E72E5504-1097-4D62-B2DA-03FD5389BD9F}"/>
    <cellStyle name="40% - Accent3 16" xfId="1454" xr:uid="{7552A9E2-D13E-4F6A-B8C8-A1EA91C3D712}"/>
    <cellStyle name="40% - Accent3 17" xfId="1518" xr:uid="{2BA6F0EB-D1F7-4D8F-9EFD-78C0999849F4}"/>
    <cellStyle name="40% - Accent3 18" xfId="1539" xr:uid="{B1480E43-E42A-45B0-A941-908A26F1666D}"/>
    <cellStyle name="40% - Accent3 19" xfId="1631" xr:uid="{16857A15-4F15-4EBF-B3F1-DB768D11C22E}"/>
    <cellStyle name="40% - Accent3 2" xfId="63" xr:uid="{6F3E426E-404E-433D-ABF3-CC5F017AD583}"/>
    <cellStyle name="40% - Accent3 2 10" xfId="1743" xr:uid="{4C9F1F8A-DEBD-4166-B13E-E1D8545BA9BE}"/>
    <cellStyle name="40% - Accent3 2 11" xfId="1853" xr:uid="{53DE671C-5FA5-4DAA-BDF7-F4451C347B9F}"/>
    <cellStyle name="40% - Accent3 2 12" xfId="1949" xr:uid="{98CE1B0D-E1DA-4164-A4EB-10032CAD840F}"/>
    <cellStyle name="40% - Accent3 2 13" xfId="2037" xr:uid="{FA4B16CC-5A24-4B66-83E3-6D40359F2422}"/>
    <cellStyle name="40% - Accent3 2 14" xfId="2111" xr:uid="{F80657F9-2FA9-4A7B-B2D3-D0DCEC8039AF}"/>
    <cellStyle name="40% - Accent3 2 2" xfId="1007" xr:uid="{729A1368-578E-48EB-888B-DFDF666855BB}"/>
    <cellStyle name="40% - Accent3 2 2 10" xfId="1979" xr:uid="{04D0F738-57D8-44F9-B139-AC675AC596A7}"/>
    <cellStyle name="40% - Accent3 2 2 11" xfId="2067" xr:uid="{6793AEF4-868C-41FB-9FA5-5443C4EBD074}"/>
    <cellStyle name="40% - Accent3 2 2 2" xfId="1174" xr:uid="{3DF9E996-7F20-44AB-8BC2-220BF994B6A5}"/>
    <cellStyle name="40% - Accent3 2 2 3" xfId="1276" xr:uid="{F41AC835-0BFC-4631-AA3D-A10C3AC36203}"/>
    <cellStyle name="40% - Accent3 2 2 4" xfId="1368" xr:uid="{BABF9819-E7C0-4519-B373-21A7C71A1370}"/>
    <cellStyle name="40% - Accent3 2 2 5" xfId="1456" xr:uid="{CA199D8B-177D-4724-B8AF-E47B9991BA4A}"/>
    <cellStyle name="40% - Accent3 2 2 6" xfId="1592" xr:uid="{D2E0BA3F-5116-4FDA-B0C0-5B78ABEBEB5C}"/>
    <cellStyle name="40% - Accent3 2 2 7" xfId="1683" xr:uid="{58BFB2E5-857D-4611-9091-4134C23C8309}"/>
    <cellStyle name="40% - Accent3 2 2 8" xfId="1773" xr:uid="{243895BF-A163-413B-8114-777814DFC1AA}"/>
    <cellStyle name="40% - Accent3 2 2 9" xfId="1854" xr:uid="{6FE3A108-7839-4B03-BF4F-6E439B9E0F51}"/>
    <cellStyle name="40% - Accent3 2 3" xfId="1060" xr:uid="{CA745ED2-0774-48FB-8828-E1A60B2D56E1}"/>
    <cellStyle name="40% - Accent3 2 4" xfId="1173" xr:uid="{A9739FCA-493F-4A2F-ACA7-11341C25B136}"/>
    <cellStyle name="40% - Accent3 2 5" xfId="1275" xr:uid="{B960C67F-6826-40A5-BBB5-51D11AA20E7F}"/>
    <cellStyle name="40% - Accent3 2 6" xfId="1367" xr:uid="{38DFA7D6-1777-4E8F-9B6D-962179EF9DA1}"/>
    <cellStyle name="40% - Accent3 2 7" xfId="1455" xr:uid="{9753C7B7-891E-4A16-94CC-F6A54C732CB5}"/>
    <cellStyle name="40% - Accent3 2 8" xfId="1562" xr:uid="{A3430C79-4BEF-4296-A7DB-2FE31FFE6B8E}"/>
    <cellStyle name="40% - Accent3 2 9" xfId="1653" xr:uid="{5ED5D73F-57A9-46C6-B0D0-6A47966B100A}"/>
    <cellStyle name="40% - Accent3 20" xfId="1721" xr:uid="{F3785F7A-182A-4984-8783-53E9E306ECBE}"/>
    <cellStyle name="40% - Accent3 21" xfId="1811" xr:uid="{8E0216E8-53C7-4F2B-95FC-B1364FB3735D}"/>
    <cellStyle name="40% - Accent3 22" xfId="1852" xr:uid="{C2D77929-2035-4852-B158-25B3C3776F41}"/>
    <cellStyle name="40% - Accent3 23" xfId="1927" xr:uid="{51C53BBB-FE07-4234-B496-B317B6E9F7AA}"/>
    <cellStyle name="40% - Accent3 24" xfId="2015" xr:uid="{81148DA8-6519-431E-BA03-17FC3589929D}"/>
    <cellStyle name="40% - Accent3 25" xfId="2110" xr:uid="{B2BB7E8D-E2BD-4AAB-8E31-1C3E10328F1A}"/>
    <cellStyle name="40% - Accent3 26" xfId="2159" xr:uid="{500179FD-1BBB-426B-8E3F-E07FC1AAAB84}"/>
    <cellStyle name="40% - Accent3 27" xfId="62" xr:uid="{DE29972D-D99E-4848-B68B-06A47D5378CE}"/>
    <cellStyle name="40% - Accent3 3" xfId="726" xr:uid="{DA02AD56-0964-4156-8DD3-9C8B555D85E3}"/>
    <cellStyle name="40% - Accent3 3 10" xfId="1978" xr:uid="{5C762E2E-2400-4319-91A6-53F97D0AAA5C}"/>
    <cellStyle name="40% - Accent3 3 11" xfId="2066" xr:uid="{FE6A3722-FFC9-4383-8965-FBF923978320}"/>
    <cellStyle name="40% - Accent3 3 2" xfId="1175" xr:uid="{BD2984C0-AFBC-4474-A5FD-E26757544CCB}"/>
    <cellStyle name="40% - Accent3 3 3" xfId="1277" xr:uid="{1C36FC4A-588D-46D4-90DB-009E93007A47}"/>
    <cellStyle name="40% - Accent3 3 4" xfId="1369" xr:uid="{3305D6E2-BC16-4056-96F8-32E05CAA48CF}"/>
    <cellStyle name="40% - Accent3 3 5" xfId="1457" xr:uid="{1D572423-E3F4-483D-8F84-7C062069091E}"/>
    <cellStyle name="40% - Accent3 3 6" xfId="1591" xr:uid="{09B522C1-A991-4282-B062-75F288E98070}"/>
    <cellStyle name="40% - Accent3 3 7" xfId="1682" xr:uid="{CD2C687E-48AB-4BFF-9E30-56ABA3E0E3FD}"/>
    <cellStyle name="40% - Accent3 3 8" xfId="1772" xr:uid="{83D681C7-C9D1-4891-97D6-D9F8DC6FED52}"/>
    <cellStyle name="40% - Accent3 3 9" xfId="1855" xr:uid="{518579A2-3204-4C50-9369-B8747B9C1161}"/>
    <cellStyle name="40% - Accent3 4" xfId="774" xr:uid="{6B437CB5-77F8-4204-ADBF-89146D47CB8E}"/>
    <cellStyle name="40% - Accent3 5" xfId="830" xr:uid="{9371DD7B-99FB-44F7-906B-A76428F120A0}"/>
    <cellStyle name="40% - Accent3 6" xfId="879" xr:uid="{C8EFC429-0FEA-468A-9FF1-BB7A080D5806}"/>
    <cellStyle name="40% - Accent3 7" xfId="908" xr:uid="{C37E3468-487E-4876-81E7-9594936C9C1D}"/>
    <cellStyle name="40% - Accent3 8" xfId="949" xr:uid="{E1044D56-0D8A-4DDA-9530-14DA82529090}"/>
    <cellStyle name="40% - Accent3 9" xfId="1006" xr:uid="{28FF85C9-B2E5-40ED-94A7-8A6EDEC5F1D4}"/>
    <cellStyle name="40% - Accent4 10" xfId="1061" xr:uid="{6631AA02-8429-40C6-B3D4-F45A4D3B27F8}"/>
    <cellStyle name="40% - Accent4 11" xfId="1100" xr:uid="{59219916-A6F8-44C2-B8D9-3126A91FA0AD}"/>
    <cellStyle name="40% - Accent4 12" xfId="1120" xr:uid="{26B1C73D-CD50-420F-A3F7-7DF6F9CA652A}"/>
    <cellStyle name="40% - Accent4 13" xfId="1176" xr:uid="{20DC880A-CCCF-448C-9613-44980C045413}"/>
    <cellStyle name="40% - Accent4 14" xfId="1278" xr:uid="{FD82A8F4-AFA2-45BE-94C7-F8D901398ABF}"/>
    <cellStyle name="40% - Accent4 15" xfId="1370" xr:uid="{13D568ED-412C-4D7E-BFC2-65A8DF225AF1}"/>
    <cellStyle name="40% - Accent4 16" xfId="1458" xr:uid="{97F2F82E-9CFC-4104-8EC1-A80943285BA7}"/>
    <cellStyle name="40% - Accent4 17" xfId="1519" xr:uid="{0534574E-9C04-44F7-8D65-2665B99A155C}"/>
    <cellStyle name="40% - Accent4 18" xfId="1543" xr:uid="{096AB5AB-1935-410D-B5D4-57AEA60100AD}"/>
    <cellStyle name="40% - Accent4 19" xfId="1634" xr:uid="{485D90C8-4BC5-404C-8415-011199794CE9}"/>
    <cellStyle name="40% - Accent4 2" xfId="65" xr:uid="{FF54E1F7-FEE6-4005-B6C7-1C415B9E5A51}"/>
    <cellStyle name="40% - Accent4 2 10" xfId="1746" xr:uid="{BDDAA0F9-0E4C-4D8D-8589-5F45222268D3}"/>
    <cellStyle name="40% - Accent4 2 11" xfId="1857" xr:uid="{37F68B70-F038-4AEF-9E0A-028DE03AAF0D}"/>
    <cellStyle name="40% - Accent4 2 12" xfId="1952" xr:uid="{BB5ADCD4-255C-4DEC-AB44-8BE610BAF114}"/>
    <cellStyle name="40% - Accent4 2 13" xfId="2040" xr:uid="{82062820-D9DC-4E3C-B3E3-FD74736124AE}"/>
    <cellStyle name="40% - Accent4 2 14" xfId="2113" xr:uid="{5419BB31-712B-4518-884D-431212302EE7}"/>
    <cellStyle name="40% - Accent4 2 2" xfId="1009" xr:uid="{EE10BA02-685A-4D13-B97B-43049591FD5C}"/>
    <cellStyle name="40% - Accent4 2 2 10" xfId="1981" xr:uid="{3517C0EB-EEE5-48CC-934C-1263F4B92168}"/>
    <cellStyle name="40% - Accent4 2 2 11" xfId="2069" xr:uid="{72950FFC-6429-44A2-9E40-F07756DB8440}"/>
    <cellStyle name="40% - Accent4 2 2 2" xfId="1178" xr:uid="{7996FF80-4CD8-4394-9B3D-C4138C1BB6D3}"/>
    <cellStyle name="40% - Accent4 2 2 3" xfId="1280" xr:uid="{B369DAB9-CCE6-4638-BDA0-DEE3D8953CD5}"/>
    <cellStyle name="40% - Accent4 2 2 4" xfId="1372" xr:uid="{42C3AA16-4B14-4146-BF0E-43A3961A2054}"/>
    <cellStyle name="40% - Accent4 2 2 5" xfId="1460" xr:uid="{A38E2699-A5D5-4CED-B166-E1665BE48607}"/>
    <cellStyle name="40% - Accent4 2 2 6" xfId="1594" xr:uid="{5ABA30D7-A099-498F-A5FF-19C996120A3A}"/>
    <cellStyle name="40% - Accent4 2 2 7" xfId="1685" xr:uid="{90F3E136-D4F6-4C0B-BC5A-2F00042EB7CC}"/>
    <cellStyle name="40% - Accent4 2 2 8" xfId="1775" xr:uid="{34A11680-AF3C-4966-B61F-260E449D2D3A}"/>
    <cellStyle name="40% - Accent4 2 2 9" xfId="1858" xr:uid="{D4FD00E8-68C1-49DE-8F2A-D6D6F1DD628B}"/>
    <cellStyle name="40% - Accent4 2 3" xfId="1062" xr:uid="{CC4BF193-E5FB-4594-AAA1-A7D55F384CD1}"/>
    <cellStyle name="40% - Accent4 2 4" xfId="1177" xr:uid="{837F3BEA-504C-42D7-81D6-66656F86B226}"/>
    <cellStyle name="40% - Accent4 2 5" xfId="1279" xr:uid="{7AF74226-4211-4905-BAC5-FA50C70E2798}"/>
    <cellStyle name="40% - Accent4 2 6" xfId="1371" xr:uid="{D1FFA6EA-297B-4900-9B15-E7D740DE75E3}"/>
    <cellStyle name="40% - Accent4 2 7" xfId="1459" xr:uid="{2B1F97AE-21D8-456D-8CAA-1CA3ED5CA3D6}"/>
    <cellStyle name="40% - Accent4 2 8" xfId="1565" xr:uid="{86FD49B9-DE3D-4575-B023-B96590962686}"/>
    <cellStyle name="40% - Accent4 2 9" xfId="1656" xr:uid="{AB4A272E-1162-440E-9D6B-36864CBF748D}"/>
    <cellStyle name="40% - Accent4 20" xfId="1724" xr:uid="{703911CC-8E0B-4AE5-ACBE-4330C1130EED}"/>
    <cellStyle name="40% - Accent4 21" xfId="1812" xr:uid="{A2BF5C3B-3223-4250-853D-54C060B77E6B}"/>
    <cellStyle name="40% - Accent4 22" xfId="1856" xr:uid="{C568CE37-0B50-48A5-999B-81E6D7FEE141}"/>
    <cellStyle name="40% - Accent4 23" xfId="1930" xr:uid="{2E20C7AF-2DAE-464D-96B1-8224DA824544}"/>
    <cellStyle name="40% - Accent4 24" xfId="2018" xr:uid="{681CC1B1-724B-4D77-A1E0-91E4BFE69C57}"/>
    <cellStyle name="40% - Accent4 25" xfId="2112" xr:uid="{154A4AA9-F64F-49D2-BB1A-8C8D35B34FBC}"/>
    <cellStyle name="40% - Accent4 26" xfId="2160" xr:uid="{E4A0F4A8-C873-49E5-A082-9CFA93846EB0}"/>
    <cellStyle name="40% - Accent4 27" xfId="64" xr:uid="{3AE2E928-D9A2-4CFA-9525-998F682179CC}"/>
    <cellStyle name="40% - Accent4 3" xfId="727" xr:uid="{DC6B2C8C-0C16-4153-9E65-63AA2B6EC4D4}"/>
    <cellStyle name="40% - Accent4 3 10" xfId="1980" xr:uid="{BC5C7C7A-98A1-40D1-A380-0A758952AAF5}"/>
    <cellStyle name="40% - Accent4 3 11" xfId="2068" xr:uid="{5F07CB2B-A6D1-486E-AA78-38F1E76A484A}"/>
    <cellStyle name="40% - Accent4 3 2" xfId="1179" xr:uid="{EA939618-4924-4A71-A298-744DC2C44026}"/>
    <cellStyle name="40% - Accent4 3 3" xfId="1281" xr:uid="{ECB2084F-A759-4350-B072-A1AB77AD7169}"/>
    <cellStyle name="40% - Accent4 3 4" xfId="1373" xr:uid="{61082BCE-412C-4973-B132-C6E7BD2F49EB}"/>
    <cellStyle name="40% - Accent4 3 5" xfId="1461" xr:uid="{391B55DC-5B21-4387-AF52-E796F3279CB9}"/>
    <cellStyle name="40% - Accent4 3 6" xfId="1593" xr:uid="{03C57F47-05C1-4388-8697-55DAB4D6679D}"/>
    <cellStyle name="40% - Accent4 3 7" xfId="1684" xr:uid="{75150EB0-A643-4EC7-A4F1-4F467E4F28CF}"/>
    <cellStyle name="40% - Accent4 3 8" xfId="1774" xr:uid="{95507DE1-ACEB-4811-AD57-724EA8178528}"/>
    <cellStyle name="40% - Accent4 3 9" xfId="1859" xr:uid="{8C9566BA-3AC5-4121-B647-3E63AB912750}"/>
    <cellStyle name="40% - Accent4 4" xfId="775" xr:uid="{C91D2B20-E929-40FC-A693-F56C15490D87}"/>
    <cellStyle name="40% - Accent4 5" xfId="831" xr:uid="{D358CBFB-A797-4960-84C1-9C5AAD3634A2}"/>
    <cellStyle name="40% - Accent4 6" xfId="880" xr:uid="{F856FAC5-01C8-48F2-84C2-2745C305088E}"/>
    <cellStyle name="40% - Accent4 7" xfId="909" xr:uid="{F16B6A3B-2E3A-47B0-B68D-01CACEF045F8}"/>
    <cellStyle name="40% - Accent4 8" xfId="950" xr:uid="{98835F5F-29B6-4FE7-A3E8-CB7D1EF5F5F1}"/>
    <cellStyle name="40% - Accent4 9" xfId="1008" xr:uid="{C62AFF87-4CE3-4B7C-BA03-21266F680B18}"/>
    <cellStyle name="40% - Accent5 10" xfId="1063" xr:uid="{34E05AD8-CB42-4A7A-832F-F91D3CA201CA}"/>
    <cellStyle name="40% - Accent5 11" xfId="1101" xr:uid="{E94E64A2-C035-44BD-8D07-B361FB879E26}"/>
    <cellStyle name="40% - Accent5 12" xfId="1121" xr:uid="{62455044-66B1-4455-BFF0-B1C4B4A1497C}"/>
    <cellStyle name="40% - Accent5 13" xfId="1180" xr:uid="{7BEAF237-A51C-4C3E-90D9-80AD03C896CF}"/>
    <cellStyle name="40% - Accent5 14" xfId="1282" xr:uid="{A64FE69D-ED0C-4215-A820-5E18FAE1A089}"/>
    <cellStyle name="40% - Accent5 15" xfId="1374" xr:uid="{AE48DF58-DABA-4148-8DA6-5BFC89F6627D}"/>
    <cellStyle name="40% - Accent5 16" xfId="1462" xr:uid="{654AEA28-205D-4079-91E6-09106F7A12AB}"/>
    <cellStyle name="40% - Accent5 17" xfId="1520" xr:uid="{87ADDC49-887B-4918-8553-85323A1459A9}"/>
    <cellStyle name="40% - Accent5 18" xfId="1546" xr:uid="{5F3DEAEF-5A4E-4205-B779-FE2777CE835F}"/>
    <cellStyle name="40% - Accent5 19" xfId="1637" xr:uid="{0B1D3206-4220-4C25-9A41-642A6E12DCCE}"/>
    <cellStyle name="40% - Accent5 2" xfId="67" xr:uid="{2BDD43DB-CC4B-4BD7-807A-ACB1F2F1D4BB}"/>
    <cellStyle name="40% - Accent5 2 10" xfId="1749" xr:uid="{306278CD-05F9-4228-9841-03CE93C897BF}"/>
    <cellStyle name="40% - Accent5 2 11" xfId="1861" xr:uid="{DFC94C6A-24F7-45A5-B73F-A9201A0A0EE0}"/>
    <cellStyle name="40% - Accent5 2 12" xfId="1955" xr:uid="{7AA81377-8BD1-4037-A8AC-9BD2E87A994E}"/>
    <cellStyle name="40% - Accent5 2 13" xfId="2043" xr:uid="{72550769-786D-4D6E-88E1-ADD2C644FB59}"/>
    <cellStyle name="40% - Accent5 2 14" xfId="2115" xr:uid="{E9366353-8D32-4D09-9DE8-6143974EC40E}"/>
    <cellStyle name="40% - Accent5 2 2" xfId="1011" xr:uid="{02808D64-C5BD-4CD9-BC30-F97C2B605444}"/>
    <cellStyle name="40% - Accent5 2 2 10" xfId="1983" xr:uid="{AA1340A6-D35D-4401-9CCF-D9B422BD0F72}"/>
    <cellStyle name="40% - Accent5 2 2 11" xfId="2071" xr:uid="{98BED89C-2CAD-4A04-AF19-763142E9177C}"/>
    <cellStyle name="40% - Accent5 2 2 2" xfId="1182" xr:uid="{58CBF312-4B01-4A06-AD47-CE88E33065C7}"/>
    <cellStyle name="40% - Accent5 2 2 3" xfId="1284" xr:uid="{903D807E-DCBA-4C9A-8E8E-3438050C8D55}"/>
    <cellStyle name="40% - Accent5 2 2 4" xfId="1376" xr:uid="{A3D6EB94-860E-4ED2-BD01-13158BDE47EA}"/>
    <cellStyle name="40% - Accent5 2 2 5" xfId="1464" xr:uid="{A63D3482-9D1C-4628-87E9-6D16A3980174}"/>
    <cellStyle name="40% - Accent5 2 2 6" xfId="1596" xr:uid="{5E637D56-E54C-41BD-BA79-FB36B63E99B2}"/>
    <cellStyle name="40% - Accent5 2 2 7" xfId="1687" xr:uid="{B92E881E-0685-47BF-8DF9-67115BADABE8}"/>
    <cellStyle name="40% - Accent5 2 2 8" xfId="1777" xr:uid="{B4EF0505-156F-4E10-8C62-BBE2514FDB72}"/>
    <cellStyle name="40% - Accent5 2 2 9" xfId="1862" xr:uid="{B36FA541-5404-47C4-AD06-625F3A2B5B54}"/>
    <cellStyle name="40% - Accent5 2 3" xfId="1064" xr:uid="{25BA19B2-40F9-4A98-AE4B-FFCF2AD2C5EB}"/>
    <cellStyle name="40% - Accent5 2 4" xfId="1181" xr:uid="{3133276F-759D-4C46-AA14-C23E72A5A5B8}"/>
    <cellStyle name="40% - Accent5 2 5" xfId="1283" xr:uid="{39F440E3-82C9-4746-8721-FE5C59071830}"/>
    <cellStyle name="40% - Accent5 2 6" xfId="1375" xr:uid="{D939C2A7-4797-4154-8BA8-8815B73CA1F9}"/>
    <cellStyle name="40% - Accent5 2 7" xfId="1463" xr:uid="{0CF9D17C-FCBD-4E69-902C-1AEC55B4A5E2}"/>
    <cellStyle name="40% - Accent5 2 8" xfId="1568" xr:uid="{BE8A77E3-F27D-4B2D-BC11-38690BF93FD3}"/>
    <cellStyle name="40% - Accent5 2 9" xfId="1659" xr:uid="{D44E7FEE-D9C6-44B2-8BC3-633A2027130E}"/>
    <cellStyle name="40% - Accent5 20" xfId="1727" xr:uid="{D42F5C90-4558-4865-810E-9852C3E5D080}"/>
    <cellStyle name="40% - Accent5 21" xfId="1813" xr:uid="{4EAF5A31-7AEC-4A83-BDE9-0FEB62272872}"/>
    <cellStyle name="40% - Accent5 22" xfId="1860" xr:uid="{813CB5EC-927E-40E2-885A-A1F608900B23}"/>
    <cellStyle name="40% - Accent5 23" xfId="1933" xr:uid="{C148871C-0BFA-41C9-AD84-5B08BAB93F8A}"/>
    <cellStyle name="40% - Accent5 24" xfId="2021" xr:uid="{6771D197-1EAD-4C99-9735-50170A80574F}"/>
    <cellStyle name="40% - Accent5 25" xfId="2114" xr:uid="{DCBF5087-85D4-4A60-8BB2-5CA55486D414}"/>
    <cellStyle name="40% - Accent5 26" xfId="2161" xr:uid="{11BD4F65-77B2-42DA-B922-80F0987D2EAC}"/>
    <cellStyle name="40% - Accent5 27" xfId="66" xr:uid="{E61895BF-DC18-4ED5-A5E0-1EF33B7D0AC8}"/>
    <cellStyle name="40% - Accent5 3" xfId="728" xr:uid="{24B49341-2CBA-478C-B7FE-96A1777D0E38}"/>
    <cellStyle name="40% - Accent5 3 10" xfId="1982" xr:uid="{7FFE4E29-05D8-46DD-8E07-C8714B276278}"/>
    <cellStyle name="40% - Accent5 3 11" xfId="2070" xr:uid="{6CE49058-E766-492B-ACAB-E90C59A3B1A7}"/>
    <cellStyle name="40% - Accent5 3 2" xfId="1183" xr:uid="{77DF77E6-0D9E-4CE7-AF48-93C69A0815A4}"/>
    <cellStyle name="40% - Accent5 3 3" xfId="1285" xr:uid="{06B08E80-7EA0-4425-9192-C79BD051856D}"/>
    <cellStyle name="40% - Accent5 3 4" xfId="1377" xr:uid="{C6D84A37-419A-4528-820D-2E26A053C89B}"/>
    <cellStyle name="40% - Accent5 3 5" xfId="1465" xr:uid="{EE4E3D74-1728-4312-9365-246767BE7F95}"/>
    <cellStyle name="40% - Accent5 3 6" xfId="1595" xr:uid="{C7DDF5AE-9B0B-4E7F-BBF9-30711BA1C4E2}"/>
    <cellStyle name="40% - Accent5 3 7" xfId="1686" xr:uid="{34FCED22-EE0D-47BC-9204-8595ACABC905}"/>
    <cellStyle name="40% - Accent5 3 8" xfId="1776" xr:uid="{36BB77FD-0D27-4193-850B-3E4D3C49C554}"/>
    <cellStyle name="40% - Accent5 3 9" xfId="1863" xr:uid="{02834D2F-1301-411F-8746-0B7CC34BB1F3}"/>
    <cellStyle name="40% - Accent5 4" xfId="776" xr:uid="{6D355AF6-D0A1-4D8E-B587-F09EFDB9F986}"/>
    <cellStyle name="40% - Accent5 5" xfId="832" xr:uid="{B454B847-9DC5-4097-A5F9-A52F5E98696E}"/>
    <cellStyle name="40% - Accent5 6" xfId="881" xr:uid="{D2B02641-46F7-4935-9426-3C69102A87AB}"/>
    <cellStyle name="40% - Accent5 7" xfId="910" xr:uid="{5CBAD107-08B1-4A50-90DE-3CA3C5006628}"/>
    <cellStyle name="40% - Accent5 8" xfId="951" xr:uid="{2371F4FF-3E29-41A9-B68A-39C705B6134D}"/>
    <cellStyle name="40% - Accent5 9" xfId="1010" xr:uid="{8A7FAE28-29EB-4B5E-8F2B-FD44E7A4CDFF}"/>
    <cellStyle name="40% - Accent6 10" xfId="1065" xr:uid="{112FBECB-6EFE-4BA7-90DA-80C96544D35B}"/>
    <cellStyle name="40% - Accent6 11" xfId="1102" xr:uid="{009934AF-FB3B-49F8-810C-7B13DEE1099A}"/>
    <cellStyle name="40% - Accent6 12" xfId="1122" xr:uid="{65D9F420-2B9E-4CDB-9F60-F0CCD7EBDCEB}"/>
    <cellStyle name="40% - Accent6 13" xfId="1184" xr:uid="{7C2870D3-578E-4A4A-B58B-6A6857125642}"/>
    <cellStyle name="40% - Accent6 14" xfId="1286" xr:uid="{F2F591B0-4812-4F17-8D66-9243B9D7EADF}"/>
    <cellStyle name="40% - Accent6 15" xfId="1378" xr:uid="{6CF80347-4585-4C83-A3C9-E9229B8EF31E}"/>
    <cellStyle name="40% - Accent6 16" xfId="1466" xr:uid="{CFFD84EE-BF89-4223-9707-3AC0843E49F7}"/>
    <cellStyle name="40% - Accent6 17" xfId="1521" xr:uid="{FAD55909-11FA-4442-B683-BC2AE5F7088A}"/>
    <cellStyle name="40% - Accent6 18" xfId="1549" xr:uid="{9B1FD2CE-5B2B-481A-9B25-9CB236CF6B85}"/>
    <cellStyle name="40% - Accent6 19" xfId="1640" xr:uid="{DFD15A53-264E-4DC7-BBCF-CB8A08EAF22E}"/>
    <cellStyle name="40% - Accent6 2" xfId="69" xr:uid="{91AE6E29-5F38-4019-822A-FEC163CF4013}"/>
    <cellStyle name="40% - Accent6 2 10" xfId="1752" xr:uid="{8E97E368-EDF2-43C9-930B-F806BE9D289C}"/>
    <cellStyle name="40% - Accent6 2 11" xfId="1865" xr:uid="{24EE65A8-9DD9-4040-951B-16C26FD4CE4E}"/>
    <cellStyle name="40% - Accent6 2 12" xfId="1958" xr:uid="{E82AAB37-1341-4E08-A387-4933ADFB15FD}"/>
    <cellStyle name="40% - Accent6 2 13" xfId="2046" xr:uid="{6FA03F01-D311-4260-B5AD-4E1146FB4F71}"/>
    <cellStyle name="40% - Accent6 2 14" xfId="2117" xr:uid="{DAD9270C-97DF-433B-9A69-108C456F18B9}"/>
    <cellStyle name="40% - Accent6 2 2" xfId="1013" xr:uid="{C18B0B4C-D38A-4613-A188-55D978927CFB}"/>
    <cellStyle name="40% - Accent6 2 2 10" xfId="1985" xr:uid="{1D442E3E-318F-4E98-8998-BE50EAAC032D}"/>
    <cellStyle name="40% - Accent6 2 2 11" xfId="2073" xr:uid="{0AC9D12A-5ADC-4F5D-BA6C-8FB2246D1D49}"/>
    <cellStyle name="40% - Accent6 2 2 2" xfId="1186" xr:uid="{C5F29E03-3CED-4189-95DA-BD7ACAF5C92B}"/>
    <cellStyle name="40% - Accent6 2 2 3" xfId="1288" xr:uid="{0ACB5644-3EEE-49EF-948B-74016847CA9A}"/>
    <cellStyle name="40% - Accent6 2 2 4" xfId="1380" xr:uid="{51B2BC49-7326-43E7-8A07-5B5576FB2C1C}"/>
    <cellStyle name="40% - Accent6 2 2 5" xfId="1468" xr:uid="{8269FE72-AC37-476A-B9F0-59D14402D803}"/>
    <cellStyle name="40% - Accent6 2 2 6" xfId="1598" xr:uid="{B418C7F3-67CC-4662-8690-0263315C38DA}"/>
    <cellStyle name="40% - Accent6 2 2 7" xfId="1689" xr:uid="{119B2B1D-170A-4F35-B746-C0C12608465A}"/>
    <cellStyle name="40% - Accent6 2 2 8" xfId="1779" xr:uid="{B25D9863-8971-4B76-8E91-D5A0A4961C2F}"/>
    <cellStyle name="40% - Accent6 2 2 9" xfId="1866" xr:uid="{9FD48A64-98FB-4769-8FB0-47158AF8507D}"/>
    <cellStyle name="40% - Accent6 2 3" xfId="1066" xr:uid="{D9D62210-B7E1-4FC5-8F7C-AA637F8DAAD1}"/>
    <cellStyle name="40% - Accent6 2 4" xfId="1185" xr:uid="{D2ED62D8-93DF-4080-B1AA-43DB5AF8CB97}"/>
    <cellStyle name="40% - Accent6 2 5" xfId="1287" xr:uid="{5D58631A-EA0C-44D9-9D69-0C3015982B1B}"/>
    <cellStyle name="40% - Accent6 2 6" xfId="1379" xr:uid="{0736419C-DA72-459D-A617-8F4D461F7202}"/>
    <cellStyle name="40% - Accent6 2 7" xfId="1467" xr:uid="{ADC1A295-4E67-4EDE-AE91-D7BF038C91FC}"/>
    <cellStyle name="40% - Accent6 2 8" xfId="1571" xr:uid="{F19477EC-08F5-483F-A5D0-539774A8A488}"/>
    <cellStyle name="40% - Accent6 2 9" xfId="1662" xr:uid="{38CFF7F6-ADC6-4616-B272-90E5141F3C24}"/>
    <cellStyle name="40% - Accent6 20" xfId="1730" xr:uid="{C863CB3D-A317-4B3E-B493-66A1BE7A8454}"/>
    <cellStyle name="40% - Accent6 21" xfId="1814" xr:uid="{13680CAD-10AB-47B3-94EB-A720C310EBA2}"/>
    <cellStyle name="40% - Accent6 22" xfId="1864" xr:uid="{45E20417-40D2-4ED2-81F1-37BE518BCD5B}"/>
    <cellStyle name="40% - Accent6 23" xfId="1936" xr:uid="{AD5028C4-4015-4B79-BC0A-302D55BC3826}"/>
    <cellStyle name="40% - Accent6 24" xfId="2024" xr:uid="{9D97B774-F69C-449A-A0BE-F26206D56867}"/>
    <cellStyle name="40% - Accent6 25" xfId="2116" xr:uid="{E967BC4E-C79B-4170-A57C-C0377D03F7C2}"/>
    <cellStyle name="40% - Accent6 26" xfId="2162" xr:uid="{4FFBB905-7560-420B-A990-DBD6B3A2D8E4}"/>
    <cellStyle name="40% - Accent6 27" xfId="68" xr:uid="{761094EA-054D-48D6-BD23-FAD797693F58}"/>
    <cellStyle name="40% - Accent6 3" xfId="729" xr:uid="{9BBA7C97-D355-4C9B-A063-584069CBFADE}"/>
    <cellStyle name="40% - Accent6 3 10" xfId="1984" xr:uid="{8F009B6D-D0DA-45E9-8E13-BE3E0226222B}"/>
    <cellStyle name="40% - Accent6 3 11" xfId="2072" xr:uid="{3D497B8B-991A-4397-AC18-E83A6B3E9E68}"/>
    <cellStyle name="40% - Accent6 3 2" xfId="1187" xr:uid="{9500BD11-50A2-4508-B25E-F63C0C740571}"/>
    <cellStyle name="40% - Accent6 3 3" xfId="1289" xr:uid="{C8FA25C6-EFAA-4168-A647-1DCC41DB134E}"/>
    <cellStyle name="40% - Accent6 3 4" xfId="1381" xr:uid="{7838F1A5-103C-47FA-8046-B091CA13FE5D}"/>
    <cellStyle name="40% - Accent6 3 5" xfId="1469" xr:uid="{4947ECA1-4B0D-452D-800E-0C234109B5EC}"/>
    <cellStyle name="40% - Accent6 3 6" xfId="1597" xr:uid="{CA1B5BDB-2E09-42AE-AF84-67AEDE7A04C3}"/>
    <cellStyle name="40% - Accent6 3 7" xfId="1688" xr:uid="{0B0C2328-79A2-404B-8219-42E7CCFC9635}"/>
    <cellStyle name="40% - Accent6 3 8" xfId="1778" xr:uid="{8C0744E3-C266-4836-AD55-8C23FBC9D2AC}"/>
    <cellStyle name="40% - Accent6 3 9" xfId="1867" xr:uid="{5177CDF6-2A3D-4744-BFAC-07BE3E0C3839}"/>
    <cellStyle name="40% - Accent6 4" xfId="777" xr:uid="{FCAD4B79-D5CC-45B9-B88F-DC3D787CB302}"/>
    <cellStyle name="40% - Accent6 5" xfId="833" xr:uid="{9AB494B3-62D5-40C4-9AB6-6D288581DE73}"/>
    <cellStyle name="40% - Accent6 6" xfId="882" xr:uid="{B716D0A0-1988-4E58-ABC2-7B5BC07AE890}"/>
    <cellStyle name="40% - Accent6 7" xfId="911" xr:uid="{BC4E9C5E-6984-4BA8-8053-CE77C086229F}"/>
    <cellStyle name="40% - Accent6 8" xfId="952" xr:uid="{A1FD17FB-CFD0-4F77-8CD7-7D8CCBF0E482}"/>
    <cellStyle name="40% - Accent6 9" xfId="1012" xr:uid="{7A01D1CE-687F-4EF8-A783-7E9E6C2930AC}"/>
    <cellStyle name="4dp" xfId="70" xr:uid="{9E7BB919-434B-42BE-BD02-14DED2ABB36D}"/>
    <cellStyle name="4dp 2" xfId="71" xr:uid="{CF50199F-068D-4715-9A5B-2B4F4ADD34B3}"/>
    <cellStyle name="4dp 2 2" xfId="559" xr:uid="{F0FB8D29-6900-46E3-874C-9BD8194750B9}"/>
    <cellStyle name="4dp 3" xfId="558" xr:uid="{F30001D7-5C4C-4195-AEB8-B7B567A14E9C}"/>
    <cellStyle name="60% - Accent1 10" xfId="1534" xr:uid="{599DAF2E-B1DE-4D75-A87B-4400CD727E1E}"/>
    <cellStyle name="60% - Accent1 11" xfId="1626" xr:uid="{B61CCFC6-BD70-4272-9BDD-D1C06222D211}"/>
    <cellStyle name="60% - Accent1 12" xfId="1716" xr:uid="{29583F13-B89C-4B5D-990D-7E573CE3102F}"/>
    <cellStyle name="60% - Accent1 13" xfId="1922" xr:uid="{CA305211-A89F-4304-9802-BEFE90090258}"/>
    <cellStyle name="60% - Accent1 14" xfId="2010" xr:uid="{50E04C7F-7EA6-4B3F-BB17-811C1164C85A}"/>
    <cellStyle name="60% - Accent1 15" xfId="72" xr:uid="{B55466EC-8EE9-4C14-9C81-E493DA58CCE8}"/>
    <cellStyle name="60% - Accent1 2" xfId="73" xr:uid="{65B5B86A-1812-4905-AE02-37A70051D228}"/>
    <cellStyle name="60% - Accent1 2 10" xfId="1738" xr:uid="{5BF47B1C-767A-4AE6-96EC-B69CF59B559E}"/>
    <cellStyle name="60% - Accent1 2 11" xfId="1868" xr:uid="{3B92CCC9-AE54-453B-A10B-13CF313107C8}"/>
    <cellStyle name="60% - Accent1 2 12" xfId="1944" xr:uid="{F63EFD32-41AF-4E59-B609-92412676F996}"/>
    <cellStyle name="60% - Accent1 2 13" xfId="2032" xr:uid="{B16FC5CA-6DD6-4AA3-A7CE-347A464DCFE3}"/>
    <cellStyle name="60% - Accent1 2 14" xfId="2118" xr:uid="{F59D5FAC-7A6B-45E2-B390-8BD7704C1A62}"/>
    <cellStyle name="60% - Accent1 2 2" xfId="1015" xr:uid="{BDDD4CE9-4885-454E-9763-006C022B17AF}"/>
    <cellStyle name="60% - Accent1 2 2 10" xfId="1987" xr:uid="{7D408837-4235-4140-B24B-F2C8D1E3EE91}"/>
    <cellStyle name="60% - Accent1 2 2 11" xfId="2075" xr:uid="{C4AD14E2-12F5-4438-8727-1AEB241594C8}"/>
    <cellStyle name="60% - Accent1 2 2 2" xfId="1190" xr:uid="{CF161450-F92B-4A76-9C2C-79939642783C}"/>
    <cellStyle name="60% - Accent1 2 2 3" xfId="1292" xr:uid="{936816D2-1E02-4B3C-8F88-95A56D6B587E}"/>
    <cellStyle name="60% - Accent1 2 2 4" xfId="1384" xr:uid="{780C64DF-2860-45F6-B06E-4CCC615E16D8}"/>
    <cellStyle name="60% - Accent1 2 2 5" xfId="1472" xr:uid="{982FE7EC-90B0-4382-BC28-022657F20C52}"/>
    <cellStyle name="60% - Accent1 2 2 6" xfId="1600" xr:uid="{2A2B359C-C51A-405E-8F61-76866855BBBB}"/>
    <cellStyle name="60% - Accent1 2 2 7" xfId="1691" xr:uid="{5313B1A8-3676-4AF8-B2F0-79198172D2EA}"/>
    <cellStyle name="60% - Accent1 2 2 8" xfId="1781" xr:uid="{33908535-090A-4709-AAA4-DC438CDE83A5}"/>
    <cellStyle name="60% - Accent1 2 2 9" xfId="1869" xr:uid="{E50AAC6A-6105-449E-803A-CE4F08A7DB89}"/>
    <cellStyle name="60% - Accent1 2 3" xfId="1068" xr:uid="{83F02323-66F3-4187-A4CD-5A0559AD7448}"/>
    <cellStyle name="60% - Accent1 2 4" xfId="1189" xr:uid="{1959A896-A054-4622-B5EA-4C9DD26CCE57}"/>
    <cellStyle name="60% - Accent1 2 5" xfId="1291" xr:uid="{10C8141A-FE82-4EF2-B218-16190F5B08A5}"/>
    <cellStyle name="60% - Accent1 2 6" xfId="1383" xr:uid="{B9E3D376-2A22-4E24-BDDE-7416D8578C89}"/>
    <cellStyle name="60% - Accent1 2 7" xfId="1471" xr:uid="{1E624504-E4B7-4074-B4FF-C1C8CC768924}"/>
    <cellStyle name="60% - Accent1 2 8" xfId="1557" xr:uid="{09FFACB7-07FF-45AA-A901-7F0FF3254179}"/>
    <cellStyle name="60% - Accent1 2 9" xfId="1648" xr:uid="{130F30D4-DB78-4658-B5A2-1DFEBABA14C1}"/>
    <cellStyle name="60% - Accent1 3" xfId="730" xr:uid="{CB1794D1-E2A9-4B8A-9D8A-D4E62314EC31}"/>
    <cellStyle name="60% - Accent1 3 10" xfId="1986" xr:uid="{78DD4F38-1B0C-4225-A2CF-953AE0A3F6FB}"/>
    <cellStyle name="60% - Accent1 3 11" xfId="2074" xr:uid="{D31E8463-7F99-4940-9B13-4200105EE835}"/>
    <cellStyle name="60% - Accent1 3 2" xfId="1191" xr:uid="{ACFEF763-BF68-40AE-AB74-23606C0C12CF}"/>
    <cellStyle name="60% - Accent1 3 3" xfId="1293" xr:uid="{E7AF251D-5F85-4876-8458-BDB58EA8BCC3}"/>
    <cellStyle name="60% - Accent1 3 4" xfId="1385" xr:uid="{07889C84-EFAB-46D5-BB65-CE0EFBBE2322}"/>
    <cellStyle name="60% - Accent1 3 5" xfId="1473" xr:uid="{4EBD89DE-3106-4F1A-8703-AC64BFACD3C3}"/>
    <cellStyle name="60% - Accent1 3 6" xfId="1599" xr:uid="{8788EAE9-3F4B-4698-BF24-B0C36BBE4A26}"/>
    <cellStyle name="60% - Accent1 3 7" xfId="1690" xr:uid="{906E4BFE-01A9-449A-BA1E-05B4C703B1BB}"/>
    <cellStyle name="60% - Accent1 3 8" xfId="1780" xr:uid="{7A2CEE17-2808-437E-89AC-96AEDDCE58CD}"/>
    <cellStyle name="60% - Accent1 3 9" xfId="1870" xr:uid="{C45F2B18-DE72-4DC2-9D22-892BC605AE2E}"/>
    <cellStyle name="60% - Accent1 4" xfId="1014" xr:uid="{42A84D3E-4AB9-43E5-8306-A55B3F3341E4}"/>
    <cellStyle name="60% - Accent1 4 2" xfId="1871" xr:uid="{084E9178-2E08-46C4-9A6D-C1F5FD957E47}"/>
    <cellStyle name="60% - Accent1 5" xfId="1067" xr:uid="{B89DFC54-16FC-400C-94EE-C74F439B1512}"/>
    <cellStyle name="60% - Accent1 6" xfId="1188" xr:uid="{BA91FD63-D6C9-43F3-9EAB-2A9922C167CF}"/>
    <cellStyle name="60% - Accent1 7" xfId="1290" xr:uid="{ED157210-6E19-42FF-946A-2E829B279FA7}"/>
    <cellStyle name="60% - Accent1 8" xfId="1382" xr:uid="{497CE193-1456-4FF3-99D6-68E180A4759F}"/>
    <cellStyle name="60% - Accent1 9" xfId="1470" xr:uid="{A5E2CBC2-F5A6-4567-8911-A552E8694ED2}"/>
    <cellStyle name="60% - Accent2 10" xfId="1537" xr:uid="{4650EDA6-4D25-4F54-BBF8-BD1D4DBF9DA9}"/>
    <cellStyle name="60% - Accent2 11" xfId="1629" xr:uid="{9A2FFDBD-9886-4744-8D66-3A685C310985}"/>
    <cellStyle name="60% - Accent2 12" xfId="1719" xr:uid="{D9BDFBA5-949C-4F64-8394-D5FAEE15B62C}"/>
    <cellStyle name="60% - Accent2 13" xfId="1925" xr:uid="{E0F41914-79CA-40A2-BD1E-209B8B160A64}"/>
    <cellStyle name="60% - Accent2 14" xfId="2013" xr:uid="{CA2F482B-A60F-4163-B1A1-9BB2C0EE59F5}"/>
    <cellStyle name="60% - Accent2 15" xfId="74" xr:uid="{EF51865E-D550-4709-B2D8-CFECE76EBA0D}"/>
    <cellStyle name="60% - Accent2 2" xfId="75" xr:uid="{D843E47C-337D-4BDC-BA48-87FA6F5014BA}"/>
    <cellStyle name="60% - Accent2 2 10" xfId="1741" xr:uid="{4FF24803-F30B-4923-8887-BBBF57018E0A}"/>
    <cellStyle name="60% - Accent2 2 11" xfId="1872" xr:uid="{DBACB203-AEEA-4894-9418-80B910EA2661}"/>
    <cellStyle name="60% - Accent2 2 12" xfId="1947" xr:uid="{276F4D74-9DDB-4D43-9ADD-4CC77E172F61}"/>
    <cellStyle name="60% - Accent2 2 13" xfId="2035" xr:uid="{4E19B94B-280B-4739-8C02-C947D8FD6A5A}"/>
    <cellStyle name="60% - Accent2 2 14" xfId="2119" xr:uid="{9D311A9F-4EE3-4540-AF1E-16EB17A32789}"/>
    <cellStyle name="60% - Accent2 2 2" xfId="1017" xr:uid="{8938D99C-EEBA-4ADD-9ECD-95B763525E53}"/>
    <cellStyle name="60% - Accent2 2 2 10" xfId="1989" xr:uid="{B44CC9A7-1109-4B40-90A3-80F1F31A7BCB}"/>
    <cellStyle name="60% - Accent2 2 2 11" xfId="2077" xr:uid="{6E3E05AD-0242-4030-9619-4E7C6A97BAEB}"/>
    <cellStyle name="60% - Accent2 2 2 2" xfId="1194" xr:uid="{74C9A360-4193-461F-8BEC-77BDA4688B17}"/>
    <cellStyle name="60% - Accent2 2 2 3" xfId="1296" xr:uid="{5D2D041C-D58E-458A-918B-2CD847F572F8}"/>
    <cellStyle name="60% - Accent2 2 2 4" xfId="1388" xr:uid="{894A6C0B-9923-49F4-980F-7C095FC3D2E9}"/>
    <cellStyle name="60% - Accent2 2 2 5" xfId="1476" xr:uid="{B0EC7398-76C0-4989-919F-241542BE4E04}"/>
    <cellStyle name="60% - Accent2 2 2 6" xfId="1602" xr:uid="{10631C21-AE1D-4620-9988-C3AFBFFC9431}"/>
    <cellStyle name="60% - Accent2 2 2 7" xfId="1693" xr:uid="{2A5CC5B3-E75C-4878-8A8A-6F065D450D60}"/>
    <cellStyle name="60% - Accent2 2 2 8" xfId="1783" xr:uid="{BBC3DB1E-7089-4B46-BC6E-DA708118129E}"/>
    <cellStyle name="60% - Accent2 2 2 9" xfId="1873" xr:uid="{2128CA88-C18D-44E6-A766-64F367FCC185}"/>
    <cellStyle name="60% - Accent2 2 3" xfId="1070" xr:uid="{172824DD-329D-49D1-99D1-5BA5CC870897}"/>
    <cellStyle name="60% - Accent2 2 4" xfId="1193" xr:uid="{4E133219-67E7-4C1E-ABB6-8BA5E8193A50}"/>
    <cellStyle name="60% - Accent2 2 5" xfId="1295" xr:uid="{C02F80D5-5077-4CBD-9555-4088D31FC2C6}"/>
    <cellStyle name="60% - Accent2 2 6" xfId="1387" xr:uid="{CABDCB3E-A4CA-499D-9ED3-4B14C1C69453}"/>
    <cellStyle name="60% - Accent2 2 7" xfId="1475" xr:uid="{D4EE43CB-B351-4458-A8DC-C268AEFC492D}"/>
    <cellStyle name="60% - Accent2 2 8" xfId="1560" xr:uid="{B501348A-BC8C-46F3-ADF6-4458869F3E46}"/>
    <cellStyle name="60% - Accent2 2 9" xfId="1651" xr:uid="{507B2C15-F97B-45C7-B307-85604375BEFA}"/>
    <cellStyle name="60% - Accent2 3" xfId="731" xr:uid="{2FE55CAC-FCF7-48D4-8054-87F1BB5391BF}"/>
    <cellStyle name="60% - Accent2 3 10" xfId="1988" xr:uid="{E14D3FD2-780B-40CD-ADB1-411FCBB74F1C}"/>
    <cellStyle name="60% - Accent2 3 11" xfId="2076" xr:uid="{5A52BA99-03EE-4D0B-9861-F45DEFCC1A9E}"/>
    <cellStyle name="60% - Accent2 3 2" xfId="1195" xr:uid="{A230E449-9395-48FD-8CBC-5586C6C7AF4A}"/>
    <cellStyle name="60% - Accent2 3 3" xfId="1297" xr:uid="{A94AC459-E715-4A44-A80A-243A86BE3EC7}"/>
    <cellStyle name="60% - Accent2 3 4" xfId="1389" xr:uid="{BAA76E80-A25D-40CD-AF85-D3975F3369F5}"/>
    <cellStyle name="60% - Accent2 3 5" xfId="1477" xr:uid="{093C5515-8A58-4AA2-A272-C39F4339A1B8}"/>
    <cellStyle name="60% - Accent2 3 6" xfId="1601" xr:uid="{158930DE-6305-4511-AFDD-D10A066AD7C9}"/>
    <cellStyle name="60% - Accent2 3 7" xfId="1692" xr:uid="{5EDE154F-7354-44BE-BA5C-0703BF370652}"/>
    <cellStyle name="60% - Accent2 3 8" xfId="1782" xr:uid="{74CC2261-1F98-460F-B38D-81D3585DB9B5}"/>
    <cellStyle name="60% - Accent2 3 9" xfId="1874" xr:uid="{E2ADE6E0-4FD3-496E-94F8-A0FBF13100EE}"/>
    <cellStyle name="60% - Accent2 4" xfId="1016" xr:uid="{00E5703F-7EE8-47DA-92B6-F6F9EE49D36E}"/>
    <cellStyle name="60% - Accent2 4 2" xfId="1875" xr:uid="{BACA8F0C-8AB7-4E18-952F-20C62F80A86C}"/>
    <cellStyle name="60% - Accent2 5" xfId="1069" xr:uid="{AAB8FB6F-B3DE-4C78-8096-8AA883F05DDC}"/>
    <cellStyle name="60% - Accent2 6" xfId="1192" xr:uid="{66398CB4-8D42-42DD-8A07-7CA18014E84D}"/>
    <cellStyle name="60% - Accent2 7" xfId="1294" xr:uid="{168532CC-9FCC-4644-A5D4-D3C11C34AE25}"/>
    <cellStyle name="60% - Accent2 8" xfId="1386" xr:uid="{6B5D7287-BFA7-4165-A288-0E5A71AB346A}"/>
    <cellStyle name="60% - Accent2 9" xfId="1474" xr:uid="{3004A44A-FF3A-44A6-93E8-DFEB0DDE1DF2}"/>
    <cellStyle name="60% - Accent3 10" xfId="1540" xr:uid="{00181B79-0AB2-4112-8FFB-AE8E6F1B1AF6}"/>
    <cellStyle name="60% - Accent3 11" xfId="1632" xr:uid="{1555E925-4955-4B25-AA6C-2972D2D2449C}"/>
    <cellStyle name="60% - Accent3 12" xfId="1722" xr:uid="{98E72774-F997-4505-B30D-160399AD98F5}"/>
    <cellStyle name="60% - Accent3 13" xfId="1928" xr:uid="{5CD70595-0A60-49A9-8EB2-862B9790D457}"/>
    <cellStyle name="60% - Accent3 14" xfId="2016" xr:uid="{65189611-23C8-40AB-83D0-8BC3D170A357}"/>
    <cellStyle name="60% - Accent3 15" xfId="76" xr:uid="{17A6404D-7A7A-4767-98B7-CAA0B80D5FC3}"/>
    <cellStyle name="60% - Accent3 2" xfId="77" xr:uid="{2EA6B9AB-B0D1-4C82-AEB1-CB44534C0BA1}"/>
    <cellStyle name="60% - Accent3 2 10" xfId="1744" xr:uid="{DB6D1F94-337A-490C-B32B-BCD0FA5973DD}"/>
    <cellStyle name="60% - Accent3 2 11" xfId="1876" xr:uid="{20F70330-3E29-4163-9F44-F0AD6B1EFC0B}"/>
    <cellStyle name="60% - Accent3 2 12" xfId="1950" xr:uid="{38C4828E-7929-4D99-93A4-C1FCD7CFE50B}"/>
    <cellStyle name="60% - Accent3 2 13" xfId="2038" xr:uid="{0A494A24-B22A-4C1A-A1C4-82E7144FC884}"/>
    <cellStyle name="60% - Accent3 2 14" xfId="2120" xr:uid="{B0127013-5DF2-43C6-B830-EC35F359CB4C}"/>
    <cellStyle name="60% - Accent3 2 2" xfId="1019" xr:uid="{AA2EA11B-AC0F-44FA-9576-56AE4055CE77}"/>
    <cellStyle name="60% - Accent3 2 2 10" xfId="1991" xr:uid="{DC8F5053-6923-4748-8E61-946091D7A27C}"/>
    <cellStyle name="60% - Accent3 2 2 11" xfId="2079" xr:uid="{B9971BFB-14AD-40DC-BB72-493835B20F34}"/>
    <cellStyle name="60% - Accent3 2 2 2" xfId="1198" xr:uid="{5C6D61D2-EBDB-4748-A1A9-EDB1228FEA34}"/>
    <cellStyle name="60% - Accent3 2 2 3" xfId="1300" xr:uid="{D3FBB3D6-BEB4-4102-BD36-6667CFE4EAC3}"/>
    <cellStyle name="60% - Accent3 2 2 4" xfId="1392" xr:uid="{A17E9C20-3E4F-4E3A-9C5D-50E27E1A6EDE}"/>
    <cellStyle name="60% - Accent3 2 2 5" xfId="1480" xr:uid="{ED6CD21B-B27D-4412-9D43-39FD117310D8}"/>
    <cellStyle name="60% - Accent3 2 2 6" xfId="1604" xr:uid="{C940529E-FCA7-4196-BF1E-37DE313C05C4}"/>
    <cellStyle name="60% - Accent3 2 2 7" xfId="1695" xr:uid="{CBA325FE-234F-4430-813F-0D6522161D61}"/>
    <cellStyle name="60% - Accent3 2 2 8" xfId="1785" xr:uid="{2E316ACB-4711-4096-B8C1-4290EDDAFA87}"/>
    <cellStyle name="60% - Accent3 2 2 9" xfId="1877" xr:uid="{76617E23-8C25-41E2-A195-F290A8E5258A}"/>
    <cellStyle name="60% - Accent3 2 3" xfId="1072" xr:uid="{D5EA8964-1EFF-4EDC-9592-97A2FAFCA46D}"/>
    <cellStyle name="60% - Accent3 2 4" xfId="1197" xr:uid="{490FFF07-E7B8-404A-BC74-54F525594DB9}"/>
    <cellStyle name="60% - Accent3 2 5" xfId="1299" xr:uid="{3F808B23-1F09-457F-A5B4-69F2E5D9E404}"/>
    <cellStyle name="60% - Accent3 2 6" xfId="1391" xr:uid="{0DCD8519-525F-4865-BFB7-547BA2CC80ED}"/>
    <cellStyle name="60% - Accent3 2 7" xfId="1479" xr:uid="{EC410130-3CF2-460A-A9C3-C69B39B09730}"/>
    <cellStyle name="60% - Accent3 2 8" xfId="1563" xr:uid="{A058564D-4732-4897-914A-178B01CDA66F}"/>
    <cellStyle name="60% - Accent3 2 9" xfId="1654" xr:uid="{D4A71564-03AC-4862-9AEB-C136D73C89E7}"/>
    <cellStyle name="60% - Accent3 3" xfId="732" xr:uid="{82529D4B-030F-466B-9A07-BDAB0DF44AFF}"/>
    <cellStyle name="60% - Accent3 3 10" xfId="1990" xr:uid="{A4420E3E-B6F7-4064-AF10-85F611A102FA}"/>
    <cellStyle name="60% - Accent3 3 11" xfId="2078" xr:uid="{322ECCD4-566A-46D2-9BD5-6D5DE64E7ABC}"/>
    <cellStyle name="60% - Accent3 3 2" xfId="1199" xr:uid="{C3BE6D4B-CD74-4B47-989E-D9F1D41C14CE}"/>
    <cellStyle name="60% - Accent3 3 3" xfId="1301" xr:uid="{4D89FAB6-E3B2-4FF8-B01D-8D71FB160C58}"/>
    <cellStyle name="60% - Accent3 3 4" xfId="1393" xr:uid="{8E88965D-83F0-489B-AFBE-2B912568358A}"/>
    <cellStyle name="60% - Accent3 3 5" xfId="1481" xr:uid="{DC8F75C8-29EB-4118-8AC0-6FD9301A47C1}"/>
    <cellStyle name="60% - Accent3 3 6" xfId="1603" xr:uid="{8CD0AD86-1592-4CB2-B571-1CE439E04437}"/>
    <cellStyle name="60% - Accent3 3 7" xfId="1694" xr:uid="{714F72C0-5E89-4B37-9548-2E259305D1A9}"/>
    <cellStyle name="60% - Accent3 3 8" xfId="1784" xr:uid="{E07CBEB3-45A6-4B1C-B45C-86C17B3ACA12}"/>
    <cellStyle name="60% - Accent3 3 9" xfId="1878" xr:uid="{D7DFA30C-3D1A-4FF2-880B-4CC688B29201}"/>
    <cellStyle name="60% - Accent3 4" xfId="1018" xr:uid="{52699B7F-7B96-4204-A7A7-4D718AAFA7C1}"/>
    <cellStyle name="60% - Accent3 4 2" xfId="1879" xr:uid="{84F9700D-E27B-43E3-8F96-8E407CAA38AA}"/>
    <cellStyle name="60% - Accent3 5" xfId="1071" xr:uid="{8E1AE505-8C54-495F-8FEE-FE03ECFBF0DA}"/>
    <cellStyle name="60% - Accent3 6" xfId="1196" xr:uid="{93256E9F-553F-4C27-B06B-08096205CD25}"/>
    <cellStyle name="60% - Accent3 7" xfId="1298" xr:uid="{1BE40A10-EC07-4AC1-ACEC-AD5B4A1936F0}"/>
    <cellStyle name="60% - Accent3 8" xfId="1390" xr:uid="{6BDD733B-AF76-4F00-8009-35465997AB22}"/>
    <cellStyle name="60% - Accent3 9" xfId="1478" xr:uid="{5024E999-2012-46FF-B698-0D1618F25920}"/>
    <cellStyle name="60% - Accent4 10" xfId="1544" xr:uid="{E14C8131-3FD2-4F18-9C1D-802897310B52}"/>
    <cellStyle name="60% - Accent4 11" xfId="1635" xr:uid="{34F965B2-1607-42A8-A075-9AC60C469D50}"/>
    <cellStyle name="60% - Accent4 12" xfId="1725" xr:uid="{DB84C22E-69C8-4D27-B468-5DFA7D75C9B6}"/>
    <cellStyle name="60% - Accent4 13" xfId="1931" xr:uid="{FFE345E4-5BD8-4260-882A-E93329BF055B}"/>
    <cellStyle name="60% - Accent4 14" xfId="2019" xr:uid="{4A45D2C8-B720-437E-954B-32BECF31D8D8}"/>
    <cellStyle name="60% - Accent4 15" xfId="78" xr:uid="{25DE4F2E-1F8F-48FB-92BA-5E9981CED163}"/>
    <cellStyle name="60% - Accent4 2" xfId="79" xr:uid="{E994BE59-C473-4DC7-8614-18B1944925C3}"/>
    <cellStyle name="60% - Accent4 2 10" xfId="1747" xr:uid="{1717F955-AAAB-4584-81A6-A10D408A06BC}"/>
    <cellStyle name="60% - Accent4 2 11" xfId="1880" xr:uid="{7BE1C363-B0B3-4B77-85AD-8F435E1B682A}"/>
    <cellStyle name="60% - Accent4 2 12" xfId="1953" xr:uid="{EA5DE688-E37A-49B9-BB85-12FC2E02283C}"/>
    <cellStyle name="60% - Accent4 2 13" xfId="2041" xr:uid="{E0EB89B9-44EF-4438-9FCC-A5D35E62309A}"/>
    <cellStyle name="60% - Accent4 2 14" xfId="2121" xr:uid="{DE7A5A86-F583-4285-9941-AD7B07B077EB}"/>
    <cellStyle name="60% - Accent4 2 2" xfId="1021" xr:uid="{714C4186-A110-4051-97FE-F9CBBD194151}"/>
    <cellStyle name="60% - Accent4 2 2 10" xfId="1993" xr:uid="{FFF85ECD-8A1E-4B2C-A5C7-0D389540D6A3}"/>
    <cellStyle name="60% - Accent4 2 2 11" xfId="2081" xr:uid="{4727880E-FE2D-416B-A4F2-817851433079}"/>
    <cellStyle name="60% - Accent4 2 2 2" xfId="1202" xr:uid="{8883585E-DDA3-44D3-9D10-96C31D4F84F2}"/>
    <cellStyle name="60% - Accent4 2 2 3" xfId="1304" xr:uid="{BB43A8CD-D76F-4A82-A924-712FAB5015C4}"/>
    <cellStyle name="60% - Accent4 2 2 4" xfId="1396" xr:uid="{890E31DD-BEE4-45A6-B0E4-ADD9AA386A64}"/>
    <cellStyle name="60% - Accent4 2 2 5" xfId="1484" xr:uid="{A2D4304D-13E9-497D-812F-63AD11151F7E}"/>
    <cellStyle name="60% - Accent4 2 2 6" xfId="1606" xr:uid="{49BD366B-3F14-4050-A9A9-9F6CCA07CF77}"/>
    <cellStyle name="60% - Accent4 2 2 7" xfId="1697" xr:uid="{890BA5E0-3EE2-43B9-ADFC-CC53C636FCB9}"/>
    <cellStyle name="60% - Accent4 2 2 8" xfId="1787" xr:uid="{EFFE9006-C2B8-4938-89D9-F960EE46AB77}"/>
    <cellStyle name="60% - Accent4 2 2 9" xfId="1881" xr:uid="{FD032EEA-4DA6-4B07-AB45-DF61E1A0F40D}"/>
    <cellStyle name="60% - Accent4 2 3" xfId="1074" xr:uid="{7C48CC4B-3995-449C-9DE2-61565DA1ED53}"/>
    <cellStyle name="60% - Accent4 2 4" xfId="1201" xr:uid="{0673A3FA-8FE3-404F-AD9B-848A15EDF2AE}"/>
    <cellStyle name="60% - Accent4 2 5" xfId="1303" xr:uid="{49A86F42-E4F8-4F7F-A0D5-3740A9FD0EB1}"/>
    <cellStyle name="60% - Accent4 2 6" xfId="1395" xr:uid="{F4CEE599-2DFA-4840-A3C0-0E4E72FF5328}"/>
    <cellStyle name="60% - Accent4 2 7" xfId="1483" xr:uid="{F83B7939-0FF8-4C39-A84A-4C0F48CF0F91}"/>
    <cellStyle name="60% - Accent4 2 8" xfId="1566" xr:uid="{5EE7EE37-F79A-4ED8-80A6-7F553025215F}"/>
    <cellStyle name="60% - Accent4 2 9" xfId="1657" xr:uid="{37BACE79-7483-4DB1-835D-87B5A512AAD5}"/>
    <cellStyle name="60% - Accent4 3" xfId="733" xr:uid="{88DE0614-21E6-4307-9F6A-98FB2B921AAD}"/>
    <cellStyle name="60% - Accent4 3 10" xfId="1992" xr:uid="{65CFAFE2-C7CE-4002-B389-4D19A4FB578D}"/>
    <cellStyle name="60% - Accent4 3 11" xfId="2080" xr:uid="{1BDB2523-3DBB-46E7-B523-91DB40728F93}"/>
    <cellStyle name="60% - Accent4 3 2" xfId="1203" xr:uid="{0CB1D5B2-678E-41C3-AF93-B1FFBD798B71}"/>
    <cellStyle name="60% - Accent4 3 3" xfId="1305" xr:uid="{95C4318B-E61F-4C07-8175-A1F3155EC0E9}"/>
    <cellStyle name="60% - Accent4 3 4" xfId="1397" xr:uid="{7300463C-118C-457D-8A97-EECCA06E9211}"/>
    <cellStyle name="60% - Accent4 3 5" xfId="1485" xr:uid="{B66D1B39-384F-42C1-BEFE-CF062DC24451}"/>
    <cellStyle name="60% - Accent4 3 6" xfId="1605" xr:uid="{27B07782-DBF4-4426-A577-25B8D85EC68D}"/>
    <cellStyle name="60% - Accent4 3 7" xfId="1696" xr:uid="{2E90DD92-4AF5-49CC-8C68-198E025F5A9B}"/>
    <cellStyle name="60% - Accent4 3 8" xfId="1786" xr:uid="{2ABD5CBE-AFBC-4C9B-A652-053686B8CCD2}"/>
    <cellStyle name="60% - Accent4 3 9" xfId="1882" xr:uid="{77349401-2419-4FBC-8C92-4B5F2AD2989B}"/>
    <cellStyle name="60% - Accent4 4" xfId="1020" xr:uid="{9BA1D160-C4A1-4E8B-B36C-062813A84857}"/>
    <cellStyle name="60% - Accent4 4 2" xfId="1883" xr:uid="{911AA828-2E73-4DCA-8D34-596C741334C1}"/>
    <cellStyle name="60% - Accent4 5" xfId="1073" xr:uid="{C913CA5A-C996-48C3-8D1A-135FBF34BE25}"/>
    <cellStyle name="60% - Accent4 6" xfId="1200" xr:uid="{242B2CE6-E508-415A-A806-262A3F9BC2A0}"/>
    <cellStyle name="60% - Accent4 7" xfId="1302" xr:uid="{654661CC-03FD-4866-B016-CE7A2471ABFC}"/>
    <cellStyle name="60% - Accent4 8" xfId="1394" xr:uid="{DB4CDB63-DED1-4BD5-9D8E-4CE54EE3CA80}"/>
    <cellStyle name="60% - Accent4 9" xfId="1482" xr:uid="{7B2019CB-6258-4D2A-B980-AB96038E6303}"/>
    <cellStyle name="60% - Accent5 10" xfId="1547" xr:uid="{B8CB87C8-E410-4526-9A03-11A9D3300756}"/>
    <cellStyle name="60% - Accent5 11" xfId="1638" xr:uid="{01392096-52F1-4256-8F42-EF19A5206EFF}"/>
    <cellStyle name="60% - Accent5 12" xfId="1728" xr:uid="{990A9336-9827-4D19-BF6F-768FDB3AD8BF}"/>
    <cellStyle name="60% - Accent5 13" xfId="1934" xr:uid="{0E0A0981-D922-4B82-AA15-8EAFAF2366AF}"/>
    <cellStyle name="60% - Accent5 14" xfId="2022" xr:uid="{23B1B48F-9E65-47DA-8CC8-72F90BE1C2A8}"/>
    <cellStyle name="60% - Accent5 15" xfId="80" xr:uid="{07D13C2D-3C05-482F-883D-1F8067F28543}"/>
    <cellStyle name="60% - Accent5 2" xfId="81" xr:uid="{9414062F-C30C-4540-BFFD-F94AD660EC5B}"/>
    <cellStyle name="60% - Accent5 2 10" xfId="1750" xr:uid="{0664A9B6-393E-4093-89B3-8D1CD36A93CE}"/>
    <cellStyle name="60% - Accent5 2 11" xfId="1884" xr:uid="{C2EF124F-0BB8-4DBC-B15E-9DEC1B63C3EE}"/>
    <cellStyle name="60% - Accent5 2 12" xfId="1956" xr:uid="{B11E43B4-FDA5-44AE-AFF5-21E2ED515D62}"/>
    <cellStyle name="60% - Accent5 2 13" xfId="2044" xr:uid="{5728FD97-6ED8-4A2F-87D0-C282C3AF957C}"/>
    <cellStyle name="60% - Accent5 2 14" xfId="2122" xr:uid="{5694703D-752E-4738-A36E-9FFD2E97F28A}"/>
    <cellStyle name="60% - Accent5 2 2" xfId="1023" xr:uid="{DC98598F-ED8C-4EE7-A915-B3FF3F48B0C3}"/>
    <cellStyle name="60% - Accent5 2 2 10" xfId="1995" xr:uid="{5CFAF668-73D9-4446-9D73-6F0F192DEDA2}"/>
    <cellStyle name="60% - Accent5 2 2 11" xfId="2083" xr:uid="{59307530-B742-4B68-8AB6-33701C7896D3}"/>
    <cellStyle name="60% - Accent5 2 2 2" xfId="1206" xr:uid="{E76F01ED-92F0-412D-946E-A70685F91B1E}"/>
    <cellStyle name="60% - Accent5 2 2 3" xfId="1308" xr:uid="{B78E5C24-BF0E-450B-BD03-1EC46395F028}"/>
    <cellStyle name="60% - Accent5 2 2 4" xfId="1400" xr:uid="{F60F955A-0228-4201-8AD6-0B32707382E4}"/>
    <cellStyle name="60% - Accent5 2 2 5" xfId="1488" xr:uid="{50996ED7-74FF-4D04-8FBB-DCB12DC4B844}"/>
    <cellStyle name="60% - Accent5 2 2 6" xfId="1608" xr:uid="{9712CA19-60EB-45EF-8073-760B89297FB7}"/>
    <cellStyle name="60% - Accent5 2 2 7" xfId="1699" xr:uid="{8002833A-029F-405C-8568-C4BE49B02BAE}"/>
    <cellStyle name="60% - Accent5 2 2 8" xfId="1789" xr:uid="{C03D13E9-33C3-4F2D-90C4-76B4612D4C6D}"/>
    <cellStyle name="60% - Accent5 2 2 9" xfId="1885" xr:uid="{A8F0E61A-68E9-48EF-BD27-CFD43624C8B4}"/>
    <cellStyle name="60% - Accent5 2 3" xfId="1076" xr:uid="{9DA9AA26-EDBE-4F71-860E-F642438752B3}"/>
    <cellStyle name="60% - Accent5 2 4" xfId="1205" xr:uid="{3AB7D10A-D401-4233-86DF-61F64F678288}"/>
    <cellStyle name="60% - Accent5 2 5" xfId="1307" xr:uid="{C7C454AD-4BCA-4C99-81B4-6CA79C8F403C}"/>
    <cellStyle name="60% - Accent5 2 6" xfId="1399" xr:uid="{4D039D94-4E6D-4580-BA8D-B9AE234AD3A5}"/>
    <cellStyle name="60% - Accent5 2 7" xfId="1487" xr:uid="{AB23B65C-CFE1-48E4-8C92-46CFAFB49B8E}"/>
    <cellStyle name="60% - Accent5 2 8" xfId="1569" xr:uid="{4594E5E3-83DD-4399-B398-5BFE5D307B78}"/>
    <cellStyle name="60% - Accent5 2 9" xfId="1660" xr:uid="{52342F58-F824-4CE4-9478-E6C5842C613E}"/>
    <cellStyle name="60% - Accent5 3" xfId="734" xr:uid="{271258DF-A993-4866-B791-2B63C0040D96}"/>
    <cellStyle name="60% - Accent5 3 10" xfId="1994" xr:uid="{165D94B6-58C8-4A28-9A11-7AB8A21F7414}"/>
    <cellStyle name="60% - Accent5 3 11" xfId="2082" xr:uid="{881749D1-B36B-46CB-9E2F-F40AEE58895C}"/>
    <cellStyle name="60% - Accent5 3 2" xfId="1207" xr:uid="{392CE53C-EFA7-48A2-B9D1-FD5C737CE807}"/>
    <cellStyle name="60% - Accent5 3 3" xfId="1309" xr:uid="{A80C735A-FD40-4C64-84C7-F3837DFE3872}"/>
    <cellStyle name="60% - Accent5 3 4" xfId="1401" xr:uid="{E151D8FC-0A57-442B-9356-1CD3B485825B}"/>
    <cellStyle name="60% - Accent5 3 5" xfId="1489" xr:uid="{EE204146-0EFE-47CB-9909-777B4AF4F30F}"/>
    <cellStyle name="60% - Accent5 3 6" xfId="1607" xr:uid="{0F1A7B99-FF17-407E-B847-371F691E0DB9}"/>
    <cellStyle name="60% - Accent5 3 7" xfId="1698" xr:uid="{27D2B8F3-0C8E-4D1E-AAAF-F41A5BFAA325}"/>
    <cellStyle name="60% - Accent5 3 8" xfId="1788" xr:uid="{B8913E95-1305-4B0C-92D5-5164B2CC52DC}"/>
    <cellStyle name="60% - Accent5 3 9" xfId="1886" xr:uid="{5E3E1CF7-A050-4B3C-84F3-7DFA230C475E}"/>
    <cellStyle name="60% - Accent5 4" xfId="1022" xr:uid="{F4AC88B3-5D2F-45B0-818C-23D13144569A}"/>
    <cellStyle name="60% - Accent5 4 2" xfId="1887" xr:uid="{CD24FCCC-56EA-4211-A47A-F584C9C08905}"/>
    <cellStyle name="60% - Accent5 5" xfId="1075" xr:uid="{CEE01FC8-179B-43A8-8091-B85845FAFBF0}"/>
    <cellStyle name="60% - Accent5 6" xfId="1204" xr:uid="{BC91983E-E87C-491D-88DA-682323265E4F}"/>
    <cellStyle name="60% - Accent5 7" xfId="1306" xr:uid="{8AA9F5AC-77C7-4F7A-A393-EA91E4AF73E5}"/>
    <cellStyle name="60% - Accent5 8" xfId="1398" xr:uid="{406A819D-0281-4A3A-A86F-1FFB2CD288EA}"/>
    <cellStyle name="60% - Accent5 9" xfId="1486" xr:uid="{CB1CE4EE-E99D-46C1-BEDB-CBEFE2BF84DE}"/>
    <cellStyle name="60% - Accent6 10" xfId="1550" xr:uid="{13193765-9EFC-4007-8ED8-1518511B16C3}"/>
    <cellStyle name="60% - Accent6 11" xfId="1641" xr:uid="{74C65503-0955-4EFF-8229-B3A654EAE681}"/>
    <cellStyle name="60% - Accent6 12" xfId="1731" xr:uid="{05834FC2-A2E4-4D7B-8508-C55BAF8366E2}"/>
    <cellStyle name="60% - Accent6 13" xfId="1937" xr:uid="{7D4A1D0E-A544-4C40-80AE-096D1366E136}"/>
    <cellStyle name="60% - Accent6 14" xfId="2025" xr:uid="{AA514598-B8A1-4B70-BA66-470EFCAAD3B4}"/>
    <cellStyle name="60% - Accent6 15" xfId="82" xr:uid="{AB3E10A2-AAE9-4BD6-BB72-E4F9031261C6}"/>
    <cellStyle name="60% - Accent6 2" xfId="83" xr:uid="{2032ECA8-2F66-4F57-9249-7365F1642F90}"/>
    <cellStyle name="60% - Accent6 2 10" xfId="1753" xr:uid="{6DE2C615-EA2C-44F2-8F40-DCBD6D244F39}"/>
    <cellStyle name="60% - Accent6 2 11" xfId="1888" xr:uid="{873320BE-48B3-4BB9-974D-63F8CDB3A0EF}"/>
    <cellStyle name="60% - Accent6 2 12" xfId="1959" xr:uid="{86BC6713-5A58-4B76-85BD-864770FD8201}"/>
    <cellStyle name="60% - Accent6 2 13" xfId="2047" xr:uid="{9370597B-6AB5-4C31-BD9D-6B944C982D25}"/>
    <cellStyle name="60% - Accent6 2 14" xfId="2123" xr:uid="{4CAEA890-01F6-4BF2-850D-6628A0AD2FB8}"/>
    <cellStyle name="60% - Accent6 2 2" xfId="1025" xr:uid="{81F4C7EC-C90B-45BD-9BEB-7435AA28BC72}"/>
    <cellStyle name="60% - Accent6 2 2 10" xfId="1997" xr:uid="{DCA7D26A-8451-4DCB-9399-B938DF12F17A}"/>
    <cellStyle name="60% - Accent6 2 2 11" xfId="2085" xr:uid="{9823998C-0E39-4FD0-806A-2FBFF58700E5}"/>
    <cellStyle name="60% - Accent6 2 2 2" xfId="1210" xr:uid="{486F008D-D6B7-450C-89FF-B3491A567855}"/>
    <cellStyle name="60% - Accent6 2 2 3" xfId="1312" xr:uid="{FF9DD212-0EC0-4CCB-A076-5C799BDD873D}"/>
    <cellStyle name="60% - Accent6 2 2 4" xfId="1404" xr:uid="{9F561D9B-222A-4476-992A-CBF778C9D448}"/>
    <cellStyle name="60% - Accent6 2 2 5" xfId="1492" xr:uid="{0F2BAB33-56B5-4CFB-95E8-0262C082D19B}"/>
    <cellStyle name="60% - Accent6 2 2 6" xfId="1610" xr:uid="{DFC1BE49-2D63-4546-913E-2D4570480DE0}"/>
    <cellStyle name="60% - Accent6 2 2 7" xfId="1701" xr:uid="{B3547E6E-0F85-4DF4-905E-B0C9D53919D7}"/>
    <cellStyle name="60% - Accent6 2 2 8" xfId="1791" xr:uid="{2E6F9B1D-1888-4BFA-9679-776A35CCDAF4}"/>
    <cellStyle name="60% - Accent6 2 2 9" xfId="1889" xr:uid="{96900D6D-EF71-4CCD-8967-8F995E09E895}"/>
    <cellStyle name="60% - Accent6 2 3" xfId="1078" xr:uid="{78F9810B-A204-44A1-A186-EC718FA76DA0}"/>
    <cellStyle name="60% - Accent6 2 4" xfId="1209" xr:uid="{83ACD6C7-911D-4BA8-B609-85309FD628CC}"/>
    <cellStyle name="60% - Accent6 2 5" xfId="1311" xr:uid="{C07D4672-7B8D-4475-91D1-87C9A131CCF3}"/>
    <cellStyle name="60% - Accent6 2 6" xfId="1403" xr:uid="{7E5EDAFE-3BD2-4D2E-9521-0A7983CDFC24}"/>
    <cellStyle name="60% - Accent6 2 7" xfId="1491" xr:uid="{CE562165-8031-4031-9DA4-DA35C9FFF9A3}"/>
    <cellStyle name="60% - Accent6 2 8" xfId="1572" xr:uid="{4956F84D-9EA4-4AC9-8E08-675C0216CA26}"/>
    <cellStyle name="60% - Accent6 2 9" xfId="1663" xr:uid="{FE8CDF2A-5D40-4264-826E-540C0A11F6CD}"/>
    <cellStyle name="60% - Accent6 3" xfId="735" xr:uid="{7937FF83-F64D-4B39-A8A3-012C171D2DA0}"/>
    <cellStyle name="60% - Accent6 3 10" xfId="1996" xr:uid="{F555BF44-C5A6-4BF5-94A0-0B35A5602746}"/>
    <cellStyle name="60% - Accent6 3 11" xfId="2084" xr:uid="{EBDC1538-5237-4EEF-AD2A-05C8CA5C8D54}"/>
    <cellStyle name="60% - Accent6 3 2" xfId="1211" xr:uid="{B3425634-7EF5-4D72-B2A6-F14F6D116E2B}"/>
    <cellStyle name="60% - Accent6 3 3" xfId="1313" xr:uid="{1EB1A395-3DF4-4950-82DB-54608A727BD7}"/>
    <cellStyle name="60% - Accent6 3 4" xfId="1405" xr:uid="{A766F20C-0AE3-4F0A-A0B3-D98368B30313}"/>
    <cellStyle name="60% - Accent6 3 5" xfId="1493" xr:uid="{73B8D020-B2CB-4A93-AA58-C96A63E99E4D}"/>
    <cellStyle name="60% - Accent6 3 6" xfId="1609" xr:uid="{4D5239C9-9ABB-4A5D-BB9F-8A7B8A34B4CF}"/>
    <cellStyle name="60% - Accent6 3 7" xfId="1700" xr:uid="{A4DDF054-99DC-402F-936F-1E79959FAB94}"/>
    <cellStyle name="60% - Accent6 3 8" xfId="1790" xr:uid="{6D3DC903-7DED-4A5C-9AC9-802164B58E67}"/>
    <cellStyle name="60% - Accent6 3 9" xfId="1890" xr:uid="{E5A9FDD8-0994-4DA6-99AF-663364819B12}"/>
    <cellStyle name="60% - Accent6 4" xfId="1024" xr:uid="{2AC4BC11-85E7-4D1F-A195-EC7DCFCFED73}"/>
    <cellStyle name="60% - Accent6 4 2" xfId="1891" xr:uid="{E5DDF0D2-0BDA-4612-A274-D88FF272E0C8}"/>
    <cellStyle name="60% - Accent6 5" xfId="1077" xr:uid="{0EE78E42-0364-48AB-A560-B7905B48A0D8}"/>
    <cellStyle name="60% - Accent6 6" xfId="1208" xr:uid="{383107F5-7214-4837-B4A5-C1F54B69C3C9}"/>
    <cellStyle name="60% - Accent6 7" xfId="1310" xr:uid="{1FF64807-859B-45B2-865D-67AE97761F3A}"/>
    <cellStyle name="60% - Accent6 8" xfId="1402" xr:uid="{72FD7339-331F-4638-93FB-B9D50DCF6673}"/>
    <cellStyle name="60% - Accent6 9" xfId="1490" xr:uid="{3AC22237-3818-4ABD-87ED-A61113612676}"/>
    <cellStyle name="Accent1 2" xfId="85" xr:uid="{AB6C7735-8F77-4C50-ADE5-2DF47245DEB1}"/>
    <cellStyle name="Accent1 2 2" xfId="2124" xr:uid="{1D395F02-52D7-4B8D-9439-9B0DA32D3FFE}"/>
    <cellStyle name="Accent1 3" xfId="736" xr:uid="{0BEB814A-E026-4B0C-925A-C39288A13EE4}"/>
    <cellStyle name="Accent1 4" xfId="84" xr:uid="{BCD56DD6-2133-4E51-B63F-A24719A8A202}"/>
    <cellStyle name="Accent2 2" xfId="87" xr:uid="{91A8D75B-72D3-4076-90B0-0F40F11BC015}"/>
    <cellStyle name="Accent2 2 2" xfId="2125" xr:uid="{946E5410-1C2E-4048-90D4-62E42F6EC073}"/>
    <cellStyle name="Accent2 3" xfId="737" xr:uid="{36301E8F-07F5-4922-A3D4-BE6481CA51EA}"/>
    <cellStyle name="Accent2 4" xfId="86" xr:uid="{0E56BBC3-A2C9-4655-8194-ADF00BEE933F}"/>
    <cellStyle name="Accent3 2" xfId="89" xr:uid="{008AF764-5404-4D28-A2EC-B379EBF9556C}"/>
    <cellStyle name="Accent3 2 2" xfId="2126" xr:uid="{6065DF27-09D3-4F21-9567-1BC217771734}"/>
    <cellStyle name="Accent3 3" xfId="738" xr:uid="{FC2B8F8A-26F0-4110-97D8-B21795ED7E3C}"/>
    <cellStyle name="Accent3 4" xfId="88" xr:uid="{3AE76B2F-3DD7-49A8-AADF-528669531C7E}"/>
    <cellStyle name="Accent4 2" xfId="91" xr:uid="{B6854BB2-1FB5-4F15-9A4D-A92035DB1F4B}"/>
    <cellStyle name="Accent4 2 2" xfId="2127" xr:uid="{A5B8637E-63CC-4558-B624-0BBB50C359D1}"/>
    <cellStyle name="Accent4 3" xfId="739" xr:uid="{1BF544CA-7F73-4348-81CF-F87C3D791638}"/>
    <cellStyle name="Accent4 4" xfId="90" xr:uid="{EB2BAB17-BC15-4E53-B168-FC8C60223232}"/>
    <cellStyle name="Accent5 2" xfId="93" xr:uid="{C582C5E1-F21D-4E05-AF7F-476F8E7B5ECC}"/>
    <cellStyle name="Accent5 2 2" xfId="2128" xr:uid="{06CE5698-130C-4917-9961-91B0225AABEB}"/>
    <cellStyle name="Accent5 3" xfId="740" xr:uid="{07A746E1-4866-4667-8230-5015E2AE19C4}"/>
    <cellStyle name="Accent5 4" xfId="92" xr:uid="{4239800E-198C-40ED-9262-4662B9A9EFCF}"/>
    <cellStyle name="Accent6 2" xfId="95" xr:uid="{3DE3FBC8-5110-4C57-BB82-FCEAD62A7ECF}"/>
    <cellStyle name="Accent6 2 2" xfId="2129" xr:uid="{CC791D1A-3028-44F7-86EC-72D0ECF9E904}"/>
    <cellStyle name="Accent6 3" xfId="741" xr:uid="{FAB7847B-0A1B-4C76-ACB6-1ED199626C06}"/>
    <cellStyle name="Accent6 4" xfId="94" xr:uid="{386E7414-7F13-44EC-9D49-8E0A89E450C6}"/>
    <cellStyle name="Adjustable" xfId="96" xr:uid="{9F0F4BAE-DFB5-4369-A20A-CAA189118F1C}"/>
    <cellStyle name="Bad 2" xfId="98" xr:uid="{3D036D56-1EBC-4A86-9485-D37FE1040080}"/>
    <cellStyle name="Bad 2 2" xfId="2130" xr:uid="{EE73C974-2D58-445F-9A80-02B8B7DAD2D6}"/>
    <cellStyle name="Bad 3" xfId="742" xr:uid="{67AC0DAD-1837-4E89-A2A7-94B33FE00316}"/>
    <cellStyle name="Bad 4" xfId="97" xr:uid="{79D4CC39-BD4A-4CA1-B73C-F6AB53DFCB84}"/>
    <cellStyle name="Bid £m format" xfId="99" xr:uid="{3D756D46-235D-48B5-8FE3-EC439444EEB1}"/>
    <cellStyle name="Bid £m format 2" xfId="560" xr:uid="{6928B53A-0CB4-4864-8CA3-52ED8B95B121}"/>
    <cellStyle name="blue" xfId="100" xr:uid="{4CCDD27B-6B30-4325-AE89-9BF46862F90A}"/>
    <cellStyle name="Border" xfId="101" xr:uid="{EC2C38A7-6E21-4C04-8CA0-3C930AB28F35}"/>
    <cellStyle name="Brand Align Left Text" xfId="102" xr:uid="{456F758C-1341-4C6F-973E-2679AAABD744}"/>
    <cellStyle name="Brand Default" xfId="103" xr:uid="{F1CACE0B-B24B-4B19-8F88-7346CB4952B0}"/>
    <cellStyle name="Brand Percent" xfId="104" xr:uid="{2851D0DD-9C2F-4EF4-9C2A-65046B979D51}"/>
    <cellStyle name="Brand Source" xfId="105" xr:uid="{E178D6D1-97CA-4D8B-8892-E7E563E394CE}"/>
    <cellStyle name="Brand Subtitle with Underline" xfId="106" xr:uid="{84E75870-D6CE-4C9F-BB6D-1FD63A864D7F}"/>
    <cellStyle name="Brand Subtitle without Underline" xfId="107" xr:uid="{085474FC-D5C4-48D3-B237-F61DE3038243}"/>
    <cellStyle name="Brand Title" xfId="108" xr:uid="{613B31BE-D66E-4541-9A16-860C1F3F54B4}"/>
    <cellStyle name="Calculation 2" xfId="110" xr:uid="{EBDC4742-C44E-415E-AFB0-FA7481366DB8}"/>
    <cellStyle name="Calculation 2 2" xfId="2131" xr:uid="{32834243-8553-44C4-AE09-C537762B0E4D}"/>
    <cellStyle name="Calculation 3" xfId="743" xr:uid="{CAB17F93-8CE0-4C0A-8ED1-F7AC29BF450C}"/>
    <cellStyle name="Calculation 4" xfId="109" xr:uid="{B95537E3-C375-4046-B762-C9A0ED85849F}"/>
    <cellStyle name="Characteristic" xfId="111" xr:uid="{9A5674D2-8C5B-4BC7-B0F6-6BBE4ECF066F}"/>
    <cellStyle name="Characteristic 2" xfId="561" xr:uid="{CC661504-5CAD-44AA-B56F-72A6E4D34CCB}"/>
    <cellStyle name="CharactGroup" xfId="112" xr:uid="{480D3EE3-B38D-4727-91C2-8B9849B4E3C4}"/>
    <cellStyle name="CharactNote" xfId="113" xr:uid="{CA7B0773-D32E-4CE0-8CA4-56EE7FBC114E}"/>
    <cellStyle name="CharactNote 2" xfId="562" xr:uid="{D1BCE0A1-4A6D-4A9A-924C-8D32C8951E57}"/>
    <cellStyle name="CharactType" xfId="114" xr:uid="{9186CE7B-23DE-4417-B83A-E9CF65213138}"/>
    <cellStyle name="CharactType 2" xfId="563" xr:uid="{59A017AE-1190-4CC3-B7F0-25AA1ACDB98E}"/>
    <cellStyle name="CharactValue" xfId="115" xr:uid="{EB7EB749-8F62-46F1-9D58-C19BFEB9F26C}"/>
    <cellStyle name="CharactValueNote" xfId="116" xr:uid="{DF0B2884-0249-48D3-9B42-EBB31AEDA5B9}"/>
    <cellStyle name="CharactValueNote 2" xfId="564" xr:uid="{81E95BB1-44DA-4537-B678-FCA14BEC118F}"/>
    <cellStyle name="CharShortType" xfId="117" xr:uid="{9BD49A24-93FC-44F2-B474-324730201836}"/>
    <cellStyle name="Check Cell 2" xfId="119" xr:uid="{4E52AAAE-51D7-4921-824D-113DEECC2542}"/>
    <cellStyle name="Check Cell 2 2" xfId="2132" xr:uid="{5496C294-DEE9-4D86-9471-24E89FA531F7}"/>
    <cellStyle name="Check Cell 3" xfId="744" xr:uid="{AA5C5235-FB52-4514-BB58-6F811D06BE62}"/>
    <cellStyle name="Check Cell 4" xfId="118" xr:uid="{3F1DB55B-767D-4A83-8AFF-76359407E920}"/>
    <cellStyle name="CIL" xfId="120" xr:uid="{C4124AC5-88DA-4760-91D7-B14CDCF3D838}"/>
    <cellStyle name="CIL 2" xfId="565" xr:uid="{2A31FFBE-4351-49A9-B848-B2A1994F6A7A}"/>
    <cellStyle name="CIU" xfId="121" xr:uid="{FE5788BF-1FF5-4940-8AE6-42C9FF90DAC7}"/>
    <cellStyle name="CIU 2" xfId="566" xr:uid="{AD986474-0E9A-40FC-82A2-2EA23581DD1E}"/>
    <cellStyle name="Comma -" xfId="122" xr:uid="{69EAC68A-CA64-479C-B359-CF7F159401A7}"/>
    <cellStyle name="Comma  - Style1" xfId="123" xr:uid="{7CB3B0FE-7079-43E3-8D01-BC4D383ACBE8}"/>
    <cellStyle name="Comma  - Style2" xfId="124" xr:uid="{0C58A467-14DA-4F29-8CF3-46556930E781}"/>
    <cellStyle name="Comma  - Style3" xfId="125" xr:uid="{45C12794-6876-4B31-B0AE-A82A40B8ABDC}"/>
    <cellStyle name="Comma  - Style4" xfId="126" xr:uid="{93BA074C-73D2-40B4-93ED-F6CA0CCB7AD3}"/>
    <cellStyle name="Comma  - Style5" xfId="127" xr:uid="{7148AC3D-C517-4E74-A938-B300E854D93B}"/>
    <cellStyle name="Comma  - Style6" xfId="128" xr:uid="{FB139A77-0BAB-4E2E-BF11-ED090FCBA4A2}"/>
    <cellStyle name="Comma  - Style7" xfId="129" xr:uid="{9484D9BA-237E-4A03-AEFE-CC336390EC37}"/>
    <cellStyle name="Comma  - Style8" xfId="130" xr:uid="{8578E597-E806-4A77-A538-4E9E52523FB4}"/>
    <cellStyle name="Comma 0" xfId="131" xr:uid="{37474EF0-A1EA-416C-B1E2-42F61C21C452}"/>
    <cellStyle name="Comma 0*" xfId="132" xr:uid="{E84189AD-6CD8-4DB1-A486-B38A1A083A15}"/>
    <cellStyle name="Comma 0__MasterJRComps" xfId="133" xr:uid="{B8E93D93-F223-46EF-9AD3-B5445910B069}"/>
    <cellStyle name="Comma 2" xfId="134" xr:uid="{4C96C58D-B1FE-4540-B32B-94CDF01A4DBE}"/>
    <cellStyle name="Comma 2 2" xfId="135" xr:uid="{760A3489-D5E5-45B0-934C-8001A4694E37}"/>
    <cellStyle name="Comma 2 2 2" xfId="568" xr:uid="{4D3199F9-B503-441D-9006-515F0AE6BE5A}"/>
    <cellStyle name="Comma 2 3" xfId="567" xr:uid="{0AA51BE0-C83E-4FC6-BF63-B619DEE2E56B}"/>
    <cellStyle name="Comma 2 4" xfId="982" xr:uid="{37A3A15D-377A-482C-80F7-3A11E655FE15}"/>
    <cellStyle name="Comma 2*" xfId="136" xr:uid="{382E43E6-45B8-4694-86F6-8A672B4DB64F}"/>
    <cellStyle name="Comma 2__MasterJRComps" xfId="137" xr:uid="{F1506E9D-3BC2-4C29-8EC1-D7CC2BA36CCE}"/>
    <cellStyle name="Comma 3" xfId="138" xr:uid="{80AC404D-BEE5-4AD1-9613-393F2EF7C4A8}"/>
    <cellStyle name="Comma 3 2" xfId="139" xr:uid="{F1B7A28C-94CA-4482-86B9-E421F4549002}"/>
    <cellStyle name="Comma 3 2 2" xfId="570" xr:uid="{C7C63982-8D95-483F-BEF8-3BF74FABFD5E}"/>
    <cellStyle name="Comma 3 3" xfId="140" xr:uid="{C10B38F6-736B-4F4D-A3CD-AB5AD28929E4}"/>
    <cellStyle name="Comma 3 3 2" xfId="571" xr:uid="{4EC928AB-A542-4410-92B0-1CD8AFDBAF20}"/>
    <cellStyle name="Comma 3 4" xfId="569" xr:uid="{C26FF370-9B48-4850-9015-6EA7BDC72C73}"/>
    <cellStyle name="Comma 3*" xfId="141" xr:uid="{C2D01A8B-32AB-47D2-A05C-A46A73A6E8C5}"/>
    <cellStyle name="Comma 4" xfId="142" xr:uid="{9F32DC4C-F991-4099-9A61-9BCAB4174BB2}"/>
    <cellStyle name="Comma 4 2" xfId="572" xr:uid="{9FA77C48-F788-4DB4-894F-6D739037ACEF}"/>
    <cellStyle name="Comma 5" xfId="143" xr:uid="{417E3C3A-366D-4905-8A11-571890F671A7}"/>
    <cellStyle name="Comma 5 2" xfId="573" xr:uid="{B94D39D3-F721-4EDC-AFF6-FF8F930E4D49}"/>
    <cellStyle name="Comma 6" xfId="983" xr:uid="{58371168-87B6-45F4-85BF-4B287F77EDF3}"/>
    <cellStyle name="Comma 7" xfId="532" xr:uid="{CC1E6363-0C51-4E06-83E8-C0BA4ACC0B0B}"/>
    <cellStyle name="Comma*" xfId="144" xr:uid="{E695972C-E3A3-43B4-B6DB-2334B1BB0B7B}"/>
    <cellStyle name="Comma0" xfId="145" xr:uid="{1C58D778-2898-4A4D-A6A7-DEB0444C1A63}"/>
    <cellStyle name="Comma0 - Modelo1" xfId="146" xr:uid="{E8C18189-EF8C-4F6F-AE25-1D3D5DE4D4B2}"/>
    <cellStyle name="Comma0 - Style1" xfId="147" xr:uid="{70E331FD-5C72-4A20-AC7A-05EE532B83CA}"/>
    <cellStyle name="Comma1 - Modelo2" xfId="148" xr:uid="{DAE06BC5-07E2-4349-A6EE-F9F4C1904D9A}"/>
    <cellStyle name="Comma1 - Style2" xfId="149" xr:uid="{3F5A46B1-D35F-421B-9FE5-B2BECBD62DEB}"/>
    <cellStyle name="Condition" xfId="150" xr:uid="{39AACDE4-66A3-44DF-9B9D-03821980A6F5}"/>
    <cellStyle name="Condition 2" xfId="574" xr:uid="{40CB1E7B-79F1-4CF8-AF3A-801D5E413F06}"/>
    <cellStyle name="CondMandatory" xfId="151" xr:uid="{3DE2C714-98F0-4B0C-8F24-E6E44D2EFB48}"/>
    <cellStyle name="CondMandatory 2" xfId="575" xr:uid="{CD69958F-AE48-4FB5-8AF3-D3CB8109E361}"/>
    <cellStyle name="Content1" xfId="152" xr:uid="{3E0DDA60-72A1-4507-B4E7-46AE7A79BEFB}"/>
    <cellStyle name="Content1 2" xfId="576" xr:uid="{64CE53D7-C3F3-4AB8-A0FB-6760A17EABFB}"/>
    <cellStyle name="Content2" xfId="153" xr:uid="{12C74D2A-D5F5-4828-BC4F-5B0526CCF735}"/>
    <cellStyle name="Content3" xfId="154" xr:uid="{FBC6CCDF-DB9E-4EB5-9F0D-A541B47FA51B}"/>
    <cellStyle name="Cover Date" xfId="155" xr:uid="{D5D6D3BD-11FB-4654-AE8E-0568882AF38C}"/>
    <cellStyle name="Cover Date 2" xfId="577" xr:uid="{DF54B90A-1320-425F-AF38-12EC806DC133}"/>
    <cellStyle name="Cover Subtitle" xfId="156" xr:uid="{03F2E5C4-7499-4F65-987D-D5DE748DB915}"/>
    <cellStyle name="Cover Subtitle 2" xfId="578" xr:uid="{D8088F20-86B8-48D8-81BA-DFE5427CC89A}"/>
    <cellStyle name="Cover Title" xfId="157" xr:uid="{B94126D5-EB20-45E3-B79C-CF8E546792D8}"/>
    <cellStyle name="Cover Title 2" xfId="579" xr:uid="{C9F6F523-64E8-458C-8980-D4B4636081D3}"/>
    <cellStyle name="Currency 0" xfId="158" xr:uid="{27AA5BB1-C2A5-43D7-B263-DFFA8D4C1D85}"/>
    <cellStyle name="Currency 2" xfId="159" xr:uid="{3EDA144A-3436-44BB-B01A-83B0C9310916}"/>
    <cellStyle name="Currency 2 2" xfId="160" xr:uid="{E221E269-CC2D-4A93-A2AE-64F209CA0882}"/>
    <cellStyle name="Currency 2 2 2" xfId="581" xr:uid="{A848DE8C-44F2-4B91-9F7F-8B24613F1789}"/>
    <cellStyle name="Currency 2 3" xfId="161" xr:uid="{D57D412A-473F-44BC-9E29-4DE481F4372E}"/>
    <cellStyle name="Currency 2 3 2" xfId="582" xr:uid="{75133231-0A73-48C4-BD5F-CF1F107440F1}"/>
    <cellStyle name="Currency 2 4" xfId="580" xr:uid="{B04CA26F-47D9-42FE-BCF7-312D51F0193B}"/>
    <cellStyle name="Currency 2*" xfId="162" xr:uid="{F767FF72-E828-4A3C-8E76-987422B3ABE5}"/>
    <cellStyle name="Currency 2_% Change" xfId="163" xr:uid="{57053BAD-4E5A-4CC9-8928-BF98A2EE0CD9}"/>
    <cellStyle name="Currency 3*" xfId="164" xr:uid="{4D17FBCD-F1DF-4D96-9F9F-2CB305B86B6D}"/>
    <cellStyle name="Currency*" xfId="165" xr:uid="{0133BAF2-8C15-4C1A-A9E1-7C2C7AD5AB8B}"/>
    <cellStyle name="Currency0" xfId="166" xr:uid="{474B5A63-FE44-46A0-BCE1-7238133F28C1}"/>
    <cellStyle name="Date" xfId="167" xr:uid="{9C240DBB-CF75-4466-B46D-FB7E49FB54C5}"/>
    <cellStyle name="Date Aligned" xfId="168" xr:uid="{371A71A8-9E6D-49BA-9AB8-941B5A9F2601}"/>
    <cellStyle name="Date Aligned*" xfId="169" xr:uid="{22474192-9D80-4988-8310-7B084C319A90}"/>
    <cellStyle name="Date Aligned__MasterJRComps" xfId="170" xr:uid="{AF74883A-6382-431D-A8E3-7C9A693E0EF6}"/>
    <cellStyle name="Description" xfId="171" xr:uid="{E6F73368-C93F-4824-B426-5FADB66C0893}"/>
    <cellStyle name="Dia" xfId="172" xr:uid="{A2680014-E2F5-4476-9F47-DF93DF77E482}"/>
    <cellStyle name="Dia 2" xfId="583" xr:uid="{09B4B057-7CCC-482C-B488-8F7DAC561E51}"/>
    <cellStyle name="DistributionType" xfId="173" xr:uid="{6208E638-B225-4312-976D-D316E3B0BB14}"/>
    <cellStyle name="DistributionType 2" xfId="584" xr:uid="{AFC203FD-4741-4848-9D2C-EAB330F7AF5D}"/>
    <cellStyle name="Dotted Line" xfId="174" xr:uid="{EE7517A2-CC3B-4088-B4E0-0862E5C1EFBA}"/>
    <cellStyle name="Encabez1" xfId="175" xr:uid="{506A1B0F-9362-47F5-B290-93CC75F6A9E7}"/>
    <cellStyle name="Encabez1 2" xfId="585" xr:uid="{93D24611-D49E-423B-A5A2-4A959E4A4F4D}"/>
    <cellStyle name="Encabez2" xfId="176" xr:uid="{39226C2E-E11A-4BC8-883B-699CFC56E63E}"/>
    <cellStyle name="Encabez2 2" xfId="586" xr:uid="{4D794F59-FF1E-4E3D-9BFB-3C4D487BF010}"/>
    <cellStyle name="Euro" xfId="177" xr:uid="{C375C0BF-56D8-4FE2-BDDF-CA3626DCBCCE}"/>
    <cellStyle name="Euro 2" xfId="178" xr:uid="{20B0DAB0-D364-46CA-AACB-4C7C01FD7D1A}"/>
    <cellStyle name="Euro 3" xfId="587" xr:uid="{10B7AE3C-DD66-4604-9920-335ACFA810C7}"/>
    <cellStyle name="Explanatory Text 2" xfId="180" xr:uid="{3141C72A-0AAB-4226-8E7B-624BBF199B0F}"/>
    <cellStyle name="Explanatory Text 2 2" xfId="2133" xr:uid="{CDD28CE2-D38A-4FC8-B0AC-4D4C9E1FF253}"/>
    <cellStyle name="Explanatory Text 3" xfId="745" xr:uid="{72FCD221-CF82-46E8-9A79-1B6189DD1C42}"/>
    <cellStyle name="Explanatory Text 4" xfId="179" xr:uid="{BCF6DFC9-B450-4740-A2B6-BE432E129F4B}"/>
    <cellStyle name="F2" xfId="181" xr:uid="{B1F17F3E-2D3F-47DF-9FAC-0C5FA6BE293B}"/>
    <cellStyle name="F2 2" xfId="588" xr:uid="{3F9FE4DC-E843-44A6-8949-B84A4F08862A}"/>
    <cellStyle name="F3" xfId="182" xr:uid="{5FBCDFD3-4B18-400D-9A3D-F72548652639}"/>
    <cellStyle name="F3 2" xfId="589" xr:uid="{A8223D41-F664-4317-976C-E2C48C000C41}"/>
    <cellStyle name="F4" xfId="183" xr:uid="{9F3E44AE-5D49-44D8-91E7-2E7CF65AA0A8}"/>
    <cellStyle name="F4 2" xfId="590" xr:uid="{093B6D39-8D63-46E3-A72C-4E4D73C17BD8}"/>
    <cellStyle name="F5" xfId="184" xr:uid="{127D67FB-05CF-4EC6-9893-0A517F713EB4}"/>
    <cellStyle name="F5 2" xfId="591" xr:uid="{722C7A14-137E-45CA-B9E0-10039EF478BF}"/>
    <cellStyle name="F6" xfId="185" xr:uid="{2B56F98C-E30A-410E-9F7B-481930FFF76B}"/>
    <cellStyle name="F6 2" xfId="592" xr:uid="{CE26B7A9-0778-47A8-BD7E-8F4FA97188B7}"/>
    <cellStyle name="F7" xfId="186" xr:uid="{F9B6ABD2-2E02-4A22-AA87-1FE767811973}"/>
    <cellStyle name="F7 2" xfId="593" xr:uid="{9A867AB9-F70F-411D-9B17-04F04E2AEC7E}"/>
    <cellStyle name="F8" xfId="187" xr:uid="{13BD6D54-5117-4265-807E-A9E614B2D1F5}"/>
    <cellStyle name="F8 2" xfId="594" xr:uid="{EAEEC875-4CD2-41DB-AFB3-99B10CFE458A}"/>
    <cellStyle name="Fijo" xfId="188" xr:uid="{BC798A8E-1543-4733-B5B6-E23EE899CFC4}"/>
    <cellStyle name="Fijo 2" xfId="595" xr:uid="{F4DD090C-0F10-49E1-9009-EA4677506529}"/>
    <cellStyle name="Financiero" xfId="189" xr:uid="{E5C072D5-9FAD-4300-A039-813C269D17F5}"/>
    <cellStyle name="Financiero 2" xfId="596" xr:uid="{C5F9B493-20FB-401D-BECD-C37751734E2F}"/>
    <cellStyle name="Fixed" xfId="190" xr:uid="{0A5FB0EC-E4F4-4D64-8B94-2C802B6BAC29}"/>
    <cellStyle name="Flag" xfId="191" xr:uid="{88C3DBBB-1AEA-4DE9-AA5A-AAF1F6DD2840}"/>
    <cellStyle name="Flash" xfId="192" xr:uid="{DBBE7E49-20FF-4F5B-AD06-BC2151EA718C}"/>
    <cellStyle name="Fonts" xfId="193" xr:uid="{175219C7-951E-4D92-8197-4C35C1955524}"/>
    <cellStyle name="Footer SBILogo1" xfId="194" xr:uid="{330D477F-0A4E-4F0E-BCBA-1D226C0C2F2D}"/>
    <cellStyle name="Footer SBILogo1 2" xfId="597" xr:uid="{73A92FB4-C29F-480D-8910-11EACDAED507}"/>
    <cellStyle name="Footer SBILogo2" xfId="195" xr:uid="{52EED045-99E6-43FE-ACCC-A6E57D1872FE}"/>
    <cellStyle name="Footnote" xfId="196" xr:uid="{3800EDD3-B1CC-455D-8B7A-7F7CCFC14AF3}"/>
    <cellStyle name="footnote ref" xfId="197" xr:uid="{DB399238-E1D7-4658-80A1-851900C6A7D8}"/>
    <cellStyle name="Footnote Reference" xfId="198" xr:uid="{06D7EE1C-ED3C-4E48-A395-E84CB581105D}"/>
    <cellStyle name="footnote text" xfId="199" xr:uid="{83D4553A-CC21-46E6-A871-A2CBF8A2DAB3}"/>
    <cellStyle name="Footnote_% Change" xfId="200" xr:uid="{139FDB9A-621D-4FB6-82DE-0A58C8F2AB0F}"/>
    <cellStyle name="General" xfId="201" xr:uid="{D1F05414-C59B-44ED-9C78-AD354EF4726A}"/>
    <cellStyle name="General 2" xfId="202" xr:uid="{53CDA1DE-72A5-43E9-84F1-D77FB4C15A7A}"/>
    <cellStyle name="General 2 2" xfId="599" xr:uid="{89FABAC2-EFE4-49EA-9415-719FCD1AB8B1}"/>
    <cellStyle name="General 3" xfId="598" xr:uid="{611CBD5A-40D2-4208-ACF6-10247FB08E71}"/>
    <cellStyle name="Good 2" xfId="204" xr:uid="{98858799-B693-4CA4-8511-43704E801BA0}"/>
    <cellStyle name="Good 2 2" xfId="2134" xr:uid="{F55C262E-1536-4AEC-8C75-7B8FB6905CB5}"/>
    <cellStyle name="Good 3" xfId="746" xr:uid="{BAB2201E-5E7A-42E8-92E7-EA232507E4E7}"/>
    <cellStyle name="Good 4" xfId="203" xr:uid="{C8ACD9D8-A458-456A-A307-8E8AB8D7B70C}"/>
    <cellStyle name="Grey" xfId="205" xr:uid="{EB715B74-3DDE-4843-8447-4DB1DE180D90}"/>
    <cellStyle name="Grey 2" xfId="600" xr:uid="{0F8CCF4F-2A4A-45D5-BE7F-CE36EBDC3F7B}"/>
    <cellStyle name="Group" xfId="206" xr:uid="{27803575-9695-41E2-81FA-EAAA0E009153}"/>
    <cellStyle name="Group 2" xfId="601" xr:uid="{C1EBA8A5-2914-4F64-803F-4C3151AA342C}"/>
    <cellStyle name="GroupNote" xfId="207" xr:uid="{CCC198DF-BF21-4F60-B1FD-0AD7DB7AD1A4}"/>
    <cellStyle name="Hard Percent" xfId="208" xr:uid="{3B9BC943-F4B5-4F6E-B0A3-ECEA66869C0E}"/>
    <cellStyle name="Header" xfId="209" xr:uid="{5F4CBB56-BD20-43D2-A988-F49691534ACA}"/>
    <cellStyle name="Header Draft Stamp" xfId="210" xr:uid="{DA2DAED5-9F13-4774-96BC-60015E1F72C6}"/>
    <cellStyle name="Header_% Change" xfId="211" xr:uid="{E4659CDD-DA0D-4B30-BE29-536BA1D4E08D}"/>
    <cellStyle name="Header1" xfId="212" xr:uid="{F63A11FF-63AB-4576-9EBF-E234F0DAAD16}"/>
    <cellStyle name="Header2" xfId="213" xr:uid="{F9F6F8A6-EB1C-4907-A84C-23EE379D0D11}"/>
    <cellStyle name="HeaderLabel" xfId="214" xr:uid="{9FD774F2-B32F-49C3-BE2E-06BD311B71D3}"/>
    <cellStyle name="HeaderText" xfId="215" xr:uid="{CA83DC53-7A1C-4405-BCA4-325729BB1ABD}"/>
    <cellStyle name="Heading" xfId="216" xr:uid="{0C1BA166-E90B-458D-BB46-F2376445BFB1}"/>
    <cellStyle name="Heading 1 10" xfId="834" xr:uid="{3B0A8C05-BE2D-49EB-9CEE-17D88BAEA365}"/>
    <cellStyle name="Heading 1 11" xfId="217" xr:uid="{B52E3706-27D1-457E-A887-FCB280A5F5BD}"/>
    <cellStyle name="Heading 1 2" xfId="218" xr:uid="{C13665A5-91D9-45FE-8E7E-4990AF7AF873}"/>
    <cellStyle name="Heading 1 2 2" xfId="219" xr:uid="{A3468A11-108A-41A9-8230-3B1F7B9A2107}"/>
    <cellStyle name="Heading 1 2 3" xfId="2135" xr:uid="{1BC5638C-364C-47BC-90FB-D76637851D1C}"/>
    <cellStyle name="Heading 1 2_asset sales" xfId="220" xr:uid="{068A9DCF-61F5-4872-B851-C281710DAF27}"/>
    <cellStyle name="Heading 1 3" xfId="221" xr:uid="{7AC337EC-3C87-4552-9515-4D3274D9F75C}"/>
    <cellStyle name="Heading 1 4" xfId="222" xr:uid="{93735B9E-B3B2-409E-BAA4-786845DDAFA3}"/>
    <cellStyle name="Heading 1 5" xfId="747" xr:uid="{5BD7D984-CB06-47BC-8AD5-6BDB23C5C96D}"/>
    <cellStyle name="Heading 1 6" xfId="763" xr:uid="{E59C81DF-EA16-46E7-B93B-0627D4901FDC}"/>
    <cellStyle name="Heading 1 7" xfId="778" xr:uid="{64AF6839-76AE-4D57-A484-22FCB5AACF51}"/>
    <cellStyle name="Heading 1 8" xfId="835" xr:uid="{B7F46E5F-DFDF-4A3A-B19B-7EB246C783CE}"/>
    <cellStyle name="Heading 1 9" xfId="821" xr:uid="{59177A15-774E-4EE6-82BE-33FC588976E1}"/>
    <cellStyle name="Heading 1 Above" xfId="223" xr:uid="{6EDA38CB-0209-41B4-B1E8-D7503D6ED8A9}"/>
    <cellStyle name="Heading 1+" xfId="224" xr:uid="{D6DF46D2-7075-40BF-B49B-EE08445F3B08}"/>
    <cellStyle name="Heading 1+ 2" xfId="602" xr:uid="{93B1609C-1CC5-49ED-B3A6-A06EB0F5D3FC}"/>
    <cellStyle name="Heading 2 2" xfId="226" xr:uid="{60991673-D8AB-48DA-8643-BBA3DC3BC7C7}"/>
    <cellStyle name="Heading 2 2 2" xfId="2136" xr:uid="{4B4C9475-C6DF-4E64-884B-08956AE13EAE}"/>
    <cellStyle name="Heading 2 3" xfId="227" xr:uid="{918BF7C3-DAFC-4BE1-A06B-4836EC2A76C7}"/>
    <cellStyle name="Heading 2 4" xfId="748" xr:uid="{2D1D50CD-48F8-409A-8556-C90D47035FA8}"/>
    <cellStyle name="Heading 2 5" xfId="225" xr:uid="{73F86E3C-0C48-4D2E-A7F6-A13270248C85}"/>
    <cellStyle name="Heading 2 Below" xfId="228" xr:uid="{C89DD110-C454-4212-AA86-37EED6BF71F6}"/>
    <cellStyle name="Heading 2+" xfId="229" xr:uid="{F0A6F68E-122E-4556-9D3B-A83385874790}"/>
    <cellStyle name="Heading 2+ 2" xfId="603" xr:uid="{78DD5D1B-D194-4B0E-B49B-F6790EE19D77}"/>
    <cellStyle name="Heading 3 2" xfId="231" xr:uid="{EE7A3529-E887-4750-9F10-44FFAE1D78A9}"/>
    <cellStyle name="Heading 3 2 2" xfId="2137" xr:uid="{18C52070-62AD-47BC-9EF5-CEF8F0B6D458}"/>
    <cellStyle name="Heading 3 3" xfId="232" xr:uid="{E04AC9E1-A30E-4701-9B55-D6441D7676B8}"/>
    <cellStyle name="Heading 3 4" xfId="749" xr:uid="{DFF99D78-9880-4897-9164-272F0027F155}"/>
    <cellStyle name="Heading 3 5" xfId="230" xr:uid="{894AFF97-42BC-46F7-B6EA-A1582A2FFF36}"/>
    <cellStyle name="Heading 3+" xfId="233" xr:uid="{5484AA44-77A9-4884-BAE4-2202C3FDA803}"/>
    <cellStyle name="Heading 4 2" xfId="235" xr:uid="{9707F5B3-C243-4377-A21D-9DE534491B3F}"/>
    <cellStyle name="Heading 4 2 2" xfId="2138" xr:uid="{CBE044F7-117A-4826-B290-40881F64A91E}"/>
    <cellStyle name="Heading 4 3" xfId="236" xr:uid="{5D133002-98B2-4AFF-B947-D718044A38E2}"/>
    <cellStyle name="Heading 4 4" xfId="750" xr:uid="{FF5889D5-6AA2-4399-A682-A4A81D612F39}"/>
    <cellStyle name="Heading 4 5" xfId="234" xr:uid="{9E45D3C3-A031-4DA6-B13B-C55307A50985}"/>
    <cellStyle name="Heading 5" xfId="237" xr:uid="{13A66C5B-CCB0-4813-8AD5-BCF8DD7424DB}"/>
    <cellStyle name="Heading 6" xfId="238" xr:uid="{A2F9DC39-4ACE-46BF-8438-ABD186F703F8}"/>
    <cellStyle name="Heading 7" xfId="239" xr:uid="{D6EEF664-97D6-4218-AFB3-62131BAA92E8}"/>
    <cellStyle name="Heading 8" xfId="240" xr:uid="{28436C41-DD06-408A-8E43-2244F6134C3A}"/>
    <cellStyle name="Heading1" xfId="241" xr:uid="{A3A6F5E2-9489-4356-8432-358C83682A24}"/>
    <cellStyle name="Heading2" xfId="242" xr:uid="{13A159AA-F46F-4701-A13D-243BDF31A1EA}"/>
    <cellStyle name="Heading3" xfId="243" xr:uid="{7F4DE7C5-3BD1-4F79-8384-F03C46619624}"/>
    <cellStyle name="Heading4" xfId="244" xr:uid="{86E8C5A8-E57C-44AD-97C5-2063F447FFF2}"/>
    <cellStyle name="Heading5" xfId="245" xr:uid="{095A716A-9C91-4288-96CC-201E5BAF1DB2}"/>
    <cellStyle name="Horizontal" xfId="246" xr:uid="{21FD7779-DDF7-4BE2-B898-CDC39C4BFD84}"/>
    <cellStyle name="Hyperlink" xfId="2173" builtinId="8"/>
    <cellStyle name="Hyperlink 2" xfId="247" xr:uid="{7A9D9546-3777-45BF-A6DD-294D4D30CBF3}"/>
    <cellStyle name="Hyperlink 2 2" xfId="248" xr:uid="{B6A87D33-513F-40B5-8CD7-01C4CEADE295}"/>
    <cellStyle name="Hyperlink 2 2 2" xfId="984" xr:uid="{642D974A-93EB-44FF-8305-20F50B0FC3FB}"/>
    <cellStyle name="Hyperlink 2 3" xfId="980" xr:uid="{B978EFE7-5E2B-4A2E-8B30-9E7DD425940A}"/>
    <cellStyle name="Hyperlink 3" xfId="527" xr:uid="{C6BD8B40-C4DA-4D0B-8CE5-2B8EBE0992E6}"/>
    <cellStyle name="Hyperlink 4" xfId="706" xr:uid="{6204DFCF-4D57-4DBC-A273-32368C22E9AF}"/>
    <cellStyle name="Information" xfId="249" xr:uid="{887DCBEF-8328-4D1C-880F-61094F30B128}"/>
    <cellStyle name="Input [yellow]" xfId="251" xr:uid="{9016A4CF-5FC2-4091-9E09-716E57E52887}"/>
    <cellStyle name="Input [yellow] 2" xfId="604" xr:uid="{7C389929-CE34-4F36-85DD-FC6A7397BA17}"/>
    <cellStyle name="Input 10" xfId="252" xr:uid="{22452F83-B5B1-4027-9415-69B1B0EA3152}"/>
    <cellStyle name="Input 11" xfId="253" xr:uid="{75FA6668-4B94-4E99-BDC9-67BDE402B55F}"/>
    <cellStyle name="Input 12" xfId="254" xr:uid="{8318849A-6F6F-4880-8DD4-CAD22DDCFE6B}"/>
    <cellStyle name="Input 13" xfId="255" xr:uid="{4F8913DB-1B27-45F0-81F9-BECB2363DCD2}"/>
    <cellStyle name="Input 14" xfId="256" xr:uid="{F84C5530-7231-4293-AB52-FA3C6F764FE2}"/>
    <cellStyle name="Input 15" xfId="257" xr:uid="{8652FBA4-84C6-4A53-9AAE-74720A113FB5}"/>
    <cellStyle name="Input 16" xfId="258" xr:uid="{B395DA7A-FC6F-45DE-AF54-57541C1D228F}"/>
    <cellStyle name="Input 17" xfId="259" xr:uid="{688B0548-DA89-445E-BA6D-B9D54D3EE0D2}"/>
    <cellStyle name="Input 18" xfId="260" xr:uid="{826ED737-17DD-43DD-B2F0-E1D1F711A985}"/>
    <cellStyle name="Input 19" xfId="261" xr:uid="{D0E71DAF-503D-4A0A-B33F-F644495D560D}"/>
    <cellStyle name="Input 2" xfId="262" xr:uid="{2F0815F5-6FD9-4FF6-99D9-BF3A7223C7AE}"/>
    <cellStyle name="Input 2 2" xfId="2140" xr:uid="{88ADB438-D7EF-4EA3-ABA3-92F4CD13F71D}"/>
    <cellStyle name="Input 20" xfId="751" xr:uid="{01A9FBB8-FF6B-4B16-8DC4-1A0C74ABF07C}"/>
    <cellStyle name="Input 21" xfId="764" xr:uid="{4AF572E9-A93C-41CE-98F0-F4A35EFDCD24}"/>
    <cellStyle name="Input 22" xfId="779" xr:uid="{E390EC5C-EFCD-4006-A171-80C461C690DA}"/>
    <cellStyle name="Input 23" xfId="837" xr:uid="{569E49BD-7218-46EA-B7B8-F97506F14F1C}"/>
    <cellStyle name="Input 24" xfId="843" xr:uid="{C372F927-7496-47D4-9881-B2D8B0141F83}"/>
    <cellStyle name="Input 25" xfId="836" xr:uid="{F9F15B78-DD3F-40A4-894F-9036A89C4D8A}"/>
    <cellStyle name="Input 26" xfId="844" xr:uid="{843731C4-1E7C-45CB-BCC1-54E7126B80D1}"/>
    <cellStyle name="Input 27" xfId="838" xr:uid="{1C9B140C-7874-472A-BD1A-9E884140089C}"/>
    <cellStyle name="Input 28" xfId="845" xr:uid="{76562D26-2563-4078-8402-4E48318149AC}"/>
    <cellStyle name="Input 29" xfId="839" xr:uid="{C7EE9147-AD7C-45A8-BD13-E6401355DD47}"/>
    <cellStyle name="Input 3" xfId="263" xr:uid="{63F5E14D-B8A1-46C6-A21C-9896439B82EA}"/>
    <cellStyle name="Input 30" xfId="887" xr:uid="{ACAEE602-16BF-4AA5-AAD2-D151AA50F323}"/>
    <cellStyle name="Input 31" xfId="891" xr:uid="{3E75EE1E-1E97-4CBD-9826-2665C7702C97}"/>
    <cellStyle name="Input 32" xfId="915" xr:uid="{DD3099B0-E6B9-4102-8E5F-CCF84AB60760}"/>
    <cellStyle name="Input 33" xfId="920" xr:uid="{6C1560CE-D752-4D7D-8FFF-5F950035093C}"/>
    <cellStyle name="Input 34" xfId="914" xr:uid="{393AFD85-E688-471F-B2F9-448DF9946DDD}"/>
    <cellStyle name="Input 35" xfId="958" xr:uid="{BAA40266-59DA-42AB-9A3B-308D8D8C81D1}"/>
    <cellStyle name="Input 36" xfId="963" xr:uid="{9E4655B8-CB7F-4ADB-9183-414AE0EED9AE}"/>
    <cellStyle name="Input 37" xfId="959" xr:uid="{9DA3E73F-E63C-443D-8BA7-5088987E5A42}"/>
    <cellStyle name="Input 38" xfId="953" xr:uid="{B502C205-15A4-464D-BC9F-BB226D0477EB}"/>
    <cellStyle name="Input 39" xfId="1027" xr:uid="{B1D45F3B-2D4A-4D9A-BB35-2F094B4ACE7C}"/>
    <cellStyle name="Input 4" xfId="264" xr:uid="{D45155CF-7DA3-402E-B826-D61011662BAF}"/>
    <cellStyle name="Input 40" xfId="1038" xr:uid="{ADE26BC8-F953-4853-ABCE-0A07CB638D9E}"/>
    <cellStyle name="Input 41" xfId="1026" xr:uid="{8C8D1281-88E6-4871-A70B-4E9E760F7300}"/>
    <cellStyle name="Input 42" xfId="1079" xr:uid="{557709F8-9689-409D-AFF3-F6A0643F74DD}"/>
    <cellStyle name="Input 43" xfId="1088" xr:uid="{FCC2A47D-EB97-4D28-B60E-2A5E36E754F7}"/>
    <cellStyle name="Input 44" xfId="1103" xr:uid="{3B9C87D7-EB7C-4AC1-8DEE-B723A1D4E10E}"/>
    <cellStyle name="Input 45" xfId="1125" xr:uid="{9BE2C8CB-EA38-4D24-B349-569157B39110}"/>
    <cellStyle name="Input 46" xfId="1131" xr:uid="{59CB57EA-E174-4224-9849-BE410625C06C}"/>
    <cellStyle name="Input 47" xfId="1123" xr:uid="{746619D5-7B18-432F-9C6D-62A7AC9C4762}"/>
    <cellStyle name="Input 48" xfId="1132" xr:uid="{2D1AB2E0-F67C-4C4F-8F6C-6B0D586F7984}"/>
    <cellStyle name="Input 49" xfId="1124" xr:uid="{FF8ED208-B4E5-4CAF-8552-8D6B35FB3FBF}"/>
    <cellStyle name="Input 5" xfId="265" xr:uid="{D9A59940-8BAF-48C7-8150-ADDFD16DBC95}"/>
    <cellStyle name="Input 50" xfId="1215" xr:uid="{BD26E2D1-39E9-40EE-B6DB-431B98B34346}"/>
    <cellStyle name="Input 51" xfId="1234" xr:uid="{42987B7D-9833-4E53-AA8C-C34489CABDBA}"/>
    <cellStyle name="Input 52" xfId="1212" xr:uid="{79C3FECA-C0EF-44D9-838E-FB4E329A62F9}"/>
    <cellStyle name="Input 53" xfId="1235" xr:uid="{EBF45FE3-374F-47DD-AC13-EBBA8D613914}"/>
    <cellStyle name="Input 54" xfId="1213" xr:uid="{7F8766C6-229C-4833-A1D8-6463B7B21055}"/>
    <cellStyle name="Input 55" xfId="1231" xr:uid="{B28CA396-52B3-48A3-B5BE-E7933596F4A5}"/>
    <cellStyle name="Input 56" xfId="1214" xr:uid="{54A9FB79-572B-4408-9484-FCB3860B7787}"/>
    <cellStyle name="Input 57" xfId="1232" xr:uid="{D95BC8C4-F0A6-4FDC-8E17-06792E7D5BE9}"/>
    <cellStyle name="Input 58" xfId="1315" xr:uid="{77073F1C-5E57-46B0-8B59-93404E8869D4}"/>
    <cellStyle name="Input 59" xfId="1331" xr:uid="{A7E9005F-74E3-4F88-BD52-29E1E651B610}"/>
    <cellStyle name="Input 6" xfId="266" xr:uid="{860735A0-BF9C-4D03-9FF4-371A705795DF}"/>
    <cellStyle name="Input 60" xfId="1314" xr:uid="{F9D9FCCE-7095-4922-977B-C81A6084E4C2}"/>
    <cellStyle name="Input 61" xfId="1406" xr:uid="{C1D0D1BF-63E7-4682-B698-A65CDFC4320D}"/>
    <cellStyle name="Input 62" xfId="1494" xr:uid="{5C1B346D-C078-4E8D-93AC-CC243057092F}"/>
    <cellStyle name="Input 63" xfId="1522" xr:uid="{0A3939E2-C7C4-49A7-B5D2-680CF3EB7A9B}"/>
    <cellStyle name="Input 64" xfId="1527" xr:uid="{43739F1A-BEF9-44F2-8474-D7190DB0A439}"/>
    <cellStyle name="Input 65" xfId="1529" xr:uid="{56C179F2-96A5-4FAA-9712-CDB943C168AB}"/>
    <cellStyle name="Input 66" xfId="1620" xr:uid="{F871824D-9D9F-41ED-97D3-D3BED3E1BD68}"/>
    <cellStyle name="Input 67" xfId="1618" xr:uid="{CC2E7C49-998F-43EE-B905-E6267CD2FA7F}"/>
    <cellStyle name="Input 68" xfId="1619" xr:uid="{9596AE38-F732-4B95-96D4-88294BD2392F}"/>
    <cellStyle name="Input 69" xfId="1623" xr:uid="{6F825B8C-7AF4-47A8-9C14-A93DDE684DB8}"/>
    <cellStyle name="Input 7" xfId="267" xr:uid="{09840DE5-AE57-490A-BFB5-C514FC58A686}"/>
    <cellStyle name="Input 70" xfId="1712" xr:uid="{4A87954F-9907-4024-B552-16E6F361E2C3}"/>
    <cellStyle name="Input 71" xfId="1799" xr:uid="{572A3734-58C8-4D33-9109-E4279E2736D7}"/>
    <cellStyle name="Input 72" xfId="1711" xr:uid="{53DABCBE-AA27-4187-8130-287DCC03B8CC}"/>
    <cellStyle name="Input 73" xfId="1815" xr:uid="{64CB2E6B-05A9-43BF-9BAB-9DC7DC54A727}"/>
    <cellStyle name="Input 74" xfId="1892" xr:uid="{16D37B67-C52A-4890-9178-8CEEB7F218B2}"/>
    <cellStyle name="Input 75" xfId="1913" xr:uid="{5C8034C3-7FD0-47F3-8E80-CCE217DC0C70}"/>
    <cellStyle name="Input 76" xfId="1819" xr:uid="{98D2FF64-A6FC-4E06-8304-5DCA7CA67339}"/>
    <cellStyle name="Input 77" xfId="1914" xr:uid="{E314A61E-F018-4FC2-8955-01128ECF9442}"/>
    <cellStyle name="Input 78" xfId="1912" xr:uid="{1C28C8D2-34A9-42D5-8698-E8303F03336D}"/>
    <cellStyle name="Input 79" xfId="1919" xr:uid="{9183E3C4-A046-4C3D-B0FF-A3403A9CF48D}"/>
    <cellStyle name="Input 8" xfId="268" xr:uid="{0E3DF539-695D-4863-A6B3-A3AD49B55F9C}"/>
    <cellStyle name="Input 80" xfId="2007" xr:uid="{7548B0F1-2317-48A8-9B19-919FB892212B}"/>
    <cellStyle name="Input 81" xfId="2139" xr:uid="{20AFE3ED-D97E-4028-8D01-FE6011DE2DF6}"/>
    <cellStyle name="Input 82" xfId="2163" xr:uid="{B56A61E9-756D-4DAC-AB41-63817AE23200}"/>
    <cellStyle name="Input 83" xfId="250" xr:uid="{8EE4CACB-C458-495D-96A8-E98655088539}"/>
    <cellStyle name="Input 9" xfId="269" xr:uid="{39C5036C-5FF1-4271-9651-9A8FDCFD55DE}"/>
    <cellStyle name="Input Currency" xfId="270" xr:uid="{F77CF971-EADA-48B5-BA63-DA736E71014D}"/>
    <cellStyle name="Input Currency 2" xfId="271" xr:uid="{86C24D3E-0663-432E-A48A-1AC257546D49}"/>
    <cellStyle name="Input Multiple" xfId="272" xr:uid="{F9AD7808-0521-475A-804A-CADE4A1F0EED}"/>
    <cellStyle name="Input Percent" xfId="273" xr:uid="{EB084F67-E076-4920-858C-E0861B5726DB}"/>
    <cellStyle name="LabelIntersect" xfId="274" xr:uid="{1F60CF1E-A6FD-438F-B21D-871934BDD479}"/>
    <cellStyle name="LabelLeft" xfId="275" xr:uid="{D7A383A4-75F6-4F9C-A7A4-5D358E3DC71E}"/>
    <cellStyle name="LabelTop" xfId="276" xr:uid="{127ED60A-2D9F-4BB8-B37A-2E998DECC8A0}"/>
    <cellStyle name="Level" xfId="277" xr:uid="{726334ED-DDD1-4C27-97D1-277500FF654F}"/>
    <cellStyle name="Level 2" xfId="605" xr:uid="{F7ED1785-3FE2-4E01-88D4-51DCCD601CC9}"/>
    <cellStyle name="Linked Cell 2" xfId="279" xr:uid="{6C8A9B0A-BDF5-4B54-8F65-339C5CDF2E22}"/>
    <cellStyle name="Linked Cell 2 2" xfId="2141" xr:uid="{B5168016-4104-4828-81AA-87C9A6F4C84E}"/>
    <cellStyle name="Linked Cell 3" xfId="752" xr:uid="{BCF8EEFC-43FC-4000-A1C1-28E3D5C16BDF}"/>
    <cellStyle name="Linked Cell 4" xfId="278" xr:uid="{54B0D80B-65AB-49D1-85E9-DC37CDF83B84}"/>
    <cellStyle name="Mik" xfId="280" xr:uid="{32AB61C4-D5E8-4361-9486-FFBE3E58D80B}"/>
    <cellStyle name="Mik 2" xfId="281" xr:uid="{0172F71D-AD96-417C-944E-2E639E5890C3}"/>
    <cellStyle name="Mik 2 2" xfId="607" xr:uid="{CD964903-6DBF-4C36-A6C5-5D086B0E7FCE}"/>
    <cellStyle name="Mik 3" xfId="606" xr:uid="{A542601A-795A-4ED5-8E95-BFEBA89B6C3C}"/>
    <cellStyle name="Mik_Fiscal Tables" xfId="282" xr:uid="{F5B1B893-D09B-41C7-A54A-F5A02541F774}"/>
    <cellStyle name="Millares [0]_10 AVERIAS MASIVAS + ANT" xfId="283" xr:uid="{6F916998-8F8F-444E-9FBB-0E2E5A3C9EE2}"/>
    <cellStyle name="Millares_10 AVERIAS MASIVAS + ANT" xfId="284" xr:uid="{80BD4306-065E-4C7D-B08F-F446F86552C3}"/>
    <cellStyle name="Moneda [0]_Clasif por Diferencial" xfId="285" xr:uid="{43441440-5C37-4350-9613-41A37470E7FE}"/>
    <cellStyle name="Moneda_Clasif por Diferencial" xfId="286" xr:uid="{D996AD9F-8C9A-485C-9456-CC403450AC0E}"/>
    <cellStyle name="MS_English" xfId="287" xr:uid="{DFCA1971-C1D4-48F7-ADB0-9056D375A9A8}"/>
    <cellStyle name="Multiple" xfId="288" xr:uid="{248B00A1-524A-4EFB-9072-A62F453469CB}"/>
    <cellStyle name="MultipleBelow" xfId="289" xr:uid="{D9673AC9-6BA3-4FC2-8E63-398AA407FE17}"/>
    <cellStyle name="N" xfId="290" xr:uid="{9362FE8F-E65A-488F-9081-A57792B30867}"/>
    <cellStyle name="N 2" xfId="291" xr:uid="{A2662507-2890-49C7-99EE-0F81B913D2AB}"/>
    <cellStyle name="N 2 2" xfId="609" xr:uid="{8C9FD1E8-A9B9-410A-9218-B242B153DAB4}"/>
    <cellStyle name="N 3" xfId="608" xr:uid="{123B8698-A499-4D43-9BA0-24616F63DE8A}"/>
    <cellStyle name="Neutral 2" xfId="293" xr:uid="{0DCF2EC8-9EFE-4C30-A0CE-548CDAF39EC0}"/>
    <cellStyle name="Neutral 2 2" xfId="1893" xr:uid="{52E9B43C-CF0B-420E-A41E-6FC2C84F9E82}"/>
    <cellStyle name="Neutral 2 3" xfId="2142" xr:uid="{80832B86-C4D7-4093-95C6-1EC66E45359E}"/>
    <cellStyle name="Neutral 3" xfId="753" xr:uid="{FCE7DC9E-EBDF-464B-82E9-9CBC1E5A4683}"/>
    <cellStyle name="Neutral 4" xfId="1028" xr:uid="{6A26CE81-2FB3-4B29-9067-6467489A6804}"/>
    <cellStyle name="Neutral 5" xfId="292" xr:uid="{65A63B22-D9CA-45B0-A0BC-8679B6FA98E8}"/>
    <cellStyle name="no dec" xfId="294" xr:uid="{A3DDAC93-8B04-400A-9C4A-280F133D6FAB}"/>
    <cellStyle name="Normal" xfId="0" builtinId="0"/>
    <cellStyle name="Normal - Style1" xfId="295" xr:uid="{3E5B2876-E7AA-4955-BB95-9FCD2A1BEFA2}"/>
    <cellStyle name="Normal - Style1 2" xfId="296" xr:uid="{369AE683-1197-4ADA-A0ED-47E97969FBD3}"/>
    <cellStyle name="Normal - Style2" xfId="297" xr:uid="{29AD9E63-8F86-427A-AED5-4E48CEBA12F9}"/>
    <cellStyle name="Normal - Style3" xfId="298" xr:uid="{15154133-CD5B-4FA0-8A22-E8B68320E6DF}"/>
    <cellStyle name="Normal - Style4" xfId="299" xr:uid="{A3FB5882-D94E-49A1-9BC8-6D56E3A14CFB}"/>
    <cellStyle name="Normal - Style5" xfId="300" xr:uid="{98066E7C-442C-4145-989B-CA6219BD05CD}"/>
    <cellStyle name="Normal 0" xfId="301" xr:uid="{737DEC72-4042-42D4-BAAC-22FBDCA72E83}"/>
    <cellStyle name="Normal 10" xfId="302" xr:uid="{13050742-3378-43F1-B885-67B158EA5C12}"/>
    <cellStyle name="Normal 10 2" xfId="610" xr:uid="{F9E64CEB-7F22-474F-89A3-CFA63A0E4D50}"/>
    <cellStyle name="Normal 100" xfId="862" xr:uid="{5662AFB6-70CA-464A-B168-A1D1E48F290C}"/>
    <cellStyle name="Normal 101" xfId="863" xr:uid="{8EB50101-D75C-4C78-B314-DF3779A6CE95}"/>
    <cellStyle name="Normal 102" xfId="864" xr:uid="{D6E37E1D-ECDF-4E5D-BDD8-6632B41F61F4}"/>
    <cellStyle name="Normal 103" xfId="866" xr:uid="{F264250D-7418-4479-A2A3-9FD18E095C0C}"/>
    <cellStyle name="Normal 104" xfId="867" xr:uid="{39469488-2156-4BF5-BDDF-3F8EF562C26D}"/>
    <cellStyle name="Normal 105" xfId="872" xr:uid="{F630B183-0248-40A1-8F4F-AA7E0C07CE35}"/>
    <cellStyle name="Normal 106" xfId="890" xr:uid="{FF27A82C-DBD1-4180-A9E2-C6B92DA9AA5D}"/>
    <cellStyle name="Normal 107" xfId="871" xr:uid="{7E9C6CDF-8D38-479C-8F47-89FD10FEB48A}"/>
    <cellStyle name="Normal 108" xfId="883" xr:uid="{337552CF-17C8-434E-B4D4-54C7D58E14CE}"/>
    <cellStyle name="Normal 109" xfId="884" xr:uid="{0A46FA7D-1D8C-462E-B367-5A3A870170E6}"/>
    <cellStyle name="Normal 11" xfId="303" xr:uid="{7156AB71-512E-4D40-B1DE-B7642659FA31}"/>
    <cellStyle name="Normal 11 2" xfId="611" xr:uid="{3E217C7F-38CC-49EC-BA82-806C4078A8EA}"/>
    <cellStyle name="Normal 110" xfId="885" xr:uid="{2B56B365-F42F-4135-AD70-1CD7BB081611}"/>
    <cellStyle name="Normal 111" xfId="886" xr:uid="{DB1C3C3F-1F58-452C-845A-5C3B795216CB}"/>
    <cellStyle name="Normal 112" xfId="888" xr:uid="{641CF2E2-7710-4C89-9F1E-29526B4B4B7C}"/>
    <cellStyle name="Normal 113" xfId="892" xr:uid="{12AD32F3-20A1-4471-BB36-18600C97DBCF}"/>
    <cellStyle name="Normal 114" xfId="893" xr:uid="{0D6F7483-D4B7-4CB7-8F8E-439AE9E08CBD}"/>
    <cellStyle name="Normal 115" xfId="894" xr:uid="{889F586C-C50B-4F88-BD3B-34B6BED8E879}"/>
    <cellStyle name="Normal 116" xfId="895" xr:uid="{5BEFAEA3-AD80-4D9B-983F-A1B33B65B7D6}"/>
    <cellStyle name="Normal 117" xfId="896" xr:uid="{E85F46A2-8E28-4571-8167-D8F1EE14FB16}"/>
    <cellStyle name="Normal 118" xfId="897" xr:uid="{07A56053-68DE-45CA-8AA9-471C3E9B8793}"/>
    <cellStyle name="Normal 119" xfId="901" xr:uid="{6E5CAFDB-2CCC-4871-A230-720983B61D8E}"/>
    <cellStyle name="Normal 12" xfId="304" xr:uid="{3D601BC3-23B1-4EAB-93DD-E523EEF230B4}"/>
    <cellStyle name="Normal 12 2" xfId="612" xr:uid="{B6FD4E32-91F2-4D2D-A11C-DE8BE911C312}"/>
    <cellStyle name="Normal 120" xfId="919" xr:uid="{D308E3C4-134D-4BCA-AC17-9C1F731B8D94}"/>
    <cellStyle name="Normal 121" xfId="921" xr:uid="{CABEE8C2-AB24-4F3D-974E-CCE6A44C487F}"/>
    <cellStyle name="Normal 122" xfId="922" xr:uid="{3B5FCC3F-BA02-463F-B19F-3A9F5FE11E8D}"/>
    <cellStyle name="Normal 123" xfId="917" xr:uid="{0F77791C-AA83-49C7-A2A1-4BD523D97429}"/>
    <cellStyle name="Normal 124" xfId="916" xr:uid="{168E124E-5698-4243-9682-7B4DB7B24F5F}"/>
    <cellStyle name="Normal 125" xfId="913" xr:uid="{A766C9EC-2650-47AB-B503-3FB53A0E6D9D}"/>
    <cellStyle name="Normal 126" xfId="912" xr:uid="{444C11C7-CE56-4730-A824-8507D19F3222}"/>
    <cellStyle name="Normal 127" xfId="923" xr:uid="{3888C6E6-B3E0-483C-9AC1-31B813E460AC}"/>
    <cellStyle name="Normal 128" xfId="924" xr:uid="{DAC61879-BA4D-4DD8-85C9-D494EB6B060F}"/>
    <cellStyle name="Normal 129" xfId="925" xr:uid="{133922B9-9810-406B-BE48-EC142EEA5B85}"/>
    <cellStyle name="Normal 13" xfId="305" xr:uid="{7E3F1007-ABA9-4266-ACAB-420ABC3935E3}"/>
    <cellStyle name="Normal 13 2" xfId="613" xr:uid="{E16E24A1-C4E4-4482-B403-364FAD3E5A8C}"/>
    <cellStyle name="Normal 130" xfId="927" xr:uid="{E37A15A5-C127-4092-B47C-2938DA4BA859}"/>
    <cellStyle name="Normal 131" xfId="929" xr:uid="{1BC691C5-A386-4E48-8A4E-31120AC64BC1}"/>
    <cellStyle name="Normal 132" xfId="930" xr:uid="{44E7F8B7-25C2-4529-A412-665D4E934B4E}"/>
    <cellStyle name="Normal 133" xfId="926" xr:uid="{97CBBE73-020E-4E68-AFAB-9AB53BC66A42}"/>
    <cellStyle name="Normal 134" xfId="931" xr:uid="{74AD3161-D678-4CFA-9BCF-4C2A63EB98AD}"/>
    <cellStyle name="Normal 135" xfId="932" xr:uid="{D4346610-002B-4D5D-A36E-3C9EEBC7B64C}"/>
    <cellStyle name="Normal 136" xfId="933" xr:uid="{79ED747A-9ACD-48F1-95F7-EA0492353403}"/>
    <cellStyle name="Normal 137" xfId="934" xr:uid="{B7427621-AC3B-4EB3-9F65-B19A4E061812}"/>
    <cellStyle name="Normal 138" xfId="936" xr:uid="{03E4CFA2-D6C4-4DAF-91E4-01FB1B007871}"/>
    <cellStyle name="Normal 139" xfId="941" xr:uid="{82F734C2-C4F7-42B4-95D0-D68ED8755499}"/>
    <cellStyle name="Normal 14" xfId="306" xr:uid="{F42A7D02-BC4D-4CED-B06F-0A4016921B25}"/>
    <cellStyle name="Normal 14 2" xfId="614" xr:uid="{B02DC806-05F4-42CA-AA58-62E7A7EBEB7D}"/>
    <cellStyle name="Normal 140" xfId="943" xr:uid="{E09891B5-AE6E-4D76-9882-7B4A77A69710}"/>
    <cellStyle name="Normal 141" xfId="944" xr:uid="{ECDC6767-4D89-44BC-9BB2-DFE9CB708BA9}"/>
    <cellStyle name="Normal 142" xfId="942" xr:uid="{2F3B3113-8389-437F-AAEE-CD7BDD89AB32}"/>
    <cellStyle name="Normal 143" xfId="961" xr:uid="{9CDA9D61-2EF5-4AB9-A4BF-0CDB3DDF7059}"/>
    <cellStyle name="Normal 144" xfId="965" xr:uid="{E5105183-0D99-4A7F-8575-D08301BE000C}"/>
    <cellStyle name="Normal 145" xfId="966" xr:uid="{6F40B931-3A80-4409-92F7-8197C8A3A3F8}"/>
    <cellStyle name="Normal 146" xfId="967" xr:uid="{6A9312E1-A25C-4AB3-BEBB-C79FC7BEDD06}"/>
    <cellStyle name="Normal 147" xfId="964" xr:uid="{669D063D-F476-4DF9-BFB9-CE7AF07E5B6E}"/>
    <cellStyle name="Normal 148" xfId="962" xr:uid="{E927B5D9-26B1-4A3B-B021-1BD2B69C802B}"/>
    <cellStyle name="Normal 149" xfId="954" xr:uid="{546E0D1F-8750-48CD-9AAF-186241FDCD9E}"/>
    <cellStyle name="Normal 15" xfId="307" xr:uid="{4AF7F280-0081-4C10-887A-E78245FF509C}"/>
    <cellStyle name="Normal 15 2" xfId="615" xr:uid="{0D8D0796-9650-48C6-AAAC-C7608FC66BEC}"/>
    <cellStyle name="Normal 15 3" xfId="308" xr:uid="{887ACE63-8423-4AB4-8BBC-594916629EAE}"/>
    <cellStyle name="Normal 15 3 2" xfId="616" xr:uid="{2B8A08C7-BAC8-4A7A-B8E4-6D13E5FD89FF}"/>
    <cellStyle name="Normal 150" xfId="955" xr:uid="{6F803162-D22D-41B5-9603-136963A4B596}"/>
    <cellStyle name="Normal 151" xfId="956" xr:uid="{1935AD2F-FC8E-4AFE-9AFB-72CDCFEC22FC}"/>
    <cellStyle name="Normal 152" xfId="957" xr:uid="{A1A60AC1-4433-478C-8572-6636CB6F90C9}"/>
    <cellStyle name="Normal 153" xfId="968" xr:uid="{59B0FEFF-AB06-4D54-96BC-D6B1BC19C896}"/>
    <cellStyle name="Normal 154" xfId="970" xr:uid="{FBB8B61C-2BDA-4674-9A70-A123D9AD362C}"/>
    <cellStyle name="Normal 155" xfId="971" xr:uid="{71B4FADB-201B-4C8C-9075-412501588261}"/>
    <cellStyle name="Normal 156" xfId="972" xr:uid="{C8F4957F-0826-4C37-9451-2EA422AD1F99}"/>
    <cellStyle name="Normal 157" xfId="973" xr:uid="{91B537B8-00DE-4C15-98A3-D22CBB3C5481}"/>
    <cellStyle name="Normal 158" xfId="974" xr:uid="{A23EECA7-A0DC-4F08-8A7A-613124D2916C}"/>
    <cellStyle name="Normal 159" xfId="975" xr:uid="{41BECB8C-6111-45DB-B1B8-5CDD2018B862}"/>
    <cellStyle name="Normal 16" xfId="309" xr:uid="{21478936-0583-408E-A7FE-07CD92F3DA01}"/>
    <cellStyle name="Normal 16 2" xfId="617" xr:uid="{D4C5F2C1-5F8D-4AF4-A067-B1CBDBAF38A0}"/>
    <cellStyle name="Normal 160" xfId="977" xr:uid="{EE6FB021-BE2C-4FD8-B48B-5A53AA1EFF6A}"/>
    <cellStyle name="Normal 161" xfId="978" xr:uid="{5D09E0CF-9DF5-4178-AE69-94F41333199B}"/>
    <cellStyle name="Normal 162" xfId="985" xr:uid="{70B6A4F0-A4AE-43B7-823C-333E3E3674B7}"/>
    <cellStyle name="Normal 163" xfId="988" xr:uid="{FA3021CD-0D3D-4090-B93C-64093B529F7C}"/>
    <cellStyle name="Normal 164" xfId="989" xr:uid="{2F5A95D5-30E5-410F-A057-48EF34D4AE1C}"/>
    <cellStyle name="Normal 165" xfId="1037" xr:uid="{AD57239C-5AA4-418D-977A-79D7139F9A5A}"/>
    <cellStyle name="Normal 166" xfId="1039" xr:uid="{76099F91-F095-449A-84FC-310517414604}"/>
    <cellStyle name="Normal 167" xfId="1040" xr:uid="{F3059BD7-4C94-421F-B959-F23FFC83D44B}"/>
    <cellStyle name="Normal 168" xfId="1041" xr:uid="{6D4C4665-AE41-48E7-9E31-3A142D49FB4A}"/>
    <cellStyle name="Normal 169" xfId="1042" xr:uid="{037514A7-58A6-4E01-847F-F6447799C1D8}"/>
    <cellStyle name="Normal 17" xfId="310" xr:uid="{118325CC-D9E4-46B3-9B69-6CFECCACF6A3}"/>
    <cellStyle name="Normal 17 2" xfId="618" xr:uid="{6BEBA613-B4ED-48C5-880E-B75672F8AAD6}"/>
    <cellStyle name="Normal 170" xfId="1087" xr:uid="{2FC5E29B-2BAC-4E7B-B2F4-02B3A8623413}"/>
    <cellStyle name="Normal 171" xfId="1089" xr:uid="{553D4996-972C-4EFF-8770-68ABACE535EF}"/>
    <cellStyle name="Normal 172" xfId="1090" xr:uid="{2B7DB20E-054E-4BD1-AE59-0A1582C625E2}"/>
    <cellStyle name="Normal 173" xfId="1108" xr:uid="{DF751C7A-162C-482E-9755-ADE30EC28D71}"/>
    <cellStyle name="Normal 174" xfId="1109" xr:uid="{EBC51B2D-4CA2-4BC9-AB89-CFF453171900}"/>
    <cellStyle name="Normal 175" xfId="1110" xr:uid="{F82B01CC-A9FE-4085-9890-A3700B1E05D4}"/>
    <cellStyle name="Normal 176" xfId="1130" xr:uid="{37DBF7A5-FDB4-4C8C-891D-7CC7CE80E02D}"/>
    <cellStyle name="Normal 177" xfId="1133" xr:uid="{AE242098-0376-4739-94F2-170FC998437A}"/>
    <cellStyle name="Normal 178" xfId="1135" xr:uid="{83D153D3-9893-4563-9C15-81C0C8F8A602}"/>
    <cellStyle name="Normal 179" xfId="1136" xr:uid="{2AC6D28A-6C27-4380-84CC-82410365298E}"/>
    <cellStyle name="Normal 18" xfId="311" xr:uid="{C61A0884-4786-4531-AA3E-30AF6EFD4F77}"/>
    <cellStyle name="Normal 18 2" xfId="619" xr:uid="{B90DD992-58BD-495C-B693-5509B5951B5E}"/>
    <cellStyle name="Normal 180" xfId="1137" xr:uid="{A00DC359-457B-4262-9228-32A8ECC8AB6D}"/>
    <cellStyle name="Normal 181" xfId="1134" xr:uid="{9EC686C7-99F4-4E4D-BC0E-C5FE2EA65F12}"/>
    <cellStyle name="Normal 182" xfId="1129" xr:uid="{C394DE66-4306-4DCC-9C17-DE0369CD9ED0}"/>
    <cellStyle name="Normal 183" xfId="1138" xr:uid="{A49BB24A-4DC1-40F3-8FCA-F161BDCB72B4}"/>
    <cellStyle name="Normal 184" xfId="1139" xr:uid="{334F4D2D-0DEA-40D3-B854-62EAEF114221}"/>
    <cellStyle name="Normal 185" xfId="1230" xr:uid="{40DD6CA5-5B37-4FB9-AE90-79E8E6879EFE}"/>
    <cellStyle name="Normal 186" xfId="1236" xr:uid="{A0DB8C94-84B7-4823-80CA-7E5AC8DC42C2}"/>
    <cellStyle name="Normal 187" xfId="1237" xr:uid="{158EDEF0-DC6F-42BB-B25D-FB431390B66A}"/>
    <cellStyle name="Normal 188" xfId="1238" xr:uid="{39E798DC-56E2-40F5-BF2D-19BE385D0AF1}"/>
    <cellStyle name="Normal 189" xfId="1239" xr:uid="{432A3905-BD84-40E6-B990-D232013AE151}"/>
    <cellStyle name="Normal 19" xfId="312" xr:uid="{1DE58FAC-FDD1-4106-B92E-DC886ED8710E}"/>
    <cellStyle name="Normal 19 2" xfId="620" xr:uid="{F0E7D724-8F94-4FBF-BA1F-FB377A28DCD0}"/>
    <cellStyle name="Normal 190" xfId="1233" xr:uid="{58ADAE1A-E122-4D27-A00E-93B529328E42}"/>
    <cellStyle name="Normal 191" xfId="1240" xr:uid="{BEE3B8D4-C3E4-4C6F-9E04-D0686A94DD6B}"/>
    <cellStyle name="Normal 192" xfId="1241" xr:uid="{380125BB-F532-487E-B036-05126E357D59}"/>
    <cellStyle name="Normal 193" xfId="1330" xr:uid="{BB14C884-F1D3-4D25-9CDF-CE49300AA751}"/>
    <cellStyle name="Normal 194" xfId="1332" xr:uid="{DE6E3D71-0AE6-4A5C-BE1A-8F8F880B631F}"/>
    <cellStyle name="Normal 195" xfId="1333" xr:uid="{30508D86-8337-4431-83E7-2DEED9D3A59E}"/>
    <cellStyle name="Normal 196" xfId="1421" xr:uid="{691A03CE-E08F-422B-8C28-F80A7F551A1E}"/>
    <cellStyle name="Normal 197" xfId="1509" xr:uid="{878A33CE-8CCA-4AC0-B955-4591E1B7F629}"/>
    <cellStyle name="Normal 198" xfId="1525" xr:uid="{DFCA7446-28F2-4DC5-8AAF-15573642EF1A}"/>
    <cellStyle name="Normal 199" xfId="1530" xr:uid="{80C119ED-3421-4C1C-B67D-545BFBB75B8B}"/>
    <cellStyle name="Normal 2" xfId="1" xr:uid="{2575FDF3-095B-47EE-A8B3-7F84BEEFEEA7}"/>
    <cellStyle name="Normal 2 2" xfId="314" xr:uid="{D66D08A8-EDA0-4A16-ADDC-A29DD492D542}"/>
    <cellStyle name="Normal 2 2 2" xfId="754" xr:uid="{794BC98E-B358-4C08-8CA4-6547005EF1DB}"/>
    <cellStyle name="Normal 2 3" xfId="621" xr:uid="{85FD2E72-A5A9-45FA-910C-52ACDEBAAAB0}"/>
    <cellStyle name="Normal 2 3 2" xfId="1104" xr:uid="{B1592855-3405-47F8-A1EE-47EF4599C24D}"/>
    <cellStyle name="Normal 2 4" xfId="981" xr:uid="{32F86267-A5DA-4945-9453-E29C05B69BEF}"/>
    <cellStyle name="Normal 2 4 2" xfId="1105" xr:uid="{C87AA6F6-91A0-4B8B-A7F1-817149785594}"/>
    <cellStyle name="Normal 2 5" xfId="986" xr:uid="{5F7D1B65-3FE9-4B91-8684-B1B64973F93C}"/>
    <cellStyle name="Normal 2 6" xfId="313" xr:uid="{84451123-F956-43B4-8CA6-A84E8A70D71D}"/>
    <cellStyle name="Normal 2_Fiscal Tables" xfId="315" xr:uid="{055F270B-71EB-4307-AA38-2DD80AFB45BE}"/>
    <cellStyle name="Normal 20" xfId="316" xr:uid="{3059F29A-EF63-4EC3-914C-6A2B886D41DB}"/>
    <cellStyle name="Normal 20 2" xfId="622" xr:uid="{B36DF88B-FF87-4B90-8AF2-55D04B2B58D8}"/>
    <cellStyle name="Normal 200" xfId="1541" xr:uid="{59060EF5-953B-4387-9F02-A45F7B054EC7}"/>
    <cellStyle name="Normal 201" xfId="1528" xr:uid="{4BBD012A-47C0-46A8-821B-7455D15736FA}"/>
    <cellStyle name="Normal 202" xfId="1531" xr:uid="{C08BE092-EE16-4A7E-890F-B05E37CE9144}"/>
    <cellStyle name="Normal 203" xfId="1621" xr:uid="{3B799AFC-EE36-4400-B26F-2008E1AD28CA}"/>
    <cellStyle name="Normal 204" xfId="1709" xr:uid="{365E037F-83B6-40BF-A7BB-B75CE0B7FFC9}"/>
    <cellStyle name="Normal 205" xfId="1713" xr:uid="{F4DFBD3F-1346-44DD-96DC-66F0E597CFD8}"/>
    <cellStyle name="Normal 206" xfId="1800" xr:uid="{9EA0DF93-34B9-4A46-9C30-6FC49028977F}"/>
    <cellStyle name="Normal 207" xfId="1801" xr:uid="{1DD50B68-7857-4374-BC0D-02106E3AE1DC}"/>
    <cellStyle name="Normal 208" xfId="1802" xr:uid="{17404E32-3960-42F5-8E86-DD281D68D2FD}"/>
    <cellStyle name="Normal 209" xfId="1818" xr:uid="{58A9DB7F-FCB5-449E-A581-F7821158B2AA}"/>
    <cellStyle name="Normal 21" xfId="317" xr:uid="{57B23862-7BF1-45C6-8F10-275488BC71AF}"/>
    <cellStyle name="Normal 21 2" xfId="318" xr:uid="{E47F91EB-315C-453D-8DE1-A33489A6A394}"/>
    <cellStyle name="Normal 21 2 2" xfId="624" xr:uid="{6E742F8F-EFC4-4707-ACA0-3056EBEE7008}"/>
    <cellStyle name="Normal 21 3" xfId="623" xr:uid="{E23B8A6B-DAC8-4FD0-A795-B1FF25130181}"/>
    <cellStyle name="Normal 21_Book1" xfId="319" xr:uid="{EDE8BF09-C179-4C78-814C-A6C1BCA7370D}"/>
    <cellStyle name="Normal 210" xfId="1911" xr:uid="{41B1E591-67F8-4741-91E0-B3BAAB8D98C4}"/>
    <cellStyle name="Normal 211" xfId="1915" xr:uid="{A813EDBD-8966-4E42-AFA1-D062B9231C35}"/>
    <cellStyle name="Normal 212" xfId="1894" xr:uid="{3E1344B2-7D55-4E55-89D1-63EB1EB8A926}"/>
    <cellStyle name="Normal 213" xfId="1916" xr:uid="{31E18F8E-E3F8-4DBC-AB2B-7A076B48A4EE}"/>
    <cellStyle name="Normal 214" xfId="1917" xr:uid="{8B8C67FB-74E0-49C2-AFD2-616C031BDF81}"/>
    <cellStyle name="Normal 215" xfId="2005" xr:uid="{C3E17751-5B37-4483-A97F-0B371356577A}"/>
    <cellStyle name="Normal 216" xfId="2093" xr:uid="{3CA70C58-8DB7-4CAF-B6BA-47D55D682154}"/>
    <cellStyle name="Normal 217" xfId="2150" xr:uid="{D71D8F80-5422-4B3F-9B3D-DD17F9FCD3CA}"/>
    <cellStyle name="Normal 218" xfId="2165" xr:uid="{E61A4CD3-B70F-4C01-9810-C1CA19D316CA}"/>
    <cellStyle name="Normal 219" xfId="2167" xr:uid="{47ED0C4B-7696-4212-ADE3-FD30F5F0C335}"/>
    <cellStyle name="Normal 22" xfId="320" xr:uid="{F60C7F78-D1C1-40EC-BBC3-B626814497A8}"/>
    <cellStyle name="Normal 22 2" xfId="321" xr:uid="{D58418DD-1718-4607-9C9E-C4A9C3F280D7}"/>
    <cellStyle name="Normal 22 2 2" xfId="626" xr:uid="{3D7C3E2F-B00C-406E-82F9-CD24CB3CB1EC}"/>
    <cellStyle name="Normal 22 3" xfId="625" xr:uid="{95A388F2-F7BC-4AA7-8810-291C31E1C7DD}"/>
    <cellStyle name="Normal 22_Book1" xfId="322" xr:uid="{C5D96200-ED93-4DD2-BCAB-6A5A0B572806}"/>
    <cellStyle name="Normal 220" xfId="2168" xr:uid="{32EB2ECC-BE26-4122-AADF-F80D9A2CA675}"/>
    <cellStyle name="Normal 221" xfId="2" xr:uid="{A057B94E-8768-46ED-96B7-2B4B2CFEB0E1}"/>
    <cellStyle name="Normal 222" xfId="2170" xr:uid="{8089B9AB-8E30-4BCB-AC34-A1D91E8CF570}"/>
    <cellStyle name="Normal 223" xfId="2172" xr:uid="{1C3F37CB-4397-4EFF-B73F-DA1AF81CFA39}"/>
    <cellStyle name="Normal 224" xfId="2174" xr:uid="{470B9D26-0421-4BAA-81A5-FA9A3A7068B4}"/>
    <cellStyle name="Normal 23" xfId="323" xr:uid="{C54E821C-B208-490F-A25B-AC696FE36002}"/>
    <cellStyle name="Normal 23 2" xfId="627" xr:uid="{79F6352A-70DA-43F7-9365-FDB93E16FA59}"/>
    <cellStyle name="Normal 24" xfId="324" xr:uid="{DB9ACF23-81D9-41A1-A639-B9606A8B6B58}"/>
    <cellStyle name="Normal 25" xfId="325" xr:uid="{CC979578-CA7D-4057-9876-4DE8AE31344B}"/>
    <cellStyle name="Normal 26" xfId="326" xr:uid="{161BD135-B67E-4BBE-AFDD-C3BDA81CEF4D}"/>
    <cellStyle name="Normal 27" xfId="327" xr:uid="{ABF72193-BC8B-423F-ADA6-A2A7ADE32B4A}"/>
    <cellStyle name="Normal 28" xfId="328" xr:uid="{EC78C912-2194-4FD8-B332-FF5DE0AE947F}"/>
    <cellStyle name="Normal 29" xfId="329" xr:uid="{1D28B8E6-4B7C-4C06-8221-FFFD423CC039}"/>
    <cellStyle name="Normal 3" xfId="330" xr:uid="{9133DC1C-F4CC-4205-8052-1452230A9ABB}"/>
    <cellStyle name="Normal 3 2" xfId="331" xr:uid="{15A24376-BEB3-4530-A814-CCB5E5CCC2EE}"/>
    <cellStyle name="Normal 3 2 2" xfId="802" xr:uid="{2B127FCD-7CC3-4170-BB9F-FC84B6B64AD5}"/>
    <cellStyle name="Normal 3 3" xfId="628" xr:uid="{9FE3BEDD-2EEE-48D9-B15D-2CF23BED4850}"/>
    <cellStyle name="Normal 3 3 2" xfId="858" xr:uid="{966E5EB1-CDA2-4945-A9AF-6FBECB47F4AA}"/>
    <cellStyle name="Normal 3 4" xfId="707" xr:uid="{2B8D313B-EB9A-47E5-A57B-F8D4E7AFCE46}"/>
    <cellStyle name="Normal 3 5" xfId="755" xr:uid="{AB7BBA06-5786-4D9B-8D1B-86574E202E56}"/>
    <cellStyle name="Normal 3 6" xfId="979" xr:uid="{202FEA68-D7E0-46CC-806F-91E3C7F633FB}"/>
    <cellStyle name="Normal 3_asset sales" xfId="332" xr:uid="{E17B1FEB-4CBC-4E66-9E88-BE94E4E113F5}"/>
    <cellStyle name="Normal 30" xfId="528" xr:uid="{9FCCA103-6791-4665-AFB8-527F5E38B87E}"/>
    <cellStyle name="Normal 30 2" xfId="700" xr:uid="{BA84B64A-B01F-421A-A6F4-80F33589315E}"/>
    <cellStyle name="Normal 31" xfId="531" xr:uid="{33058325-4A08-47F7-9040-0B58F321D96E}"/>
    <cellStyle name="Normal 31 2" xfId="701" xr:uid="{DD1695F5-E6AB-4698-9588-A8997D65EF7A}"/>
    <cellStyle name="Normal 32" xfId="533" xr:uid="{70B15A4F-7831-4E4C-9CAC-E36AF3C07BCD}"/>
    <cellStyle name="Normal 32 2" xfId="702" xr:uid="{365B7C08-E4CB-4EDC-9F1D-468AFBEE80AB}"/>
    <cellStyle name="Normal 33" xfId="534" xr:uid="{30E6F9EF-6FED-423F-893D-4E797C8FCDE7}"/>
    <cellStyle name="Normal 34" xfId="703" xr:uid="{B0DC4A42-30F8-43ED-9717-47F9516F2B80}"/>
    <cellStyle name="Normal 35" xfId="705" xr:uid="{D11FC275-694E-40D3-A1C5-F4C04BFF7226}"/>
    <cellStyle name="Normal 36" xfId="709" xr:uid="{CA45280B-A785-4BD7-8A58-3030E3AFDE93}"/>
    <cellStyle name="Normal 37" xfId="708" xr:uid="{55A51F55-B904-4BC3-900C-16D97504DAE4}"/>
    <cellStyle name="Normal 38" xfId="704" xr:uid="{9DEE6D9D-FB25-4A45-9343-8B14EDA86168}"/>
    <cellStyle name="Normal 39" xfId="710" xr:uid="{FA9EC033-8D07-42DA-BD5D-26929986640F}"/>
    <cellStyle name="Normal 4" xfId="333" xr:uid="{8F248B24-3C97-4C12-84DD-FA21A505EABB}"/>
    <cellStyle name="Normal 4 10" xfId="859" xr:uid="{72350CAA-2855-4E70-9D08-666B3053DD5B}"/>
    <cellStyle name="Normal 4 11" xfId="865" xr:uid="{F963EEB3-162D-4CC2-8953-75B522704092}"/>
    <cellStyle name="Normal 4 12" xfId="873" xr:uid="{5B2539D7-5710-4B45-9CA5-49D8A2646C03}"/>
    <cellStyle name="Normal 4 13" xfId="902" xr:uid="{77A6F33D-871C-4DD4-B127-FBD45F6D88F2}"/>
    <cellStyle name="Normal 4 14" xfId="928" xr:uid="{E06667D3-075B-4E4A-AF76-9402E1DC3862}"/>
    <cellStyle name="Normal 4 15" xfId="937" xr:uid="{E881A45F-306D-4037-861C-85E72B6AFD23}"/>
    <cellStyle name="Normal 4 16" xfId="969" xr:uid="{551B90EF-CD1A-4D21-B974-C4EA5A66B1BD}"/>
    <cellStyle name="Normal 4 17" xfId="976" xr:uid="{2E8EDA67-3A97-4E67-AB37-A99191A6B78A}"/>
    <cellStyle name="Normal 4 18" xfId="1029" xr:uid="{DAE8B7AB-29C5-46F5-BF95-F03172B7616D}"/>
    <cellStyle name="Normal 4 19" xfId="1080" xr:uid="{1B3BD3DF-72CE-4617-A3FA-6A7B06B2413F}"/>
    <cellStyle name="Normal 4 2" xfId="334" xr:uid="{C687D63F-4E52-4A76-8B8E-56057D012376}"/>
    <cellStyle name="Normal 4 2 10" xfId="1664" xr:uid="{E4E380A8-7966-4A2C-BE9B-4CE63656599F}"/>
    <cellStyle name="Normal 4 2 11" xfId="1754" xr:uid="{C4232891-EBC9-4A0D-B12F-FE9BE1ADA03F}"/>
    <cellStyle name="Normal 4 2 12" xfId="1896" xr:uid="{9322EEC6-B9E9-4831-B1BD-8141E809164E}"/>
    <cellStyle name="Normal 4 2 13" xfId="1960" xr:uid="{C285E274-F395-4B69-8AC2-CB752188A07F}"/>
    <cellStyle name="Normal 4 2 14" xfId="2048" xr:uid="{F135761C-CFCE-4C5D-A273-9849EC9F8509}"/>
    <cellStyle name="Normal 4 2 2" xfId="630" xr:uid="{89E887E3-2AE1-41CE-B347-F81F4CF9412E}"/>
    <cellStyle name="Normal 4 2 2 10" xfId="1999" xr:uid="{ED42BBF3-DF26-4ED7-B52A-1882F9AF78E3}"/>
    <cellStyle name="Normal 4 2 2 11" xfId="2087" xr:uid="{E4582ADD-494E-4F40-AE04-28262E030E13}"/>
    <cellStyle name="Normal 4 2 2 2" xfId="1218" xr:uid="{0848F568-3CBA-4119-BB05-C45A6DCD085B}"/>
    <cellStyle name="Normal 4 2 2 3" xfId="1318" xr:uid="{DD47AEF8-D3EB-4809-BC04-9391DE8651F6}"/>
    <cellStyle name="Normal 4 2 2 4" xfId="1409" xr:uid="{87FFA639-1DAB-4A6F-B580-8F2ABF5037E1}"/>
    <cellStyle name="Normal 4 2 2 5" xfId="1497" xr:uid="{EDE379DC-74F9-4FA8-9A63-5C31704D3665}"/>
    <cellStyle name="Normal 4 2 2 6" xfId="1612" xr:uid="{E88B7ACF-A01F-44CE-BF31-A855FCEDC002}"/>
    <cellStyle name="Normal 4 2 2 7" xfId="1703" xr:uid="{5FD039D8-9CA1-41AA-8873-AC5FDEDF15E7}"/>
    <cellStyle name="Normal 4 2 2 8" xfId="1793" xr:uid="{6B7F539B-4FAA-481C-B07E-33C742932935}"/>
    <cellStyle name="Normal 4 2 2 9" xfId="1897" xr:uid="{048423A7-9889-439B-84EB-7E3A09E721C4}"/>
    <cellStyle name="Normal 4 2 3" xfId="1030" xr:uid="{0169A0B6-C7B4-4780-B36E-7456626AA418}"/>
    <cellStyle name="Normal 4 2 4" xfId="1081" xr:uid="{B09F5564-1F5C-464F-8C6C-05C26CDA0820}"/>
    <cellStyle name="Normal 4 2 5" xfId="1217" xr:uid="{C3B2471B-BC78-4A3D-BFC9-325622E24B46}"/>
    <cellStyle name="Normal 4 2 6" xfId="1317" xr:uid="{71EBCA13-D5A9-4B19-AE31-D403B38E2B88}"/>
    <cellStyle name="Normal 4 2 7" xfId="1408" xr:uid="{CDCA64DF-059C-4BA9-A6FD-A2071773F9F5}"/>
    <cellStyle name="Normal 4 2 8" xfId="1496" xr:uid="{0076F604-9783-4663-A5F1-60403F2C66E4}"/>
    <cellStyle name="Normal 4 2 9" xfId="1573" xr:uid="{22125F98-CF7E-466F-B28D-B8A48CCCC357}"/>
    <cellStyle name="Normal 4 20" xfId="1106" xr:uid="{1FD0343B-988C-485C-891D-209FC50129DC}"/>
    <cellStyle name="Normal 4 21" xfId="1126" xr:uid="{1B610A49-038B-4E53-8FE7-DCAE8CE3E33B}"/>
    <cellStyle name="Normal 4 22" xfId="1216" xr:uid="{DF0A4978-B0F4-4BA6-A3AC-9233BD09C8DA}"/>
    <cellStyle name="Normal 4 23" xfId="1316" xr:uid="{63D1A151-AA18-4209-A6E4-76C15F398ED9}"/>
    <cellStyle name="Normal 4 24" xfId="1407" xr:uid="{3D5B6525-6CA5-4D15-A04D-5B24D9056AD8}"/>
    <cellStyle name="Normal 4 25" xfId="1495" xr:uid="{328DC1D2-4E42-4F9D-9DC8-015AA7A80D05}"/>
    <cellStyle name="Normal 4 26" xfId="1523" xr:uid="{5E09EBD1-3BA8-4217-997A-67411D684E49}"/>
    <cellStyle name="Normal 4 27" xfId="1526" xr:uid="{F954CC53-F89A-407D-849B-1E8CCAD73ACC}"/>
    <cellStyle name="Normal 4 28" xfId="1622" xr:uid="{037E8F28-5B16-411A-AAC9-078FA6B48096}"/>
    <cellStyle name="Normal 4 29" xfId="1710" xr:uid="{62F8D6C6-AE69-484D-A11D-827DC3409A54}"/>
    <cellStyle name="Normal 4 3" xfId="335" xr:uid="{8512F9F1-A03B-402A-9633-C359893A5F97}"/>
    <cellStyle name="Normal 4 3 10" xfId="1898" xr:uid="{BBFE5F68-EE0D-4327-89E1-70301D2912BC}"/>
    <cellStyle name="Normal 4 3 11" xfId="1998" xr:uid="{7CA0575E-B5F7-43A4-9CF1-8B44A942FB59}"/>
    <cellStyle name="Normal 4 3 12" xfId="2086" xr:uid="{F19BEE98-06B5-4C1A-9102-99CEF0632830}"/>
    <cellStyle name="Normal 4 3 2" xfId="631" xr:uid="{C1ABF294-6CA1-468A-8075-272AF1CDF40A}"/>
    <cellStyle name="Normal 4 3 3" xfId="1219" xr:uid="{680604D6-E42E-4702-96E0-225A35151B47}"/>
    <cellStyle name="Normal 4 3 4" xfId="1319" xr:uid="{F10FEF51-FE78-4698-B644-7B3368D0C426}"/>
    <cellStyle name="Normal 4 3 5" xfId="1410" xr:uid="{C036F270-FE9C-42FC-8900-A79CD45ABB42}"/>
    <cellStyle name="Normal 4 3 6" xfId="1498" xr:uid="{7E1A5FB2-2927-44FF-8969-953FA07A6396}"/>
    <cellStyle name="Normal 4 3 7" xfId="1611" xr:uid="{DCB74859-E6DE-4948-A2E8-B4C3BDC6CD20}"/>
    <cellStyle name="Normal 4 3 8" xfId="1702" xr:uid="{319FE7BF-5A6F-4606-88AC-EB377BE18818}"/>
    <cellStyle name="Normal 4 3 9" xfId="1792" xr:uid="{89379BB2-CC2B-4BD6-980B-92DDCDBA124B}"/>
    <cellStyle name="Normal 4 30" xfId="1816" xr:uid="{5A2C5A39-04CC-407F-8F47-2852F476EF19}"/>
    <cellStyle name="Normal 4 31" xfId="1895" xr:uid="{11CDA0BC-4A83-4D31-80B8-91F276CA07C6}"/>
    <cellStyle name="Normal 4 32" xfId="1918" xr:uid="{C15E019C-1304-46C9-B716-8C9EA08FEAD8}"/>
    <cellStyle name="Normal 4 33" xfId="2006" xr:uid="{64DB6BD2-CC30-42B3-AD3B-F3C10BB53B6C}"/>
    <cellStyle name="Normal 4 34" xfId="2143" xr:uid="{2AF82691-0F88-4E68-9760-1FA4C987E84A}"/>
    <cellStyle name="Normal 4 35" xfId="2164" xr:uid="{D8B703F6-B8D7-476E-83BB-A5F5B9B21C6D}"/>
    <cellStyle name="Normal 4 4" xfId="629" xr:uid="{734B0870-027B-4D5B-A18B-D9419E93B373}"/>
    <cellStyle name="Normal 4 5" xfId="756" xr:uid="{EA0A2ED7-1837-46FF-88FA-EB9566C53E1E}"/>
    <cellStyle name="Normal 4 6" xfId="780" xr:uid="{A1E69EF9-37AF-4801-9D83-5DE2A1A8442C}"/>
    <cellStyle name="Normal 4 7" xfId="803" xr:uid="{7A53C36E-0328-450A-8AE8-D3629308CA04}"/>
    <cellStyle name="Normal 4 8" xfId="808" xr:uid="{4AE5EC34-3416-4F91-A8FC-64B542FEDC2C}"/>
    <cellStyle name="Normal 4 9" xfId="840" xr:uid="{A4E6D67E-FDDE-4CF5-9D13-18360C8EA0DB}"/>
    <cellStyle name="Normal 4_inc to ex AS12 EFOsupps" xfId="336" xr:uid="{6853756D-50F0-43F8-95FC-F2AEAB7A4503}"/>
    <cellStyle name="Normal 40" xfId="711" xr:uid="{B1432117-C1D6-4DE3-91FA-08A0C2AD79D1}"/>
    <cellStyle name="Normal 41" xfId="712" xr:uid="{FBB8E219-7C3B-4D4F-93BD-06740EF24AEA}"/>
    <cellStyle name="Normal 42" xfId="713" xr:uid="{7E10B2F0-5FEE-4197-A23B-D81E0F1680D5}"/>
    <cellStyle name="Normal 43" xfId="714" xr:uid="{9416998A-38EB-4BAA-90B8-12603283474A}"/>
    <cellStyle name="Normal 44" xfId="715" xr:uid="{6892F971-A5D1-49BB-97CB-0E4C91BBDAEA}"/>
    <cellStyle name="Normal 45" xfId="716" xr:uid="{1CE3824E-35D1-461A-A9A4-3FD06044FF40}"/>
    <cellStyle name="Normal 46" xfId="717" xr:uid="{137C9706-A10A-43D2-8B62-174D75C26496}"/>
    <cellStyle name="Normal 47" xfId="757" xr:uid="{72A3A74D-A2EA-4293-8980-2FCDB8B5F8A4}"/>
    <cellStyle name="Normal 48" xfId="765" xr:uid="{69921FD3-13B2-4E8A-9C03-CD9BD26EBF1F}"/>
    <cellStyle name="Normal 49" xfId="782" xr:uid="{D030707B-EC84-409C-946A-52800E4A9293}"/>
    <cellStyle name="Normal 5" xfId="337" xr:uid="{07D5B526-E22A-4A96-8A44-B8BBD14EF856}"/>
    <cellStyle name="Normal 5 10" xfId="1642" xr:uid="{DC8EA59F-6614-4467-85D6-A6B10E8708DC}"/>
    <cellStyle name="Normal 5 11" xfId="1732" xr:uid="{8E295065-0C95-4F4E-8810-D0AFF34D9F3C}"/>
    <cellStyle name="Normal 5 12" xfId="1899" xr:uid="{2D17EB4C-9A9E-422F-B8F8-69E47E821D32}"/>
    <cellStyle name="Normal 5 13" xfId="1938" xr:uid="{46368DA9-8D79-444C-BA30-0944B31EB787}"/>
    <cellStyle name="Normal 5 14" xfId="2026" xr:uid="{9F011CBD-5BCD-41B2-A7EE-69229BBCD98F}"/>
    <cellStyle name="Normal 5 2" xfId="530" xr:uid="{D459111A-E438-4806-A322-533ECBCC9184}"/>
    <cellStyle name="Normal 5 2 10" xfId="2000" xr:uid="{52FD32F1-A1E0-46C5-BEAC-D86031387A57}"/>
    <cellStyle name="Normal 5 2 11" xfId="2088" xr:uid="{1C1E5361-9AB3-46FD-B9D4-CB36320C54E9}"/>
    <cellStyle name="Normal 5 2 2" xfId="1221" xr:uid="{7F426F31-B0B8-4CEF-A8CD-3A03929639C5}"/>
    <cellStyle name="Normal 5 2 3" xfId="1321" xr:uid="{76320B26-078D-4E92-9AB1-511BB7954ED4}"/>
    <cellStyle name="Normal 5 2 4" xfId="1412" xr:uid="{D52EB51C-8236-4FC8-86F0-D918650660DD}"/>
    <cellStyle name="Normal 5 2 5" xfId="1500" xr:uid="{C2EBFF46-B936-4EBE-908A-FD4EA21B09BB}"/>
    <cellStyle name="Normal 5 2 6" xfId="1613" xr:uid="{2A490369-3C15-4F29-A5A6-54426C326567}"/>
    <cellStyle name="Normal 5 2 7" xfId="1704" xr:uid="{6F6E1BB1-67B6-4527-91A8-E9B6C59A5533}"/>
    <cellStyle name="Normal 5 2 8" xfId="1794" xr:uid="{66FC42FF-FBC8-4F37-9A82-2C091CFE2B5A}"/>
    <cellStyle name="Normal 5 2 9" xfId="1900" xr:uid="{006B3DC8-C174-4DD1-A55D-0BF88B268A36}"/>
    <cellStyle name="Normal 5 3" xfId="1031" xr:uid="{F3EBA6DF-55C5-41A5-8C93-7E9D7B85100D}"/>
    <cellStyle name="Normal 5 4" xfId="1082" xr:uid="{68259E1E-C76B-4C48-A70A-78FD04E458F3}"/>
    <cellStyle name="Normal 5 5" xfId="1220" xr:uid="{E257690A-9FCF-401B-802C-41C03A5C0A5F}"/>
    <cellStyle name="Normal 5 6" xfId="1320" xr:uid="{505EAE5B-B413-497D-8F5D-2EF001B24AF5}"/>
    <cellStyle name="Normal 5 7" xfId="1411" xr:uid="{04971001-CC69-47CD-99FC-AA408C7F9B6F}"/>
    <cellStyle name="Normal 5 8" xfId="1499" xr:uid="{93B9114D-0E1D-4962-87AD-7A012241816F}"/>
    <cellStyle name="Normal 5 9" xfId="1551" xr:uid="{A66726A8-9C72-46ED-8343-F15B01F6E350}"/>
    <cellStyle name="Normal 50" xfId="783" xr:uid="{FCA4BA0D-12DC-4281-B6C7-482F9369EB50}"/>
    <cellStyle name="Normal 51" xfId="784" xr:uid="{427BDEDF-76C7-4E87-ABFC-31A198385404}"/>
    <cellStyle name="Normal 52" xfId="785" xr:uid="{BBD6BC2B-4905-48F9-A709-7E774656D118}"/>
    <cellStyle name="Normal 53" xfId="786" xr:uid="{2103D854-B05B-4C18-AED7-C8CA587A42B1}"/>
    <cellStyle name="Normal 54" xfId="787" xr:uid="{4E3759BC-80C2-4FAA-B1CE-16A6EB1F62CD}"/>
    <cellStyle name="Normal 55" xfId="788" xr:uid="{08BC094A-D687-442D-9D5D-A98A5F4B2301}"/>
    <cellStyle name="Normal 56" xfId="789" xr:uid="{DF23A43A-06D3-4978-BC3A-3C0654141214}"/>
    <cellStyle name="Normal 57" xfId="790" xr:uid="{1C002EA8-B0D0-4C5F-83C8-B5A7A236C47E}"/>
    <cellStyle name="Normal 58" xfId="791" xr:uid="{0B7AC868-BFD9-4703-89AA-A1212AF46232}"/>
    <cellStyle name="Normal 59" xfId="792" xr:uid="{E4E20218-4C86-43F3-96BB-4518CA82658C}"/>
    <cellStyle name="Normal 6" xfId="338" xr:uid="{B80F4654-3D1F-4A56-AA83-D24BBF1145E1}"/>
    <cellStyle name="Normal 6 10" xfId="1553" xr:uid="{E9AB0D40-ED9D-48A0-B284-681ECE50B3E7}"/>
    <cellStyle name="Normal 6 11" xfId="1644" xr:uid="{DE2CC05C-4038-494A-8F43-35DA91521C8C}"/>
    <cellStyle name="Normal 6 12" xfId="1734" xr:uid="{30247A38-88E9-4AE5-87D3-6CB9F796154E}"/>
    <cellStyle name="Normal 6 13" xfId="1901" xr:uid="{1720AF50-D393-4F83-902D-2C04EBD63375}"/>
    <cellStyle name="Normal 6 14" xfId="1940" xr:uid="{86DDE5DD-EDD5-475D-87C9-58F71B947888}"/>
    <cellStyle name="Normal 6 15" xfId="2028" xr:uid="{FEB914DE-D7B7-4B2D-BC07-874817FABF5F}"/>
    <cellStyle name="Normal 6 2" xfId="632" xr:uid="{F51D277C-3BA9-48F3-9B99-06281C460A3D}"/>
    <cellStyle name="Normal 6 2 10" xfId="2001" xr:uid="{87C1EC45-ED45-4C38-B805-17DE12397436}"/>
    <cellStyle name="Normal 6 2 11" xfId="2089" xr:uid="{05CA7462-8B19-41C7-939C-423E13E3CAB2}"/>
    <cellStyle name="Normal 6 2 2" xfId="1223" xr:uid="{818B5CDE-E530-4A08-B962-0C3ACF028914}"/>
    <cellStyle name="Normal 6 2 3" xfId="1323" xr:uid="{7AE3A608-7644-4A4A-9F26-AA9A1F15D064}"/>
    <cellStyle name="Normal 6 2 4" xfId="1414" xr:uid="{06E7E2DD-838B-4062-B7AB-F2F0EC581C87}"/>
    <cellStyle name="Normal 6 2 5" xfId="1502" xr:uid="{51C70FA5-B407-4AD6-A2D9-61EB25F68945}"/>
    <cellStyle name="Normal 6 2 6" xfId="1614" xr:uid="{1AC53C3F-177F-4263-8D85-CB9AD227EEAA}"/>
    <cellStyle name="Normal 6 2 7" xfId="1705" xr:uid="{5B7F1C4A-3EBD-48DD-A9BD-70074728B0E8}"/>
    <cellStyle name="Normal 6 2 8" xfId="1795" xr:uid="{A3D66F58-E0E8-4C95-B197-8B6FEDE27D34}"/>
    <cellStyle name="Normal 6 2 9" xfId="1902" xr:uid="{A6DA1891-3CFC-4FB9-B8FB-84AA6B3781D1}"/>
    <cellStyle name="Normal 6 3" xfId="1032" xr:uid="{1CC2B93B-3836-4CFD-9241-EDBD82C59B19}"/>
    <cellStyle name="Normal 6 4" xfId="1083" xr:uid="{4F3A63AE-6200-409E-A523-FFB164739157}"/>
    <cellStyle name="Normal 6 5" xfId="1127" xr:uid="{DF5FB2E3-0063-4304-B49A-58FF33EF78A4}"/>
    <cellStyle name="Normal 6 6" xfId="1222" xr:uid="{9B6EED0B-2756-421C-9888-4C7F4BBB0252}"/>
    <cellStyle name="Normal 6 7" xfId="1322" xr:uid="{91A44173-2493-4AC6-B128-DEF5F013C113}"/>
    <cellStyle name="Normal 6 8" xfId="1413" xr:uid="{56B20A03-B00F-4B8A-8559-52BBB0849F36}"/>
    <cellStyle name="Normal 6 9" xfId="1501" xr:uid="{3E9C608A-0B10-42B2-BA00-E7ABA188DA02}"/>
    <cellStyle name="Normal 60" xfId="793" xr:uid="{490664C3-C6E8-4FEC-A21D-4B2C090DB221}"/>
    <cellStyle name="Normal 61" xfId="794" xr:uid="{1A3CB582-7E4A-433B-BE55-098E3CEA4011}"/>
    <cellStyle name="Normal 62" xfId="795" xr:uid="{8465DA2E-13DE-467B-933C-F71A23172485}"/>
    <cellStyle name="Normal 63" xfId="796" xr:uid="{460DBECB-C660-4B27-99DB-62B4BB54D83D}"/>
    <cellStyle name="Normal 64" xfId="797" xr:uid="{982B8996-09E1-4B71-85E6-E67666848E94}"/>
    <cellStyle name="Normal 65" xfId="798" xr:uid="{06756129-3D18-4F5D-BA36-6F973ED7BCF6}"/>
    <cellStyle name="Normal 66" xfId="799" xr:uid="{9B116056-5256-49BE-8C78-11F465D711E4}"/>
    <cellStyle name="Normal 67" xfId="800" xr:uid="{B4D04F76-2890-4773-8289-8813D6449E9B}"/>
    <cellStyle name="Normal 68" xfId="801" xr:uid="{A55A1EE3-258E-4AA0-B249-F816E0ACFD58}"/>
    <cellStyle name="Normal 69" xfId="804" xr:uid="{D764F42D-F6E7-404F-88E4-C067C6D98B09}"/>
    <cellStyle name="Normal 7" xfId="339" xr:uid="{60060BCF-00F7-4C94-BEAF-8737A8C3C807}"/>
    <cellStyle name="Normal 7 10" xfId="1665" xr:uid="{FD36A2A9-DF4D-46F3-A756-8FE51238FE4E}"/>
    <cellStyle name="Normal 7 11" xfId="1755" xr:uid="{57CE4CDE-9BE5-42B8-AF8D-DB3739B16528}"/>
    <cellStyle name="Normal 7 12" xfId="1903" xr:uid="{4A9DE648-202E-4425-AAD2-EDD65D64CE38}"/>
    <cellStyle name="Normal 7 13" xfId="1961" xr:uid="{EA9FDE1A-BF61-4F94-B2B7-FD6158D6A909}"/>
    <cellStyle name="Normal 7 14" xfId="2049" xr:uid="{32D8520A-57C3-4868-8579-E0330199B2AF}"/>
    <cellStyle name="Normal 7 15" xfId="2144" xr:uid="{6A421D44-3749-4F50-A922-C4E0DDEB60CE}"/>
    <cellStyle name="Normal 7 2" xfId="633" xr:uid="{A8C31DEA-9C4A-4399-88EA-8F2CFF69A58B}"/>
    <cellStyle name="Normal 7 2 10" xfId="2002" xr:uid="{2474BC94-EC5E-4986-9A2B-E3E5574C57FA}"/>
    <cellStyle name="Normal 7 2 11" xfId="2090" xr:uid="{1F81BB54-C52D-4C29-B080-FBEF196B989A}"/>
    <cellStyle name="Normal 7 2 2" xfId="1225" xr:uid="{BE0B29D8-CE0C-41AD-AB0F-018696972E07}"/>
    <cellStyle name="Normal 7 2 3" xfId="1325" xr:uid="{B0A5D9DC-4A10-4FC4-9434-5577F5010327}"/>
    <cellStyle name="Normal 7 2 4" xfId="1416" xr:uid="{5042D537-9A0B-4C5E-A579-B695BDA5D181}"/>
    <cellStyle name="Normal 7 2 5" xfId="1504" xr:uid="{19CCE0D3-B0E7-48DE-87CA-2859DF328149}"/>
    <cellStyle name="Normal 7 2 6" xfId="1615" xr:uid="{82094A36-D9E8-41D9-8682-3CD7766C6DAE}"/>
    <cellStyle name="Normal 7 2 7" xfId="1706" xr:uid="{EC7682DD-ACCA-46ED-80E8-0CA13A0983EC}"/>
    <cellStyle name="Normal 7 2 8" xfId="1796" xr:uid="{7A309A73-240C-4531-A313-2088298880DE}"/>
    <cellStyle name="Normal 7 2 9" xfId="1904" xr:uid="{D454F434-D6A2-465B-AA61-F4335DB929EE}"/>
    <cellStyle name="Normal 7 3" xfId="1033" xr:uid="{5E292DC2-8707-48AB-8F9C-50529BB3D22A}"/>
    <cellStyle name="Normal 7 4" xfId="1084" xr:uid="{28749A6C-A3F4-443E-A6BD-284B1D5CE8CA}"/>
    <cellStyle name="Normal 7 5" xfId="1224" xr:uid="{C37452B2-A9E0-42AF-BCF8-540429790451}"/>
    <cellStyle name="Normal 7 6" xfId="1324" xr:uid="{605FAA66-2590-4D1C-BA98-1A2FA98068DC}"/>
    <cellStyle name="Normal 7 7" xfId="1415" xr:uid="{3FE7E73E-B668-4438-9EED-B087EB20E933}"/>
    <cellStyle name="Normal 7 8" xfId="1503" xr:uid="{2E491B41-D003-457A-9A54-2EF65CD9C0D6}"/>
    <cellStyle name="Normal 7 9" xfId="1574" xr:uid="{7EBD9BC7-7B70-45A8-B63F-1DF106FF0583}"/>
    <cellStyle name="Normal 70" xfId="805" xr:uid="{741F7974-6D7A-4E7B-8447-DD32D9B90EFC}"/>
    <cellStyle name="Normal 71" xfId="806" xr:uid="{2D0E44AA-A02B-49A4-97DF-CFCA9270373D}"/>
    <cellStyle name="Normal 72" xfId="807" xr:uid="{CB696759-54D1-4AD2-BB97-70A9235BC6CF}"/>
    <cellStyle name="Normal 73" xfId="809" xr:uid="{3B484E74-C45E-4D05-B41A-8C701BCB09AA}"/>
    <cellStyle name="Normal 74" xfId="810" xr:uid="{DA07EDD0-C34C-41B3-9D80-6416C5843DF0}"/>
    <cellStyle name="Normal 75" xfId="811" xr:uid="{76B2AA87-FB76-42D3-8989-59EA62FAC5CF}"/>
    <cellStyle name="Normal 76" xfId="812" xr:uid="{3DC0C94F-A203-45A0-913E-F3C3083A8D8A}"/>
    <cellStyle name="Normal 77" xfId="813" xr:uid="{B8AB1226-2164-4C2B-BB85-EAFF1FDFFF68}"/>
    <cellStyle name="Normal 78" xfId="814" xr:uid="{44389D61-9E25-4862-B7C4-E24012E9C0F1}"/>
    <cellStyle name="Normal 79" xfId="815" xr:uid="{73586012-C89D-4CF0-BA24-45F3476E3081}"/>
    <cellStyle name="Normal 8" xfId="340" xr:uid="{206B16F0-AC19-4A96-A275-E5187BECDC07}"/>
    <cellStyle name="Normal 8 2" xfId="634" xr:uid="{FEDCE7E1-A06E-431C-A601-E23A77D51DB6}"/>
    <cellStyle name="Normal 8 3" xfId="1905" xr:uid="{399E766F-3412-4C1C-9347-AD286E826A8E}"/>
    <cellStyle name="Normal 80" xfId="816" xr:uid="{D7DE5AB2-E13C-4A8B-9D58-808B60B1B955}"/>
    <cellStyle name="Normal 81" xfId="817" xr:uid="{5AAFEB4A-16F9-4CC4-96F9-90BE441A941B}"/>
    <cellStyle name="Normal 82" xfId="818" xr:uid="{B10D04AB-7748-49F7-8467-DEF87B058421}"/>
    <cellStyle name="Normal 83" xfId="819" xr:uid="{F6DF7759-0412-4264-BDFB-14450DCD8108}"/>
    <cellStyle name="Normal 84" xfId="820" xr:uid="{6C08C485-F53D-4040-9B50-63BE949B5F05}"/>
    <cellStyle name="Normal 85" xfId="842" xr:uid="{E5032B3B-456D-4B21-8496-5012FE86571D}"/>
    <cellStyle name="Normal 86" xfId="846" xr:uid="{6FBA7357-3957-4A4B-AB46-171133076C76}"/>
    <cellStyle name="Normal 87" xfId="847" xr:uid="{1B09379A-262C-4005-AF2B-D3C4C666BBF4}"/>
    <cellStyle name="Normal 88" xfId="848" xr:uid="{1945744C-CE63-4E09-8E4D-9A98B25CDC5C}"/>
    <cellStyle name="Normal 89" xfId="849" xr:uid="{D885741F-E287-4716-B15B-397C39908230}"/>
    <cellStyle name="Normal 9" xfId="341" xr:uid="{C4552931-E6B7-4541-AEA0-6D2F75DE9391}"/>
    <cellStyle name="Normal 9 2" xfId="635" xr:uid="{B8B452B5-E844-4B17-B35E-56060787F03D}"/>
    <cellStyle name="Normal 90" xfId="850" xr:uid="{F7A3479D-C7C3-4F1D-8935-74EB991C4075}"/>
    <cellStyle name="Normal 91" xfId="851" xr:uid="{9D0A72F3-632B-457E-AE68-747C3A66C2F2}"/>
    <cellStyle name="Normal 92" xfId="852" xr:uid="{2C1C3307-B121-4D03-A76A-165E3FBE4C8E}"/>
    <cellStyle name="Normal 93" xfId="853" xr:uid="{7A6EC584-801E-452A-A404-5CE31A6A860B}"/>
    <cellStyle name="Normal 94" xfId="854" xr:uid="{1F918403-FEF9-49EC-9DCF-54C3765588D2}"/>
    <cellStyle name="Normal 95" xfId="855" xr:uid="{01BE8D98-EED9-42F9-8521-D5BB8A86FD4A}"/>
    <cellStyle name="Normal 96" xfId="856" xr:uid="{B90C956C-ACF9-4FA2-9A43-943F23C351B1}"/>
    <cellStyle name="Normal 97" xfId="857" xr:uid="{7923C317-B31B-4C6A-9B5A-353A6A6BF099}"/>
    <cellStyle name="Normal 98" xfId="860" xr:uid="{8D40BCBE-94D1-4ED3-B88A-9C1209F25F1A}"/>
    <cellStyle name="Normal 99" xfId="861" xr:uid="{68439DE5-6FD8-40F2-837D-DB9B97934D48}"/>
    <cellStyle name="Normal_Fiscal Tables" xfId="342" xr:uid="{2202282D-1959-4C51-A6BD-8B225A72CB3C}"/>
    <cellStyle name="Normal_tab1" xfId="2171" xr:uid="{A68BF503-79DB-46C0-8819-8C75CB6C6F04}"/>
    <cellStyle name="Note 2" xfId="344" xr:uid="{36FB30FC-1FF1-475C-B202-88D1BEA6B316}"/>
    <cellStyle name="Note 2 10" xfId="1085" xr:uid="{8A5A3EA1-5694-427E-B012-42735E721DE9}"/>
    <cellStyle name="Note 2 11" xfId="1107" xr:uid="{719D5310-9513-447D-B054-18507B8C50FD}"/>
    <cellStyle name="Note 2 12" xfId="1128" xr:uid="{86BB5F7D-4823-48A2-8193-CDDB461136AE}"/>
    <cellStyle name="Note 2 13" xfId="1226" xr:uid="{103FFDF5-31B6-4DC3-AEC0-EA09590FAD24}"/>
    <cellStyle name="Note 2 14" xfId="1326" xr:uid="{A9389A6C-73E3-4355-8D04-7158A192EEAA}"/>
    <cellStyle name="Note 2 15" xfId="1417" xr:uid="{FA4D296E-1255-4F76-9CA6-F46DC330DDE6}"/>
    <cellStyle name="Note 2 16" xfId="1505" xr:uid="{FDD80BAF-E515-446B-B59E-5F4738114A7E}"/>
    <cellStyle name="Note 2 17" xfId="1524" xr:uid="{4C47CB65-42ED-4262-B4CB-54F408BDA2FD}"/>
    <cellStyle name="Note 2 18" xfId="1552" xr:uid="{5FD5FEAA-D2C6-4144-B91E-4C7334ECD0CD}"/>
    <cellStyle name="Note 2 19" xfId="1643" xr:uid="{8E53C252-4EF1-43EB-87B9-E781F040D384}"/>
    <cellStyle name="Note 2 2" xfId="636" xr:uid="{A7C2A0C3-315F-474E-9CD6-BC7983887479}"/>
    <cellStyle name="Note 2 2 10" xfId="2003" xr:uid="{1D4BEA31-9E3C-4F8B-AE71-ED96858293E8}"/>
    <cellStyle name="Note 2 2 11" xfId="2091" xr:uid="{A7C2F8CD-F141-4BF5-A815-F9071460D498}"/>
    <cellStyle name="Note 2 2 2" xfId="1227" xr:uid="{F507E1A1-351C-4B3F-B28F-E0FF93580ABE}"/>
    <cellStyle name="Note 2 2 3" xfId="1327" xr:uid="{0A45DB2C-51D4-408F-8E65-1285E300082D}"/>
    <cellStyle name="Note 2 2 4" xfId="1418" xr:uid="{DA3C10A3-7414-4AE0-9A76-0642F3B83D3F}"/>
    <cellStyle name="Note 2 2 5" xfId="1506" xr:uid="{89CB37D4-4D95-4535-BBDE-565DB6ABF81C}"/>
    <cellStyle name="Note 2 2 6" xfId="1616" xr:uid="{0F909004-2535-4B17-A359-AA7F1EE7B62A}"/>
    <cellStyle name="Note 2 2 7" xfId="1707" xr:uid="{9A9065CD-EAA5-482C-A790-F2BA81700D10}"/>
    <cellStyle name="Note 2 2 8" xfId="1797" xr:uid="{7B81CD09-D30F-48E5-A57A-EB24EEACD52A}"/>
    <cellStyle name="Note 2 2 9" xfId="1907" xr:uid="{F21F1260-61B2-4747-8E19-F202A1A4D531}"/>
    <cellStyle name="Note 2 20" xfId="1733" xr:uid="{3414919C-264A-44A1-A3F6-4BCC37D9472D}"/>
    <cellStyle name="Note 2 21" xfId="1817" xr:uid="{C2A4073B-3433-4CFD-9B91-0C4AC1482739}"/>
    <cellStyle name="Note 2 22" xfId="1906" xr:uid="{1FB9A81E-32E4-475F-A445-35BA79F17ABF}"/>
    <cellStyle name="Note 2 23" xfId="1939" xr:uid="{10179C44-78B0-4585-9572-0E04036683A0}"/>
    <cellStyle name="Note 2 24" xfId="2027" xr:uid="{66E96ABD-97C6-4E2E-984C-6FC22B56251A}"/>
    <cellStyle name="Note 2 25" xfId="2145" xr:uid="{523785C0-8345-4F2E-9BB2-D570ACD18DBE}"/>
    <cellStyle name="Note 2 26" xfId="2166" xr:uid="{7FAD19F5-474A-44E3-9DB3-06355C7A8689}"/>
    <cellStyle name="Note 2 3" xfId="758" xr:uid="{ACDBDCD7-A0A5-422C-8C2F-F5CB2FC71DD7}"/>
    <cellStyle name="Note 2 4" xfId="781" xr:uid="{84FAA527-F79A-41D2-8774-F584FDB24ABD}"/>
    <cellStyle name="Note 2 5" xfId="841" xr:uid="{D49568E1-8416-48E6-99F1-C9F0C371E4A9}"/>
    <cellStyle name="Note 2 6" xfId="889" xr:uid="{2A5887FD-528D-4B2A-A081-B29319FBE3FB}"/>
    <cellStyle name="Note 2 7" xfId="918" xr:uid="{7D7B8A33-7210-4080-A325-E6CB18D684DD}"/>
    <cellStyle name="Note 2 8" xfId="960" xr:uid="{67601F9F-B1B8-4CF3-B077-00A98721A6E2}"/>
    <cellStyle name="Note 2 9" xfId="1034" xr:uid="{9ECA2313-3CD8-4044-90CA-2A6758EA5848}"/>
    <cellStyle name="Note 3" xfId="1035" xr:uid="{3C15C4CF-A3B7-4BDD-9289-431A42ACE501}"/>
    <cellStyle name="Note 3 10" xfId="1908" xr:uid="{8CCBACB1-4D55-4D5E-B646-5579DD41D30E}"/>
    <cellStyle name="Note 3 11" xfId="1941" xr:uid="{10CD3E68-ACE4-43BD-BEFD-89F96B646888}"/>
    <cellStyle name="Note 3 12" xfId="2029" xr:uid="{412D827A-C750-4FDB-BEC3-F1BE726BFA1A}"/>
    <cellStyle name="Note 3 13" xfId="2146" xr:uid="{7C177DF0-3EB4-4A61-B544-23B69FA0A99D}"/>
    <cellStyle name="Note 3 2" xfId="1086" xr:uid="{3E7918AC-8420-4CBA-913F-32B6659BF5DA}"/>
    <cellStyle name="Note 3 2 10" xfId="2004" xr:uid="{8D5CFBE8-A85E-4062-84B4-2CC214D4E208}"/>
    <cellStyle name="Note 3 2 11" xfId="2092" xr:uid="{723A2271-6977-411C-8865-5C5EC3947386}"/>
    <cellStyle name="Note 3 2 2" xfId="1229" xr:uid="{1B8C2B9D-5374-472A-A927-EAE4BA6EDD4F}"/>
    <cellStyle name="Note 3 2 3" xfId="1329" xr:uid="{D5CFCD51-C239-460B-9518-4164CB6AF846}"/>
    <cellStyle name="Note 3 2 4" xfId="1420" xr:uid="{57874BBC-98E6-4AD9-BC71-8A0E2DCEEA9E}"/>
    <cellStyle name="Note 3 2 5" xfId="1508" xr:uid="{EE6B2BED-8EF2-4B68-B290-55F94AEFB5AC}"/>
    <cellStyle name="Note 3 2 6" xfId="1617" xr:uid="{E6B6C9A6-BC01-48B9-B50E-D3533210664B}"/>
    <cellStyle name="Note 3 2 7" xfId="1708" xr:uid="{5DEE5595-2BDB-44F3-BDBD-2786A0ADD202}"/>
    <cellStyle name="Note 3 2 8" xfId="1798" xr:uid="{640FA45E-6FD4-4D1A-A09F-DC457A50C68E}"/>
    <cellStyle name="Note 3 2 9" xfId="1909" xr:uid="{FAD429A9-7303-4E63-B7BD-1BBA13EBBC07}"/>
    <cellStyle name="Note 3 3" xfId="1228" xr:uid="{CA8E8C6A-44E1-4521-8004-9864923D637E}"/>
    <cellStyle name="Note 3 4" xfId="1328" xr:uid="{78B8D560-9923-4082-B8A1-A7BD3FE6F1CD}"/>
    <cellStyle name="Note 3 5" xfId="1419" xr:uid="{C53E232E-3151-4BAE-A137-9D8349B2B276}"/>
    <cellStyle name="Note 3 6" xfId="1507" xr:uid="{8164699B-1935-4D90-93E0-8C4BCB83294D}"/>
    <cellStyle name="Note 3 7" xfId="1554" xr:uid="{27742969-BE7A-42BA-B7E7-CE8A8B0E482B}"/>
    <cellStyle name="Note 3 8" xfId="1645" xr:uid="{080F3FD7-03EA-44E7-A3B4-763BC3830562}"/>
    <cellStyle name="Note 3 9" xfId="1735" xr:uid="{1F1C47B1-16D4-4162-A103-82B1108CDE28}"/>
    <cellStyle name="Note 4" xfId="343" xr:uid="{09C36DF6-699B-4CA1-9AAD-A4768A545493}"/>
    <cellStyle name="Option" xfId="345" xr:uid="{996D4287-675B-4224-9845-F76C59428EDC}"/>
    <cellStyle name="OptionHeading" xfId="346" xr:uid="{B864C52F-40BD-4E6E-B541-02192D1B0196}"/>
    <cellStyle name="OptionHeading2" xfId="347" xr:uid="{2A8A40F1-5F94-499D-A5C8-537BCC9BAAB4}"/>
    <cellStyle name="Output 2" xfId="349" xr:uid="{4A26C8C5-01BF-424D-80BA-2F53C2329900}"/>
    <cellStyle name="Output 2 2" xfId="2147" xr:uid="{0586E332-B395-41B1-B74B-7A19E1FECE35}"/>
    <cellStyle name="Output 3" xfId="759" xr:uid="{0351C453-D5EA-48B7-98CD-3F0D91496BBF}"/>
    <cellStyle name="Output 4" xfId="348" xr:uid="{6247349C-F842-48AD-8A4E-9E35FE55AA0C}"/>
    <cellStyle name="Output Amounts" xfId="350" xr:uid="{7BBCF436-FD46-410E-A0B5-A03FAB205D55}"/>
    <cellStyle name="Output Column Headings" xfId="351" xr:uid="{F0457F6A-FBAE-4F07-BB4E-EF4F55BC45EB}"/>
    <cellStyle name="Output Line Items" xfId="352" xr:uid="{18ECA872-96DF-4A54-9BA8-361184FA4534}"/>
    <cellStyle name="Output Report Heading" xfId="353" xr:uid="{AC5F7AF4-6D1E-47D2-B2A8-4987E348EA58}"/>
    <cellStyle name="Output Report Title" xfId="354" xr:uid="{E7B12540-3310-40B4-9A66-AB952E2DBC9F}"/>
    <cellStyle name="P" xfId="355" xr:uid="{03547F43-A68D-4AB0-9FAA-7F3DD9084FBD}"/>
    <cellStyle name="P 2" xfId="356" xr:uid="{C532F2E1-5A3C-44BD-8A1B-A0680BAF633B}"/>
    <cellStyle name="P 2 2" xfId="638" xr:uid="{7BDBD608-FA9C-461A-96D8-0665BE14A13F}"/>
    <cellStyle name="P 3" xfId="637" xr:uid="{8C0C619A-343F-46B4-992A-545A0934EFC7}"/>
    <cellStyle name="Page Number" xfId="357" xr:uid="{82F39A15-CD0D-413A-9C94-992E5FDACE01}"/>
    <cellStyle name="Percent" xfId="2169" builtinId="5"/>
    <cellStyle name="Percent [0]" xfId="358" xr:uid="{9AD1A372-12BB-4815-A15B-2ED79C338D43}"/>
    <cellStyle name="Percent [2]" xfId="359" xr:uid="{A37B7640-6548-4227-A916-926383F34BE7}"/>
    <cellStyle name="Percent [2] 2" xfId="639" xr:uid="{E8B2FD94-C0FC-404A-88B7-7BD4A2F4A372}"/>
    <cellStyle name="Percent 2" xfId="360" xr:uid="{731A2A11-8E8F-470C-AA58-4DC83997E392}"/>
    <cellStyle name="Percent 2 2" xfId="361" xr:uid="{A2E8D1F9-AA9D-4F16-B835-CD53FDF60A3A}"/>
    <cellStyle name="Percent 2 3" xfId="362" xr:uid="{A75B76DA-5D48-4943-9925-49617A045D37}"/>
    <cellStyle name="Percent 2 3 2" xfId="640" xr:uid="{6D7F7961-6E86-4EF8-929C-455C8947635A}"/>
    <cellStyle name="Percent 3" xfId="363" xr:uid="{0463D5A1-E91E-422F-B3FD-5C9B7BAA0F34}"/>
    <cellStyle name="Percent 3 2" xfId="364" xr:uid="{667405E3-8D7D-4251-92D1-7446DA2E1B28}"/>
    <cellStyle name="Percent 3 2 2" xfId="365" xr:uid="{C33C493A-CF6A-4823-845D-99F1040C26BB}"/>
    <cellStyle name="Percent 3 2 3" xfId="642" xr:uid="{438F95DC-1877-4029-86A8-0FADDB5FA46B}"/>
    <cellStyle name="Percent 3 3" xfId="366" xr:uid="{B39AD78D-BBA1-406F-B913-F6D29CC7F1D2}"/>
    <cellStyle name="Percent 3 4" xfId="641" xr:uid="{6079E0A3-5F10-404D-BFC3-46622DBBEBE6}"/>
    <cellStyle name="Percent 4" xfId="367" xr:uid="{A8985691-E4C8-4C5F-BC4F-7EBEA4816F2D}"/>
    <cellStyle name="Percent 4 2" xfId="368" xr:uid="{944762A7-12A4-49D3-A509-74483A20CEAE}"/>
    <cellStyle name="Percent 4 2 2" xfId="644" xr:uid="{0FD5BD1B-0F1F-473A-878C-6191A2782731}"/>
    <cellStyle name="Percent 4 3" xfId="643" xr:uid="{2FBCF8F6-208E-43BB-B8B5-86FCA89F9B5D}"/>
    <cellStyle name="Percent 5" xfId="369" xr:uid="{19EC3123-AA4A-4486-AF95-73CDC5D32F64}"/>
    <cellStyle name="Percent 5 2" xfId="645" xr:uid="{6A282BFB-E951-42F8-B74D-42D38D438168}"/>
    <cellStyle name="Percent 6" xfId="987" xr:uid="{EEEAD69A-543A-4BD4-9D52-DD5A4E9436D2}"/>
    <cellStyle name="Percent 7" xfId="529" xr:uid="{216657D5-985E-4C83-9966-DB751E18BECC}"/>
    <cellStyle name="Percent*" xfId="370" xr:uid="{9CB41A2D-D8BE-4990-95C4-03905ECEFF3F}"/>
    <cellStyle name="Percent.0" xfId="371" xr:uid="{CC3087CE-106F-4939-9E07-078A12410573}"/>
    <cellStyle name="Percent.00" xfId="372" xr:uid="{07D0C5B2-D944-440F-927F-4294581ABECF}"/>
    <cellStyle name="Price" xfId="373" xr:uid="{604E1D5C-831A-4F4F-A13B-4BC16C572536}"/>
    <cellStyle name="ProductClass" xfId="374" xr:uid="{96874680-8C37-46D0-9A85-1C5EBF1CB9F3}"/>
    <cellStyle name="ProductType" xfId="375" xr:uid="{47BF5344-03D4-49DB-B41A-E3FB46366D08}"/>
    <cellStyle name="ProductType 2" xfId="646" xr:uid="{19DFC9CC-E227-4B87-838A-72A652D61616}"/>
    <cellStyle name="QvB" xfId="376" xr:uid="{AD635A1E-FE06-4471-9152-357E2F0AE7DD}"/>
    <cellStyle name="RebateValue" xfId="377" xr:uid="{F2E6878F-FC13-45B8-9567-1BABA8C063A5}"/>
    <cellStyle name="RebateValue 2" xfId="647" xr:uid="{A8F8A18C-34E6-4A35-BD6B-3A3363D9461F}"/>
    <cellStyle name="Refdb standard" xfId="378" xr:uid="{C00E0E73-7E7C-42F2-9C33-E351984DF350}"/>
    <cellStyle name="Refdb standard 2" xfId="648" xr:uid="{639ACCB8-5315-4B2B-B37D-9C1E607E75CE}"/>
    <cellStyle name="ReportData" xfId="379" xr:uid="{757C8017-B755-400A-AD4C-A555A106FFE4}"/>
    <cellStyle name="ReportElements" xfId="380" xr:uid="{6477A90D-142E-4E80-9894-E0EB6519B189}"/>
    <cellStyle name="ReportHeader" xfId="381" xr:uid="{09DAA9D0-0034-4E27-8446-B2AF1D573CA3}"/>
    <cellStyle name="ResellerType" xfId="382" xr:uid="{1209FAD3-4889-4D11-89FF-EAADAC480474}"/>
    <cellStyle name="ResellerType 2" xfId="649" xr:uid="{218D897B-EB5C-4929-9978-07DD03B8BA9B}"/>
    <cellStyle name="Sample" xfId="383" xr:uid="{D152FFFF-7C09-4540-96AF-9EEC791F2997}"/>
    <cellStyle name="SAPBEXaggData" xfId="384" xr:uid="{80C3CC1F-B288-4DDA-9E16-17D2EEE1B861}"/>
    <cellStyle name="SAPBEXaggData 2" xfId="650" xr:uid="{5C0AB6DE-43B0-43A2-997C-3D9864B88E06}"/>
    <cellStyle name="SAPBEXaggDataEmph" xfId="385" xr:uid="{BD5FAFD7-95FC-4D65-AB10-1BF1D5DC22C0}"/>
    <cellStyle name="SAPBEXaggItem" xfId="386" xr:uid="{2208D87A-58EE-487C-9707-04CB94E182CE}"/>
    <cellStyle name="SAPBEXaggItem 2" xfId="651" xr:uid="{8DE3BE2D-24E7-41F0-A93F-FDB3AEF42C02}"/>
    <cellStyle name="SAPBEXaggItemX" xfId="387" xr:uid="{C5A89031-0052-4EA1-B856-1D5716B4C525}"/>
    <cellStyle name="SAPBEXaggItemX 2" xfId="652" xr:uid="{54948097-9432-4621-BA70-9C0999986476}"/>
    <cellStyle name="SAPBEXchaText" xfId="388" xr:uid="{E8D8E941-1733-4C67-BE85-5E748D29B837}"/>
    <cellStyle name="SAPBEXchaText 2" xfId="653" xr:uid="{80B7A33B-02D7-4D74-B027-ED6C01F3EF1A}"/>
    <cellStyle name="SAPBEXexcBad7" xfId="389" xr:uid="{AE9D9F3E-B894-4B5D-A1FD-88286BE76C52}"/>
    <cellStyle name="SAPBEXexcBad7 2" xfId="654" xr:uid="{DDCBD9AC-A380-4CE4-9538-7FF29749A197}"/>
    <cellStyle name="SAPBEXexcBad8" xfId="390" xr:uid="{090CB666-4ECD-4590-88C4-44772CA64E30}"/>
    <cellStyle name="SAPBEXexcBad8 2" xfId="655" xr:uid="{201927E0-9E35-4D12-95F5-CDC3199950A6}"/>
    <cellStyle name="SAPBEXexcBad9" xfId="391" xr:uid="{3BF91272-7300-4EF5-8B9D-01D835D8469A}"/>
    <cellStyle name="SAPBEXexcBad9 2" xfId="656" xr:uid="{416D219E-15D8-4A64-A464-8F4DFCDCA1B6}"/>
    <cellStyle name="SAPBEXexcCritical4" xfId="392" xr:uid="{271143AD-197A-41F7-8BFA-BE2224542795}"/>
    <cellStyle name="SAPBEXexcCritical4 2" xfId="657" xr:uid="{09E7F2A5-8206-464A-B2CE-97BB3245C4D3}"/>
    <cellStyle name="SAPBEXexcCritical5" xfId="393" xr:uid="{B93EC0E1-C878-4DBA-991C-7A83BA76587F}"/>
    <cellStyle name="SAPBEXexcCritical5 2" xfId="658" xr:uid="{B9A13940-ECE1-4800-B7D8-9D50364ACFA4}"/>
    <cellStyle name="SAPBEXexcCritical6" xfId="394" xr:uid="{9A031F49-EAA3-41E9-BE6D-E141F2D34267}"/>
    <cellStyle name="SAPBEXexcCritical6 2" xfId="659" xr:uid="{B2F1C25E-654F-4C75-B542-C498695615FD}"/>
    <cellStyle name="SAPBEXexcGood1" xfId="395" xr:uid="{FAABA7E1-03C6-4A2B-BA42-745BB6387199}"/>
    <cellStyle name="SAPBEXexcGood1 2" xfId="660" xr:uid="{5C054FBB-4D0A-4CC8-B402-119F64443531}"/>
    <cellStyle name="SAPBEXexcGood2" xfId="396" xr:uid="{5FA7A799-448F-4636-8C1A-592ECE952FC2}"/>
    <cellStyle name="SAPBEXexcGood2 2" xfId="661" xr:uid="{9D9DC85D-11F6-48B0-8D86-3798A923E059}"/>
    <cellStyle name="SAPBEXexcGood3" xfId="397" xr:uid="{7F453085-03E8-4AEA-BAE6-3A2CBE55D6EE}"/>
    <cellStyle name="SAPBEXexcGood3 2" xfId="662" xr:uid="{1F64AFED-59F5-4739-838D-50D99B7C67ED}"/>
    <cellStyle name="SAPBEXfilterDrill" xfId="398" xr:uid="{C0D72595-8A45-4501-9C8A-4D1184C2CDFC}"/>
    <cellStyle name="SAPBEXfilterItem" xfId="399" xr:uid="{20E17EAB-6C9F-45F6-9064-3949C391A503}"/>
    <cellStyle name="SAPBEXfilterItem 2" xfId="663" xr:uid="{B342A949-F9A1-4767-BDC7-9A5071644127}"/>
    <cellStyle name="SAPBEXfilterText" xfId="400" xr:uid="{DBB1BD9F-4AB0-45FC-B70C-AFE04734602D}"/>
    <cellStyle name="SAPBEXformats" xfId="401" xr:uid="{C632F0EE-47E5-44BE-BEF5-AFAD3700A29F}"/>
    <cellStyle name="SAPBEXformats 2" xfId="664" xr:uid="{29A8E5B3-D513-4102-9E43-88AB702A921A}"/>
    <cellStyle name="SAPBEXheaderItem" xfId="402" xr:uid="{E1EAF1BB-C700-4982-979A-491A355EF2C8}"/>
    <cellStyle name="SAPBEXheaderItem 2" xfId="665" xr:uid="{8BE64561-D9BE-4D31-A692-7A5865E4ED21}"/>
    <cellStyle name="SAPBEXheaderText" xfId="403" xr:uid="{92852264-7B9B-4C81-99F4-F3C9A676EF02}"/>
    <cellStyle name="SAPBEXheaderText 2" xfId="666" xr:uid="{7DB30DBA-2C6C-4A25-899B-0C4887284BDA}"/>
    <cellStyle name="SAPBEXHLevel0" xfId="404" xr:uid="{F087FA5D-3743-4049-8800-B4D81DF82290}"/>
    <cellStyle name="SAPBEXHLevel0 2" xfId="667" xr:uid="{88A87578-69B8-468A-9AA0-9B2EE1403467}"/>
    <cellStyle name="SAPBEXHLevel0X" xfId="405" xr:uid="{CF66F2B6-A6AA-4AE4-A279-1C8E172916E7}"/>
    <cellStyle name="SAPBEXHLevel0X 2" xfId="668" xr:uid="{8855EF66-0792-4C57-88A4-D2E7D9CA6155}"/>
    <cellStyle name="SAPBEXHLevel1" xfId="406" xr:uid="{1A11D933-36C8-4B28-A518-F4C86E063A71}"/>
    <cellStyle name="SAPBEXHLevel1 2" xfId="669" xr:uid="{CD5EA970-A644-4FF2-97F1-826900B064B1}"/>
    <cellStyle name="SAPBEXHLevel1X" xfId="407" xr:uid="{02BD5DA1-30AF-448E-B311-C7DA025EC0D6}"/>
    <cellStyle name="SAPBEXHLevel1X 2" xfId="670" xr:uid="{9F36F9DF-C982-47A6-A930-892EA3F8971C}"/>
    <cellStyle name="SAPBEXHLevel2" xfId="408" xr:uid="{78C1A66A-DCE8-4888-ADC3-C35C012AC4FF}"/>
    <cellStyle name="SAPBEXHLevel2 2" xfId="671" xr:uid="{26C03E74-8BFA-415F-A363-08497A5A9AAE}"/>
    <cellStyle name="SAPBEXHLevel2X" xfId="409" xr:uid="{FD076148-E64D-4771-9AC1-906EEB25C38E}"/>
    <cellStyle name="SAPBEXHLevel2X 2" xfId="672" xr:uid="{3DF41231-2B3E-4887-B6CA-E0DC7D9BC0B2}"/>
    <cellStyle name="SAPBEXHLevel3" xfId="410" xr:uid="{3CDCB556-9679-4F51-9CDA-B0C3A37084CF}"/>
    <cellStyle name="SAPBEXHLevel3 2" xfId="673" xr:uid="{2D8FFBC0-3C70-4619-8C7D-6F7ED775A09B}"/>
    <cellStyle name="SAPBEXHLevel3X" xfId="411" xr:uid="{61604E9F-667E-45E0-AFBD-7EC766AE1631}"/>
    <cellStyle name="SAPBEXHLevel3X 2" xfId="674" xr:uid="{B6D2083D-574C-474C-A61E-46043AB2AA7F}"/>
    <cellStyle name="SAPBEXresData" xfId="412" xr:uid="{12702094-72D3-440F-A7EF-83C0B36F56A7}"/>
    <cellStyle name="SAPBEXresData 2" xfId="675" xr:uid="{03B0B25B-16FB-4D54-95B1-B24C2C75CB6A}"/>
    <cellStyle name="SAPBEXresDataEmph" xfId="413" xr:uid="{332628E6-509F-486E-B8DD-9E1311674CA2}"/>
    <cellStyle name="SAPBEXresItem" xfId="414" xr:uid="{B260CE1E-EBD1-4C93-9AD6-46EABEBC755B}"/>
    <cellStyle name="SAPBEXresItem 2" xfId="676" xr:uid="{9F7170D9-8072-444A-9CB1-ADB2F70BAFF6}"/>
    <cellStyle name="SAPBEXresItemX" xfId="415" xr:uid="{FAAF7360-C064-4585-96F2-C8EDCEA6F6C2}"/>
    <cellStyle name="SAPBEXresItemX 2" xfId="677" xr:uid="{2F735AFF-21C1-4D6C-9DC4-96CF758C9F76}"/>
    <cellStyle name="SAPBEXstdData" xfId="416" xr:uid="{1FAF38F0-27C9-40F3-97C4-E1CFF1F55B21}"/>
    <cellStyle name="SAPBEXstdData 2" xfId="678" xr:uid="{EFB8EE30-E0EC-4764-AAF6-CC2A66BBAA15}"/>
    <cellStyle name="SAPBEXstdDataEmph" xfId="417" xr:uid="{694D724C-8347-4DE8-B1E3-48C599F47FC3}"/>
    <cellStyle name="SAPBEXstdItem" xfId="418" xr:uid="{17F721E4-AF9D-4A08-8B78-E2D0427DF525}"/>
    <cellStyle name="SAPBEXstdItem 2" xfId="679" xr:uid="{F089B609-6A35-4A3B-8DE5-A9F199E61B72}"/>
    <cellStyle name="SAPBEXstdItemX" xfId="419" xr:uid="{D3FA0D4B-04F0-4592-AB1B-D04070E92191}"/>
    <cellStyle name="SAPBEXstdItemX 2" xfId="680" xr:uid="{C263C1AF-FA64-4015-96C9-5A56D9661E34}"/>
    <cellStyle name="SAPBEXtitle" xfId="420" xr:uid="{423D5F1C-F83B-41D8-BE3B-25D96FCE2342}"/>
    <cellStyle name="SAPBEXundefined" xfId="421" xr:uid="{529DA30B-AEA6-4487-96C4-15879DBBDE08}"/>
    <cellStyle name="Size" xfId="422" xr:uid="{4AAF0D7F-2FC1-47BA-B808-3AE304EF4F70}"/>
    <cellStyle name="Style 1" xfId="423" xr:uid="{85653D44-FCF2-4341-91AA-3E260416F80E}"/>
    <cellStyle name="Style 1 2" xfId="424" xr:uid="{DD399E31-C75D-4782-8567-0CB27B924E50}"/>
    <cellStyle name="Style 1 3" xfId="425" xr:uid="{78788197-A383-4E2D-A6BF-620E48526CB6}"/>
    <cellStyle name="Style 2" xfId="426" xr:uid="{C0A1C23B-4115-4C75-83E3-4C6DEEB8B059}"/>
    <cellStyle name="Style 2 2" xfId="681" xr:uid="{75930EF3-C0B6-45A2-950A-BF7A95F94BB1}"/>
    <cellStyle name="Style1" xfId="427" xr:uid="{4457DD9D-1FBE-4898-9C87-0ED96743BA9F}"/>
    <cellStyle name="Style2" xfId="428" xr:uid="{2F635BA4-2D68-40F0-B281-3B37C96E6D35}"/>
    <cellStyle name="Style3" xfId="429" xr:uid="{0D19BA8E-2448-4243-9F18-C2A344210071}"/>
    <cellStyle name="Style4" xfId="430" xr:uid="{4537AE8F-A27E-4E9B-80FA-54BB3C709A4D}"/>
    <cellStyle name="Style5" xfId="431" xr:uid="{7544805B-855F-487B-A3B8-312CCF8324F6}"/>
    <cellStyle name="Style6" xfId="432" xr:uid="{ED72BAF3-1A90-41E2-A977-93A73BDEFAAF}"/>
    <cellStyle name="Styles" xfId="433" xr:uid="{E985758F-712A-4F98-8838-B01EB03C5661}"/>
    <cellStyle name="Table Footnote" xfId="434" xr:uid="{CDFEE4A8-9C52-4BD4-89DB-7307F7823BD1}"/>
    <cellStyle name="Table Footnote 2" xfId="435" xr:uid="{4F320E86-37CD-47E6-A10A-113FD21BC411}"/>
    <cellStyle name="Table Footnote 2 2" xfId="436" xr:uid="{F19BDA26-D87F-4752-BEE8-81DF321AD942}"/>
    <cellStyle name="Table Footnote_Table 5.6 sales of assets 23Feb2010" xfId="437" xr:uid="{E4F2EEBE-366E-4ED6-BAF3-5D6F8B473D28}"/>
    <cellStyle name="Table Head" xfId="438" xr:uid="{0FCEDDA4-C13D-4B90-8F9F-55B38AA2F7F7}"/>
    <cellStyle name="Table Head Aligned" xfId="439" xr:uid="{CF60F640-6D55-4D59-8421-2C97E68F9C7B}"/>
    <cellStyle name="Table Head Blue" xfId="440" xr:uid="{14FB20EC-41D7-4B4E-A8D1-723BBC90C061}"/>
    <cellStyle name="Table Head Green" xfId="441" xr:uid="{67A7C8A3-3B8E-4857-AE26-6FB0CAEF7744}"/>
    <cellStyle name="Table Head_% Change" xfId="442" xr:uid="{3C2389BF-328A-4891-A19A-11B158C945B5}"/>
    <cellStyle name="Table Header" xfId="443" xr:uid="{4FA15092-A681-42F5-9CB7-CD362F753044}"/>
    <cellStyle name="Table Header 2" xfId="444" xr:uid="{1DA22DB2-89D7-4204-A1EC-27EB7B463B88}"/>
    <cellStyle name="Table Header 2 2" xfId="445" xr:uid="{88A4813A-BE68-4949-A04A-C050B2016171}"/>
    <cellStyle name="Table Header_Table 5.6 sales of assets 23Feb2010" xfId="446" xr:uid="{FBF99B2D-5C5F-4CD3-8858-22C82F7BE722}"/>
    <cellStyle name="Table Heading" xfId="447" xr:uid="{3D0AD25E-C196-4C8E-8FCA-37F4DFD96FD4}"/>
    <cellStyle name="Table Heading 1" xfId="448" xr:uid="{AE83C3C4-D742-48FD-95A1-2AE4209BD00D}"/>
    <cellStyle name="Table Heading 1 2" xfId="449" xr:uid="{C04B43E7-B4B5-46A2-969B-8D0A04DF413C}"/>
    <cellStyle name="Table Heading 1 2 2" xfId="450" xr:uid="{BD05B1B0-3BFB-4199-851C-09F41991C768}"/>
    <cellStyle name="Table Heading 1_Table 5.6 sales of assets 23Feb2010" xfId="451" xr:uid="{A5F43ED8-AB05-411A-950B-1048396D242E}"/>
    <cellStyle name="Table Heading 2" xfId="452" xr:uid="{1CDDA8A2-8FFB-4813-8672-12A826CB9866}"/>
    <cellStyle name="Table Heading 2 2" xfId="453" xr:uid="{1E3D35BF-60B5-4A38-9D55-4278572FAEB0}"/>
    <cellStyle name="Table Heading 2_Table 5.6 sales of assets 23Feb2010" xfId="454" xr:uid="{D4EFAFEC-EB60-4C0E-B730-80866983D8F2}"/>
    <cellStyle name="Table Of Which" xfId="455" xr:uid="{542017DC-F1F1-4A49-9125-1C01B8C8FB85}"/>
    <cellStyle name="Table Of Which 2" xfId="456" xr:uid="{5C328B3E-B994-4578-A52D-802BBC7D479C}"/>
    <cellStyle name="Table Of Which_Table 5.6 sales of assets 23Feb2010" xfId="457" xr:uid="{EDA553BA-6D01-4F7B-B35E-E311BEBF5D4A}"/>
    <cellStyle name="Table Row Billions" xfId="458" xr:uid="{623E8669-0FB8-47F2-9529-6FCA5DE0B345}"/>
    <cellStyle name="Table Row Billions 2" xfId="459" xr:uid="{0BA76622-926F-407F-8E1F-71F62D43E2A7}"/>
    <cellStyle name="Table Row Billions 2 2" xfId="683" xr:uid="{DFB3E683-A6F2-4176-A282-64F8223CA8BA}"/>
    <cellStyle name="Table Row Billions 3" xfId="682" xr:uid="{CEB1FFB3-354A-4BD9-BD15-61D95290FDA2}"/>
    <cellStyle name="Table Row Billions Check" xfId="460" xr:uid="{C9CFCDCE-0ADE-4F1D-AC93-204A64C53EFA}"/>
    <cellStyle name="Table Row Billions Check 2" xfId="461" xr:uid="{AC89F22B-C75D-41D2-9EEB-1A0908D2ADAE}"/>
    <cellStyle name="Table Row Billions Check 3" xfId="462" xr:uid="{A61E540C-5ECD-4988-980D-F468BB9D204A}"/>
    <cellStyle name="Table Row Billions Check_asset sales" xfId="463" xr:uid="{2226083B-064C-4B1F-80E8-009C3EA837C8}"/>
    <cellStyle name="Table Row Billions_Live" xfId="464" xr:uid="{23BE9505-CAEF-4151-BAB9-5D444EF85D09}"/>
    <cellStyle name="Table Row Millions" xfId="465" xr:uid="{FD14796B-D7A8-48DB-8B6C-931DC70D7802}"/>
    <cellStyle name="Table Row Millions 2" xfId="466" xr:uid="{4D7782F9-0A5A-49D6-97F6-D7BC55DCB246}"/>
    <cellStyle name="Table Row Millions 2 2" xfId="467" xr:uid="{A5080102-3B75-4328-A660-800CD0522D02}"/>
    <cellStyle name="Table Row Millions 2 2 2" xfId="686" xr:uid="{7CE31EC1-A27E-4017-AA70-DB118ADA1CD8}"/>
    <cellStyle name="Table Row Millions 2 3" xfId="685" xr:uid="{528DB34B-A1DB-4FA7-B68F-4CBCDB577C43}"/>
    <cellStyle name="Table Row Millions 3" xfId="684" xr:uid="{3C8943FD-958B-4BDD-B4C5-E22DC14B911E}"/>
    <cellStyle name="Table Row Millions Check" xfId="468" xr:uid="{F8744A7C-6201-4600-B4D0-15D66B29DC95}"/>
    <cellStyle name="Table Row Millions Check 2" xfId="469" xr:uid="{49C23234-8907-476F-AA10-78C3DC228C63}"/>
    <cellStyle name="Table Row Millions Check 3" xfId="470" xr:uid="{2DD30CA4-D0B9-454A-BCCE-352FACBEEA76}"/>
    <cellStyle name="Table Row Millions Check 4" xfId="471" xr:uid="{3B992C82-24FE-400C-9CD8-DBCF3AC0CC2B}"/>
    <cellStyle name="Table Row Millions Check_asset sales" xfId="472" xr:uid="{43D0E82C-A8EC-4D08-9AC5-338E19B72E34}"/>
    <cellStyle name="Table Row Millions_Live" xfId="473" xr:uid="{CB7B7B19-375E-460C-9ADF-5B171E72847B}"/>
    <cellStyle name="Table Row Percentage" xfId="474" xr:uid="{9C8252F9-42BD-4028-9D45-05AEBD997B1A}"/>
    <cellStyle name="Table Row Percentage 2" xfId="475" xr:uid="{42773609-2C5B-4982-A65A-26AD980947CE}"/>
    <cellStyle name="Table Row Percentage 2 2" xfId="688" xr:uid="{2C7A8B98-D6ED-4576-8B93-C6C460FA313F}"/>
    <cellStyle name="Table Row Percentage 3" xfId="687" xr:uid="{AAC61FC1-8E46-4516-BC83-7AB2280D31FD}"/>
    <cellStyle name="Table Row Percentage Check" xfId="476" xr:uid="{45EDFC75-3A1B-4290-A9E8-2918237A6F21}"/>
    <cellStyle name="Table Row Percentage Check 2" xfId="477" xr:uid="{018918B5-53F5-4EA4-84B8-B5BF8FC8F0BC}"/>
    <cellStyle name="Table Row Percentage Check 3" xfId="478" xr:uid="{74EEAD47-3CCB-4247-B3CB-10A3DEE753D2}"/>
    <cellStyle name="Table Row Percentage Check_asset sales" xfId="479" xr:uid="{90415500-C855-4645-94D4-6CC116AE63EB}"/>
    <cellStyle name="Table Row Percentage_Live" xfId="480" xr:uid="{A113438D-52E4-4553-8D27-B8ACC1E4E7EE}"/>
    <cellStyle name="Table Source" xfId="481" xr:uid="{80C901D6-2779-4EB1-B427-770A3BA1DFE8}"/>
    <cellStyle name="Table Text" xfId="482" xr:uid="{C2C4BB96-D18D-42FF-9B27-A6EC30DB07B9}"/>
    <cellStyle name="Table Title" xfId="483" xr:uid="{66AC5EDC-311A-443D-88E4-AEE5A72BE5E9}"/>
    <cellStyle name="Table Total Billions" xfId="484" xr:uid="{F9A4A848-4064-4EBA-A099-23C8E1C78787}"/>
    <cellStyle name="Table Total Billions 2" xfId="485" xr:uid="{E58FC650-80F1-4467-8EF2-04EBECFEA504}"/>
    <cellStyle name="Table Total Billions_Table 5.6 sales of assets 23Feb2010" xfId="486" xr:uid="{B9158826-58F4-406C-8CF8-BEE3897F1798}"/>
    <cellStyle name="Table Total Millions" xfId="487" xr:uid="{82119966-7539-4CF7-90F5-6698F7BE08F0}"/>
    <cellStyle name="Table Total Millions 2" xfId="488" xr:uid="{E9EE6BC8-C9B5-46D0-912B-58DA98366551}"/>
    <cellStyle name="Table Total Millions 2 2" xfId="489" xr:uid="{721B8D3F-987F-42AF-93F2-CE23A74DF3F1}"/>
    <cellStyle name="Table Total Millions_Table 5.6 sales of assets 23Feb2010" xfId="490" xr:uid="{E25AC292-48DC-44B3-B5C9-033CCC6B9F3D}"/>
    <cellStyle name="Table Total Percentage" xfId="491" xr:uid="{119267D4-0B14-460F-8C0C-0A8E792F1E2A}"/>
    <cellStyle name="Table Total Percentage 2" xfId="492" xr:uid="{42FA36F4-F61C-4768-9F23-4536B36F2495}"/>
    <cellStyle name="Table Total Percentage_Table 5.6 sales of assets 23Feb2010" xfId="493" xr:uid="{123B3C9F-B775-4FC7-A179-868E324ED4D7}"/>
    <cellStyle name="Table Units" xfId="494" xr:uid="{E1917ACB-E0D4-42C9-8787-2084C6CBCFAB}"/>
    <cellStyle name="Table Units 2" xfId="495" xr:uid="{3EE8DF3D-8377-4AA5-80DB-D1F3961C3249}"/>
    <cellStyle name="Table Units 2 2" xfId="496" xr:uid="{613AE458-2466-4F57-80F0-13894D07C90D}"/>
    <cellStyle name="Table Units 3" xfId="497" xr:uid="{C8D46EBE-F1E0-4B42-BD5B-5A6204ABA6A3}"/>
    <cellStyle name="Table Units 3 2" xfId="689" xr:uid="{2DB398E8-2BE8-4A17-B699-0D1B0652B55B}"/>
    <cellStyle name="Table Units_LA Capital - Bud12 PRE MEASURES-AS11 POST MEASURES" xfId="498" xr:uid="{B86191A3-FA63-4DE8-9218-69708C39EE62}"/>
    <cellStyle name="TableBody" xfId="499" xr:uid="{831849DA-619D-4B47-85F2-C9FB200805DB}"/>
    <cellStyle name="TableBody 2" xfId="690" xr:uid="{857A939E-95DF-492D-8FC9-3147D5808BD1}"/>
    <cellStyle name="TableColHeads" xfId="500" xr:uid="{37D346D4-BEAA-49A4-9C07-322659C8198D}"/>
    <cellStyle name="TableColHeads 2" xfId="691" xr:uid="{23E52D81-4747-4A2F-BDFE-B1B71481B3E4}"/>
    <cellStyle name="Term" xfId="501" xr:uid="{D49778F9-6C62-450A-9298-34AD795089D9}"/>
    <cellStyle name="Term 2" xfId="692" xr:uid="{E1362077-A393-40D7-A9B1-D233B8B94D55}"/>
    <cellStyle name="Text 1" xfId="502" xr:uid="{343412C5-5393-4B8B-A1BB-748CE6ABD4E3}"/>
    <cellStyle name="Text 2" xfId="503" xr:uid="{8424D5C8-5DF5-4E0A-94BB-9463A787090E}"/>
    <cellStyle name="Text Head 1" xfId="504" xr:uid="{5887D7BC-199E-4BAB-A8D5-C5D6FD2565F4}"/>
    <cellStyle name="Text Head 1 2" xfId="693" xr:uid="{E71C6981-4647-4994-931F-3B66A056CD05}"/>
    <cellStyle name="Text Head 2" xfId="505" xr:uid="{833C591A-4E21-4B42-A44E-F93EECD16CE6}"/>
    <cellStyle name="Text Head 2 2" xfId="694" xr:uid="{70F78A2D-96BC-45D4-8F7A-054CDF053166}"/>
    <cellStyle name="Text Indent 1" xfId="506" xr:uid="{D00703AF-4520-4174-B6FB-5A8171BD20CD}"/>
    <cellStyle name="Text Indent 2" xfId="507" xr:uid="{71BF244E-562C-4C26-933B-5633620A8D83}"/>
    <cellStyle name="Times New Roman" xfId="508" xr:uid="{D7E34C71-1E09-442C-9B0D-C4889FE3CE83}"/>
    <cellStyle name="Title 2" xfId="510" xr:uid="{CE2A129D-BDF5-4FF7-AAB6-52D356910D98}"/>
    <cellStyle name="Title 2 2" xfId="1910" xr:uid="{39A7A721-D97A-444A-95BD-680436FA9159}"/>
    <cellStyle name="Title 3" xfId="511" xr:uid="{22C56B64-BDBA-4F7B-8E02-56E5F84614E2}"/>
    <cellStyle name="Title 4" xfId="512" xr:uid="{C09F05B0-6E82-4669-8CB0-87C365D31F7C}"/>
    <cellStyle name="Title 5" xfId="760" xr:uid="{632B1BFF-CFE9-4575-8C86-E4509CA6A2B1}"/>
    <cellStyle name="Title 6" xfId="1036" xr:uid="{7B36EBBD-A44D-4EC9-B0CE-083857AE9322}"/>
    <cellStyle name="Title 7" xfId="509" xr:uid="{75B96696-5E8A-41DE-A7C5-83AA6C6C4B6A}"/>
    <cellStyle name="TOC 1" xfId="513" xr:uid="{22849385-D74E-4CC6-BD33-A8313E88E336}"/>
    <cellStyle name="TOC 1 2" xfId="695" xr:uid="{BD8D6D45-F09C-4787-97EC-66BDAC8EC44B}"/>
    <cellStyle name="TOC 2" xfId="514" xr:uid="{DD90391F-7388-4056-9147-585CE527D36F}"/>
    <cellStyle name="Total 2" xfId="516" xr:uid="{92F1C902-39E4-4DC9-BD3B-A5EB85AFB40D}"/>
    <cellStyle name="Total 2 2" xfId="2148" xr:uid="{1F5D4768-97B1-453F-A992-72FF26D427CA}"/>
    <cellStyle name="Total 3" xfId="761" xr:uid="{A0FAAA25-D522-409A-9860-0F1A134FE2AB}"/>
    <cellStyle name="Total 4" xfId="515" xr:uid="{0C7B29E3-7938-430A-952C-3C9FF42E070A}"/>
    <cellStyle name="Total Currency" xfId="517" xr:uid="{BA5F6F49-34B6-4C9D-9FE1-40AEC089CE9A}"/>
    <cellStyle name="Total Normal" xfId="518" xr:uid="{2A08942E-92BC-4EAC-AE24-61D0903AE16D}"/>
    <cellStyle name="TypeNote" xfId="519" xr:uid="{8992BECE-6BE3-4E0D-AE03-FD36CFE8961F}"/>
    <cellStyle name="TypeNote 2" xfId="696" xr:uid="{4D3E8BE3-4DFE-4E01-8B62-51E36234525D}"/>
    <cellStyle name="Unit" xfId="520" xr:uid="{C01D4BDC-CDFC-4A9A-B893-582981F05F59}"/>
    <cellStyle name="UnitOfMeasure" xfId="521" xr:uid="{F450C200-4330-4DF5-99D1-D4BE1CABE5C3}"/>
    <cellStyle name="UnitOfMeasure 2" xfId="697" xr:uid="{DDCF1AEE-22B3-4114-9B4B-148BC4ABDCAA}"/>
    <cellStyle name="Value" xfId="522" xr:uid="{140C5000-4363-4D8B-9642-31D994A0DACB}"/>
    <cellStyle name="Value 2" xfId="698" xr:uid="{56B3E3AA-8380-4EE1-B9ED-80E5295A59D0}"/>
    <cellStyle name="Vertical" xfId="523" xr:uid="{B6014F83-FBAA-4074-8E25-DF6DFC7E1A67}"/>
    <cellStyle name="Warning Text 2" xfId="525" xr:uid="{31FB8EBB-1A36-4025-975E-41CC4AD002B1}"/>
    <cellStyle name="Warning Text 2 2" xfId="2149" xr:uid="{A1FD27FC-D14B-4962-A3AC-CED636560A0E}"/>
    <cellStyle name="Warning Text 3" xfId="762" xr:uid="{DA9CC16D-6DD2-45AA-B569-A81594508C71}"/>
    <cellStyle name="Warning Text 4" xfId="524" xr:uid="{144F5291-048E-41B6-AA79-951707867D7F}"/>
    <cellStyle name="whole number" xfId="526" xr:uid="{C1A87016-4AB5-41B7-998D-A0B541794C76}"/>
    <cellStyle name="whole number 2" xfId="699" xr:uid="{D5196B80-C3A4-4B49-93F3-79965E9FE855}"/>
  </cellStyles>
  <dxfs count="0"/>
  <tableStyles count="0" defaultTableStyle="TableStyleMedium2" defaultPivotStyle="PivotStyleLight16"/>
  <colors>
    <mruColors>
      <color rgb="FF495057"/>
      <color rgb="FFD1A21E"/>
      <color rgb="FF0034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0.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chartsheet" Target="chartsheets/sheet3.xml"/><Relationship Id="rId17" Type="http://schemas.openxmlformats.org/officeDocument/2006/relationships/chartsheet" Target="chartsheets/sheet5.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hartsheet" Target="chartsheets/sheet2.xml"/><Relationship Id="rId5" Type="http://schemas.openxmlformats.org/officeDocument/2006/relationships/worksheet" Target="worksheets/sheet5.xml"/><Relationship Id="rId15" Type="http://schemas.openxmlformats.org/officeDocument/2006/relationships/chartsheet" Target="chartsheets/sheet4.xml"/><Relationship Id="rId10" Type="http://schemas.openxmlformats.org/officeDocument/2006/relationships/chartsheet" Target="chartsheets/sheet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9.xml"/><Relationship Id="rId1" Type="http://schemas.openxmlformats.org/officeDocument/2006/relationships/themeOverride" Target="../theme/themeOverride4.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2.xml"/><Relationship Id="rId1" Type="http://schemas.openxmlformats.org/officeDocument/2006/relationships/themeOverride" Target="../theme/themeOverrid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6239237063692838E-2"/>
          <c:y val="0.14946102436628314"/>
          <c:w val="0.93702521347727463"/>
          <c:h val="0.71499307860619499"/>
        </c:manualLayout>
      </c:layout>
      <c:barChart>
        <c:barDir val="col"/>
        <c:grouping val="clustered"/>
        <c:varyColors val="0"/>
        <c:ser>
          <c:idx val="0"/>
          <c:order val="0"/>
          <c:tx>
            <c:strRef>
              <c:f>'International Comparison'!$H$4</c:f>
              <c:strCache>
                <c:ptCount val="1"/>
                <c:pt idx="0">
                  <c:v>UK</c:v>
                </c:pt>
              </c:strCache>
            </c:strRef>
          </c:tx>
          <c:spPr>
            <a:solidFill>
              <a:srgbClr val="BD1B21"/>
            </a:solidFill>
            <a:ln w="6350">
              <a:solidFill>
                <a:srgbClr val="495057"/>
              </a:solidFill>
            </a:ln>
          </c:spPr>
          <c:invertIfNegative val="0"/>
          <c:cat>
            <c:strRef>
              <c:f>'International Comparison'!$G$5:$G$8</c:f>
              <c:strCache>
                <c:ptCount val="4"/>
                <c:pt idx="0">
                  <c:v>2014-2021 average</c:v>
                </c:pt>
                <c:pt idx="1">
                  <c:v>2022</c:v>
                </c:pt>
                <c:pt idx="2">
                  <c:v>2023</c:v>
                </c:pt>
                <c:pt idx="3">
                  <c:v>2024</c:v>
                </c:pt>
              </c:strCache>
            </c:strRef>
          </c:cat>
          <c:val>
            <c:numRef>
              <c:f>'International Comparison'!$H$5:$H$8</c:f>
              <c:numCache>
                <c:formatCode>0.0</c:formatCode>
                <c:ptCount val="4"/>
                <c:pt idx="0">
                  <c:v>2.1453620113190288</c:v>
                </c:pt>
                <c:pt idx="1">
                  <c:v>2.2852877176642599</c:v>
                </c:pt>
                <c:pt idx="2">
                  <c:v>2.3026834331913704</c:v>
                </c:pt>
                <c:pt idx="3">
                  <c:v>2.3322602255087128</c:v>
                </c:pt>
              </c:numCache>
            </c:numRef>
          </c:val>
          <c:extLst>
            <c:ext xmlns:c16="http://schemas.microsoft.com/office/drawing/2014/chart" uri="{C3380CC4-5D6E-409C-BE32-E72D297353CC}">
              <c16:uniqueId val="{00000000-35D6-4E4B-91F4-0D9ED376BC7E}"/>
            </c:ext>
          </c:extLst>
        </c:ser>
        <c:ser>
          <c:idx val="1"/>
          <c:order val="1"/>
          <c:tx>
            <c:strRef>
              <c:f>'International Comparison'!$I$4</c:f>
              <c:strCache>
                <c:ptCount val="1"/>
                <c:pt idx="0">
                  <c:v>US</c:v>
                </c:pt>
              </c:strCache>
            </c:strRef>
          </c:tx>
          <c:spPr>
            <a:solidFill>
              <a:srgbClr val="003469"/>
            </a:solidFill>
            <a:ln w="6350">
              <a:solidFill>
                <a:srgbClr val="495057"/>
              </a:solidFill>
            </a:ln>
          </c:spPr>
          <c:invertIfNegative val="0"/>
          <c:cat>
            <c:strRef>
              <c:f>'International Comparison'!$G$5:$G$8</c:f>
              <c:strCache>
                <c:ptCount val="4"/>
                <c:pt idx="0">
                  <c:v>2014-2021 average</c:v>
                </c:pt>
                <c:pt idx="1">
                  <c:v>2022</c:v>
                </c:pt>
                <c:pt idx="2">
                  <c:v>2023</c:v>
                </c:pt>
                <c:pt idx="3">
                  <c:v>2024</c:v>
                </c:pt>
              </c:strCache>
            </c:strRef>
          </c:cat>
          <c:val>
            <c:numRef>
              <c:f>'International Comparison'!$I$5:$I$8</c:f>
              <c:numCache>
                <c:formatCode>0.0</c:formatCode>
                <c:ptCount val="4"/>
                <c:pt idx="0">
                  <c:v>3.4718875949748558</c:v>
                </c:pt>
                <c:pt idx="1">
                  <c:v>3.3120710807410436</c:v>
                </c:pt>
                <c:pt idx="2">
                  <c:v>3.232423677565305</c:v>
                </c:pt>
                <c:pt idx="3">
                  <c:v>3.3790207262385565</c:v>
                </c:pt>
              </c:numCache>
            </c:numRef>
          </c:val>
          <c:extLst>
            <c:ext xmlns:c16="http://schemas.microsoft.com/office/drawing/2014/chart" uri="{C3380CC4-5D6E-409C-BE32-E72D297353CC}">
              <c16:uniqueId val="{00000001-35D6-4E4B-91F4-0D9ED376BC7E}"/>
            </c:ext>
          </c:extLst>
        </c:ser>
        <c:ser>
          <c:idx val="2"/>
          <c:order val="2"/>
          <c:tx>
            <c:strRef>
              <c:f>'International Comparison'!$J$4</c:f>
              <c:strCache>
                <c:ptCount val="1"/>
                <c:pt idx="0">
                  <c:v>NATO Europe and Canada</c:v>
                </c:pt>
              </c:strCache>
            </c:strRef>
          </c:tx>
          <c:spPr>
            <a:solidFill>
              <a:srgbClr val="D1A21E"/>
            </a:solidFill>
            <a:ln w="6350">
              <a:solidFill>
                <a:srgbClr val="495057"/>
              </a:solidFill>
            </a:ln>
          </c:spPr>
          <c:invertIfNegative val="0"/>
          <c:cat>
            <c:strRef>
              <c:f>'International Comparison'!$G$5:$G$8</c:f>
              <c:strCache>
                <c:ptCount val="4"/>
                <c:pt idx="0">
                  <c:v>2014-2021 average</c:v>
                </c:pt>
                <c:pt idx="1">
                  <c:v>2022</c:v>
                </c:pt>
                <c:pt idx="2">
                  <c:v>2023</c:v>
                </c:pt>
                <c:pt idx="3">
                  <c:v>2024</c:v>
                </c:pt>
              </c:strCache>
            </c:strRef>
          </c:cat>
          <c:val>
            <c:numRef>
              <c:f>'International Comparison'!$J$5:$J$8</c:f>
              <c:numCache>
                <c:formatCode>0.0</c:formatCode>
                <c:ptCount val="4"/>
                <c:pt idx="0">
                  <c:v>1.505928292960897</c:v>
                </c:pt>
                <c:pt idx="1">
                  <c:v>1.6586735405031181</c:v>
                </c:pt>
                <c:pt idx="2">
                  <c:v>1.7754774900155899</c:v>
                </c:pt>
                <c:pt idx="3">
                  <c:v>2.0154548520439497</c:v>
                </c:pt>
              </c:numCache>
            </c:numRef>
          </c:val>
          <c:extLst>
            <c:ext xmlns:c16="http://schemas.microsoft.com/office/drawing/2014/chart" uri="{C3380CC4-5D6E-409C-BE32-E72D297353CC}">
              <c16:uniqueId val="{00000002-35D6-4E4B-91F4-0D9ED376BC7E}"/>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noMultiLvlLbl val="0"/>
      </c:catAx>
      <c:valAx>
        <c:axId val="274950400"/>
        <c:scaling>
          <c:orientation val="minMax"/>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between"/>
        <c:majorUnit val="1"/>
      </c:valAx>
      <c:spPr>
        <a:noFill/>
        <a:ln w="25400">
          <a:noFill/>
        </a:ln>
      </c:spPr>
    </c:plotArea>
    <c:legend>
      <c:legendPos val="r"/>
      <c:layout>
        <c:manualLayout>
          <c:xMode val="edge"/>
          <c:yMode val="edge"/>
          <c:x val="0.23280400470303203"/>
          <c:y val="0.13825238527603709"/>
          <c:w val="0.57653175140437762"/>
          <c:h val="8.7232209181399484E-2"/>
        </c:manualLayout>
      </c:layout>
      <c:overlay val="0"/>
      <c:txPr>
        <a:bodyPr/>
        <a:lstStyle/>
        <a:p>
          <a:pPr>
            <a:defRPr sz="1800">
              <a:solidFill>
                <a:srgbClr val="495057"/>
              </a:solidFill>
              <a:latin typeface="Segoe UI" panose="020B0502040204020203" pitchFamily="34" charset="0"/>
              <a:cs typeface="Segoe UI" panose="020B0502040204020203" pitchFamily="34" charset="0"/>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936283417061556E-2"/>
          <c:y val="0.1456803060297992"/>
          <c:w val="0.9406371658293845"/>
          <c:h val="0.49959875504572793"/>
        </c:manualLayout>
      </c:layout>
      <c:barChart>
        <c:barDir val="col"/>
        <c:grouping val="stacked"/>
        <c:varyColors val="0"/>
        <c:ser>
          <c:idx val="0"/>
          <c:order val="0"/>
          <c:spPr>
            <a:solidFill>
              <a:srgbClr val="BD1B21"/>
            </a:solidFill>
            <a:ln w="12700">
              <a:noFill/>
              <a:prstDash val="solid"/>
            </a:ln>
          </c:spPr>
          <c:invertIfNegative val="0"/>
          <c:dPt>
            <c:idx val="1"/>
            <c:invertIfNegative val="0"/>
            <c:bubble3D val="0"/>
            <c:spPr>
              <a:noFill/>
              <a:ln w="12700">
                <a:noFill/>
                <a:prstDash val="solid"/>
              </a:ln>
            </c:spPr>
            <c:extLst>
              <c:ext xmlns:c16="http://schemas.microsoft.com/office/drawing/2014/chart" uri="{C3380CC4-5D6E-409C-BE32-E72D297353CC}">
                <c16:uniqueId val="{0000000A-677A-4796-AD9B-915CE07CE449}"/>
              </c:ext>
            </c:extLst>
          </c:dPt>
          <c:dPt>
            <c:idx val="2"/>
            <c:invertIfNegative val="0"/>
            <c:bubble3D val="0"/>
            <c:spPr>
              <a:noFill/>
              <a:ln w="12700">
                <a:noFill/>
                <a:prstDash val="solid"/>
              </a:ln>
            </c:spPr>
            <c:extLst>
              <c:ext xmlns:c16="http://schemas.microsoft.com/office/drawing/2014/chart" uri="{C3380CC4-5D6E-409C-BE32-E72D297353CC}">
                <c16:uniqueId val="{0000000B-677A-4796-AD9B-915CE07CE449}"/>
              </c:ext>
            </c:extLst>
          </c:dPt>
          <c:dPt>
            <c:idx val="3"/>
            <c:invertIfNegative val="0"/>
            <c:bubble3D val="0"/>
            <c:spPr>
              <a:noFill/>
              <a:ln w="12700">
                <a:noFill/>
                <a:prstDash val="solid"/>
              </a:ln>
            </c:spPr>
            <c:extLst>
              <c:ext xmlns:c16="http://schemas.microsoft.com/office/drawing/2014/chart" uri="{C3380CC4-5D6E-409C-BE32-E72D297353CC}">
                <c16:uniqueId val="{0000000C-677A-4796-AD9B-915CE07CE449}"/>
              </c:ext>
            </c:extLst>
          </c:dPt>
          <c:cat>
            <c:strRef>
              <c:f>'Fiscal position'!$BG$3:$BG$7</c:f>
              <c:strCache>
                <c:ptCount val="5"/>
                <c:pt idx="0">
                  <c:v>Autumn budget headroom</c:v>
                </c:pt>
                <c:pt idx="1">
                  <c:v>Reduced aid spending</c:v>
                </c:pt>
                <c:pt idx="2">
                  <c:v>Increased current defence spending*</c:v>
                </c:pt>
                <c:pt idx="3">
                  <c:v>Higher market interest rates</c:v>
                </c:pt>
                <c:pt idx="4">
                  <c:v>Remaining headroom</c:v>
                </c:pt>
              </c:strCache>
            </c:strRef>
          </c:cat>
          <c:val>
            <c:numRef>
              <c:f>'Fiscal position'!$BH$3:$BH$7</c:f>
              <c:numCache>
                <c:formatCode>General</c:formatCode>
                <c:ptCount val="5"/>
                <c:pt idx="0">
                  <c:v>9.9</c:v>
                </c:pt>
                <c:pt idx="1">
                  <c:v>9.9</c:v>
                </c:pt>
                <c:pt idx="2" formatCode="0.0">
                  <c:v>12.331499070795989</c:v>
                </c:pt>
                <c:pt idx="3" formatCode="0.0">
                  <c:v>6.231499070795989</c:v>
                </c:pt>
                <c:pt idx="4" formatCode="0.0">
                  <c:v>6.231499070795989</c:v>
                </c:pt>
              </c:numCache>
            </c:numRef>
          </c:val>
          <c:extLst>
            <c:ext xmlns:c16="http://schemas.microsoft.com/office/drawing/2014/chart" uri="{C3380CC4-5D6E-409C-BE32-E72D297353CC}">
              <c16:uniqueId val="{00000000-146E-4599-A5E6-C1D44CA8266C}"/>
            </c:ext>
          </c:extLst>
        </c:ser>
        <c:ser>
          <c:idx val="1"/>
          <c:order val="1"/>
          <c:spPr>
            <a:solidFill>
              <a:srgbClr val="003469"/>
            </a:solidFill>
            <a:ln w="12700">
              <a:noFill/>
              <a:prstDash val="solid"/>
            </a:ln>
          </c:spPr>
          <c:invertIfNegative val="0"/>
          <c:dPt>
            <c:idx val="2"/>
            <c:invertIfNegative val="0"/>
            <c:bubble3D val="0"/>
            <c:spPr>
              <a:solidFill>
                <a:srgbClr val="D1A21E"/>
              </a:solidFill>
              <a:ln w="12700">
                <a:noFill/>
                <a:prstDash val="solid"/>
              </a:ln>
            </c:spPr>
            <c:extLst>
              <c:ext xmlns:c16="http://schemas.microsoft.com/office/drawing/2014/chart" uri="{C3380CC4-5D6E-409C-BE32-E72D297353CC}">
                <c16:uniqueId val="{0000000D-677A-4796-AD9B-915CE07CE449}"/>
              </c:ext>
            </c:extLst>
          </c:dPt>
          <c:dPt>
            <c:idx val="3"/>
            <c:invertIfNegative val="0"/>
            <c:bubble3D val="0"/>
            <c:spPr>
              <a:solidFill>
                <a:srgbClr val="D1A21E"/>
              </a:solidFill>
              <a:ln w="12700">
                <a:noFill/>
                <a:prstDash val="solid"/>
              </a:ln>
            </c:spPr>
            <c:extLst>
              <c:ext xmlns:c16="http://schemas.microsoft.com/office/drawing/2014/chart" uri="{C3380CC4-5D6E-409C-BE32-E72D297353CC}">
                <c16:uniqueId val="{0000000E-677A-4796-AD9B-915CE07CE449}"/>
              </c:ext>
            </c:extLst>
          </c:dPt>
          <c:cat>
            <c:strRef>
              <c:f>'Fiscal position'!$BG$3:$BG$7</c:f>
              <c:strCache>
                <c:ptCount val="5"/>
                <c:pt idx="0">
                  <c:v>Autumn budget headroom</c:v>
                </c:pt>
                <c:pt idx="1">
                  <c:v>Reduced aid spending</c:v>
                </c:pt>
                <c:pt idx="2">
                  <c:v>Increased current defence spending*</c:v>
                </c:pt>
                <c:pt idx="3">
                  <c:v>Higher market interest rates</c:v>
                </c:pt>
                <c:pt idx="4">
                  <c:v>Remaining headroom</c:v>
                </c:pt>
              </c:strCache>
            </c:strRef>
          </c:cat>
          <c:val>
            <c:numRef>
              <c:f>'Fiscal position'!$BI$3:$BI$7</c:f>
              <c:numCache>
                <c:formatCode>0.0</c:formatCode>
                <c:ptCount val="5"/>
                <c:pt idx="0" formatCode="General">
                  <c:v>0</c:v>
                </c:pt>
                <c:pt idx="1">
                  <c:v>6.7945628239999998</c:v>
                </c:pt>
                <c:pt idx="2">
                  <c:v>4.3630637532040133</c:v>
                </c:pt>
                <c:pt idx="3" formatCode="General">
                  <c:v>6.1</c:v>
                </c:pt>
                <c:pt idx="4" formatCode="General">
                  <c:v>0</c:v>
                </c:pt>
              </c:numCache>
            </c:numRef>
          </c:val>
          <c:extLst>
            <c:ext xmlns:c16="http://schemas.microsoft.com/office/drawing/2014/chart" uri="{C3380CC4-5D6E-409C-BE32-E72D297353CC}">
              <c16:uniqueId val="{00000001-146E-4599-A5E6-C1D44CA8266C}"/>
            </c:ext>
          </c:extLst>
        </c:ser>
        <c:dLbls>
          <c:showLegendKey val="0"/>
          <c:showVal val="0"/>
          <c:showCatName val="0"/>
          <c:showSerName val="0"/>
          <c:showPercent val="0"/>
          <c:showBubbleSize val="0"/>
        </c:dLbls>
        <c:gapWidth val="50"/>
        <c:overlap val="100"/>
        <c:axId val="275934208"/>
        <c:axId val="275936000"/>
      </c:barChart>
      <c:catAx>
        <c:axId val="275934208"/>
        <c:scaling>
          <c:orientation val="minMax"/>
        </c:scaling>
        <c:delete val="0"/>
        <c:axPos val="b"/>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noMultiLvlLbl val="0"/>
      </c:catAx>
      <c:valAx>
        <c:axId val="275936000"/>
        <c:scaling>
          <c:orientation val="minMax"/>
        </c:scaling>
        <c:delete val="0"/>
        <c:axPos val="l"/>
        <c:numFmt formatCode="General"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valAx>
      <c:spPr>
        <a:noFill/>
      </c:spPr>
    </c:plotArea>
    <c:plotVisOnly val="1"/>
    <c:dispBlanksAs val="gap"/>
    <c:showDLblsOverMax val="0"/>
  </c:chart>
  <c:spPr>
    <a:solidFill>
      <a:srgbClr val="FFFFFF"/>
    </a:solidFill>
    <a:ln>
      <a:noFill/>
    </a:ln>
  </c:sp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93827241462216"/>
          <c:w val="1"/>
          <c:h val="0.81020576656754972"/>
        </c:manualLayout>
      </c:layout>
      <c:barChart>
        <c:barDir val="col"/>
        <c:grouping val="clustered"/>
        <c:varyColors val="0"/>
        <c:ser>
          <c:idx val="0"/>
          <c:order val="0"/>
          <c:tx>
            <c:strRef>
              <c:f>'Fiscal position'!$AX$3</c:f>
              <c:strCache>
                <c:ptCount val="1"/>
                <c:pt idx="0">
                  <c:v>Increasing defence spending to 2.5%</c:v>
                </c:pt>
              </c:strCache>
            </c:strRef>
          </c:tx>
          <c:spPr>
            <a:solidFill>
              <a:srgbClr val="BD1B21"/>
            </a:solidFill>
            <a:ln w="22225">
              <a:noFill/>
            </a:ln>
          </c:spPr>
          <c:invertIfNegative val="0"/>
          <c:cat>
            <c:strRef>
              <c:f>'Fiscal position'!$AY$2:$AZ$2</c:f>
              <c:strCache>
                <c:ptCount val="2"/>
                <c:pt idx="0">
                  <c:v>Borrowing to invest</c:v>
                </c:pt>
                <c:pt idx="1">
                  <c:v>Debt-to-GDP falling in 5 years' time</c:v>
                </c:pt>
              </c:strCache>
            </c:strRef>
          </c:cat>
          <c:val>
            <c:numRef>
              <c:f>'Fiscal position'!$AY$3:$AZ$3</c:f>
              <c:numCache>
                <c:formatCode>0.0</c:formatCode>
                <c:ptCount val="2"/>
                <c:pt idx="0">
                  <c:v>3.5054371760000009</c:v>
                </c:pt>
                <c:pt idx="1">
                  <c:v>10.205437176</c:v>
                </c:pt>
              </c:numCache>
            </c:numRef>
          </c:val>
          <c:extLst>
            <c:ext xmlns:c16="http://schemas.microsoft.com/office/drawing/2014/chart" uri="{C3380CC4-5D6E-409C-BE32-E72D297353CC}">
              <c16:uniqueId val="{00000000-35D6-4E4B-91F4-0D9ED376BC7E}"/>
            </c:ext>
          </c:extLst>
        </c:ser>
        <c:ser>
          <c:idx val="1"/>
          <c:order val="1"/>
          <c:tx>
            <c:strRef>
              <c:f>'Fiscal position'!$AX$4</c:f>
              <c:strCache>
                <c:ptCount val="1"/>
                <c:pt idx="0">
                  <c:v>Increasing defence spending to 3%</c:v>
                </c:pt>
              </c:strCache>
            </c:strRef>
          </c:tx>
          <c:spPr>
            <a:solidFill>
              <a:srgbClr val="003469"/>
            </a:solidFill>
            <a:ln w="22225">
              <a:noFill/>
            </a:ln>
          </c:spPr>
          <c:invertIfNegative val="0"/>
          <c:cat>
            <c:strRef>
              <c:f>'Fiscal position'!$AY$2:$AZ$2</c:f>
              <c:strCache>
                <c:ptCount val="2"/>
                <c:pt idx="0">
                  <c:v>Borrowing to invest</c:v>
                </c:pt>
                <c:pt idx="1">
                  <c:v>Debt-to-GDP falling in 5 years' time</c:v>
                </c:pt>
              </c:strCache>
            </c:strRef>
          </c:cat>
          <c:val>
            <c:numRef>
              <c:f>'Fiscal position'!$AY$4:$AZ$4</c:f>
              <c:numCache>
                <c:formatCode>0.0</c:formatCode>
                <c:ptCount val="2"/>
                <c:pt idx="0">
                  <c:v>13.805437176000002</c:v>
                </c:pt>
                <c:pt idx="1">
                  <c:v>27.205437176</c:v>
                </c:pt>
              </c:numCache>
            </c:numRef>
          </c:val>
          <c:extLst>
            <c:ext xmlns:c16="http://schemas.microsoft.com/office/drawing/2014/chart" uri="{C3380CC4-5D6E-409C-BE32-E72D297353CC}">
              <c16:uniqueId val="{00000001-35D6-4E4B-91F4-0D9ED376BC7E}"/>
            </c:ext>
          </c:extLst>
        </c:ser>
        <c:ser>
          <c:idx val="2"/>
          <c:order val="2"/>
          <c:tx>
            <c:strRef>
              <c:f>'Fiscal position'!$AX$5</c:f>
              <c:strCache>
                <c:ptCount val="1"/>
                <c:pt idx="0">
                  <c:v>Headroom in Autumn Budget</c:v>
                </c:pt>
              </c:strCache>
            </c:strRef>
          </c:tx>
          <c:spPr>
            <a:solidFill>
              <a:srgbClr val="D1A21E"/>
            </a:solidFill>
          </c:spPr>
          <c:invertIfNegative val="0"/>
          <c:cat>
            <c:strRef>
              <c:f>'Fiscal position'!$AY$2:$AZ$2</c:f>
              <c:strCache>
                <c:ptCount val="2"/>
                <c:pt idx="0">
                  <c:v>Borrowing to invest</c:v>
                </c:pt>
                <c:pt idx="1">
                  <c:v>Debt-to-GDP falling in 5 years' time</c:v>
                </c:pt>
              </c:strCache>
            </c:strRef>
          </c:cat>
          <c:val>
            <c:numRef>
              <c:f>'Fiscal position'!$AY$5:$AZ$5</c:f>
              <c:numCache>
                <c:formatCode>General</c:formatCode>
                <c:ptCount val="2"/>
                <c:pt idx="0" formatCode="0.0">
                  <c:v>9.9</c:v>
                </c:pt>
                <c:pt idx="1">
                  <c:v>15.7</c:v>
                </c:pt>
              </c:numCache>
            </c:numRef>
          </c:val>
          <c:extLst>
            <c:ext xmlns:c16="http://schemas.microsoft.com/office/drawing/2014/chart" uri="{C3380CC4-5D6E-409C-BE32-E72D297353CC}">
              <c16:uniqueId val="{0000000E-98B2-4B44-8136-1215081CB255}"/>
            </c:ext>
          </c:extLst>
        </c:ser>
        <c:dLbls>
          <c:showLegendKey val="0"/>
          <c:showVal val="0"/>
          <c:showCatName val="0"/>
          <c:showSerName val="0"/>
          <c:showPercent val="0"/>
          <c:showBubbleSize val="0"/>
        </c:dLbls>
        <c:gapWidth val="100"/>
        <c:overlap val="-50"/>
        <c:axId val="274926592"/>
        <c:axId val="274950400"/>
      </c:barChart>
      <c:scatterChart>
        <c:scatterStyle val="lineMarker"/>
        <c:varyColors val="0"/>
        <c:ser>
          <c:idx val="3"/>
          <c:order val="3"/>
          <c:spPr>
            <a:ln w="9525">
              <a:solidFill>
                <a:srgbClr val="495057"/>
              </a:solidFill>
            </a:ln>
          </c:spPr>
          <c:marker>
            <c:symbol val="none"/>
          </c:marker>
          <c:xVal>
            <c:numRef>
              <c:f>'Fiscal position'!$BB$3:$BB$4</c:f>
              <c:numCache>
                <c:formatCode>General</c:formatCode>
                <c:ptCount val="2"/>
                <c:pt idx="0">
                  <c:v>1.5</c:v>
                </c:pt>
                <c:pt idx="1">
                  <c:v>1.5</c:v>
                </c:pt>
              </c:numCache>
            </c:numRef>
          </c:xVal>
          <c:yVal>
            <c:numRef>
              <c:f>'Fiscal position'!$BC$3:$BC$4</c:f>
              <c:numCache>
                <c:formatCode>General</c:formatCode>
                <c:ptCount val="2"/>
                <c:pt idx="0">
                  <c:v>0</c:v>
                </c:pt>
                <c:pt idx="1">
                  <c:v>35</c:v>
                </c:pt>
              </c:numCache>
            </c:numRef>
          </c:yVal>
          <c:smooth val="0"/>
          <c:extLst>
            <c:ext xmlns:c16="http://schemas.microsoft.com/office/drawing/2014/chart" uri="{C3380CC4-5D6E-409C-BE32-E72D297353CC}">
              <c16:uniqueId val="{00000010-98B2-4B44-8136-1215081CB255}"/>
            </c:ext>
          </c:extLst>
        </c:ser>
        <c:dLbls>
          <c:showLegendKey val="0"/>
          <c:showVal val="0"/>
          <c:showCatName val="0"/>
          <c:showSerName val="0"/>
          <c:showPercent val="0"/>
          <c:showBubbleSize val="0"/>
        </c:dLbls>
        <c:axId val="274926592"/>
        <c:axId val="274950400"/>
      </c:scatter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noMultiLvlLbl val="0"/>
      </c:catAx>
      <c:valAx>
        <c:axId val="274950400"/>
        <c:scaling>
          <c:orientation val="minMax"/>
          <c:max val="35"/>
          <c:min val="0"/>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between"/>
      </c:valAx>
      <c:spPr>
        <a:noFill/>
        <a:ln w="25400">
          <a:noFill/>
        </a:ln>
      </c:spPr>
    </c:plotArea>
    <c:legend>
      <c:legendPos val="r"/>
      <c:legendEntry>
        <c:idx val="3"/>
        <c:delete val="1"/>
      </c:legendEntry>
      <c:layout>
        <c:manualLayout>
          <c:xMode val="edge"/>
          <c:yMode val="edge"/>
          <c:x val="7.6755620479566744E-2"/>
          <c:y val="0.12880058943482725"/>
          <c:w val="0.45114784860037299"/>
          <c:h val="0.29060297992051565"/>
        </c:manualLayout>
      </c:layout>
      <c:overlay val="0"/>
      <c:txPr>
        <a:bodyPr/>
        <a:lstStyle/>
        <a:p>
          <a:pPr>
            <a:defRPr>
              <a:solidFill>
                <a:srgbClr val="495057"/>
              </a:solidFill>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cat>
            <c:strRef>
              <c:f>'Fiscal position'!$BG$3:$BG$7</c:f>
              <c:strCache>
                <c:ptCount val="5"/>
                <c:pt idx="0">
                  <c:v>Autumn budget headroom</c:v>
                </c:pt>
                <c:pt idx="1">
                  <c:v>Reduced aid spending</c:v>
                </c:pt>
                <c:pt idx="2">
                  <c:v>Increased current defence spending*</c:v>
                </c:pt>
                <c:pt idx="3">
                  <c:v>Higher market interest rates</c:v>
                </c:pt>
                <c:pt idx="4">
                  <c:v>Remaining headroom</c:v>
                </c:pt>
              </c:strCache>
            </c:strRef>
          </c:cat>
          <c:val>
            <c:numRef>
              <c:f>'Fiscal position'!$BH$3:$BH$7</c:f>
              <c:numCache>
                <c:formatCode>General</c:formatCode>
                <c:ptCount val="5"/>
                <c:pt idx="0">
                  <c:v>9.9</c:v>
                </c:pt>
                <c:pt idx="1">
                  <c:v>9.9</c:v>
                </c:pt>
                <c:pt idx="2" formatCode="0.0">
                  <c:v>12.331499070795989</c:v>
                </c:pt>
                <c:pt idx="3" formatCode="0.0">
                  <c:v>6.231499070795989</c:v>
                </c:pt>
                <c:pt idx="4" formatCode="0.0">
                  <c:v>6.231499070795989</c:v>
                </c:pt>
              </c:numCache>
            </c:numRef>
          </c:val>
          <c:extLst>
            <c:ext xmlns:c16="http://schemas.microsoft.com/office/drawing/2014/chart" uri="{C3380CC4-5D6E-409C-BE32-E72D297353CC}">
              <c16:uniqueId val="{00000000-7DB3-4035-8CE7-5F3AF0424EDE}"/>
            </c:ext>
          </c:extLst>
        </c:ser>
        <c:ser>
          <c:idx val="1"/>
          <c:order val="1"/>
          <c:spPr>
            <a:solidFill>
              <a:schemeClr val="accent2"/>
            </a:solidFill>
            <a:ln>
              <a:noFill/>
            </a:ln>
            <a:effectLst/>
          </c:spPr>
          <c:invertIfNegative val="0"/>
          <c:cat>
            <c:strRef>
              <c:f>'Fiscal position'!$BG$3:$BG$7</c:f>
              <c:strCache>
                <c:ptCount val="5"/>
                <c:pt idx="0">
                  <c:v>Autumn budget headroom</c:v>
                </c:pt>
                <c:pt idx="1">
                  <c:v>Reduced aid spending</c:v>
                </c:pt>
                <c:pt idx="2">
                  <c:v>Increased current defence spending*</c:v>
                </c:pt>
                <c:pt idx="3">
                  <c:v>Higher market interest rates</c:v>
                </c:pt>
                <c:pt idx="4">
                  <c:v>Remaining headroom</c:v>
                </c:pt>
              </c:strCache>
            </c:strRef>
          </c:cat>
          <c:val>
            <c:numRef>
              <c:f>'Fiscal position'!$BI$3:$BI$7</c:f>
              <c:numCache>
                <c:formatCode>0.0</c:formatCode>
                <c:ptCount val="5"/>
                <c:pt idx="0" formatCode="General">
                  <c:v>0</c:v>
                </c:pt>
                <c:pt idx="1">
                  <c:v>6.7945628239999998</c:v>
                </c:pt>
                <c:pt idx="2">
                  <c:v>4.3630637532040133</c:v>
                </c:pt>
                <c:pt idx="3" formatCode="General">
                  <c:v>6.1</c:v>
                </c:pt>
                <c:pt idx="4" formatCode="General">
                  <c:v>0</c:v>
                </c:pt>
              </c:numCache>
            </c:numRef>
          </c:val>
          <c:extLst>
            <c:ext xmlns:c16="http://schemas.microsoft.com/office/drawing/2014/chart" uri="{C3380CC4-5D6E-409C-BE32-E72D297353CC}">
              <c16:uniqueId val="{00000001-7DB3-4035-8CE7-5F3AF0424EDE}"/>
            </c:ext>
          </c:extLst>
        </c:ser>
        <c:dLbls>
          <c:showLegendKey val="0"/>
          <c:showVal val="0"/>
          <c:showCatName val="0"/>
          <c:showSerName val="0"/>
          <c:showPercent val="0"/>
          <c:showBubbleSize val="0"/>
        </c:dLbls>
        <c:gapWidth val="150"/>
        <c:overlap val="100"/>
        <c:axId val="1047461087"/>
        <c:axId val="1047460607"/>
      </c:barChart>
      <c:catAx>
        <c:axId val="104746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460607"/>
        <c:crosses val="autoZero"/>
        <c:auto val="1"/>
        <c:lblAlgn val="ctr"/>
        <c:lblOffset val="100"/>
        <c:noMultiLvlLbl val="0"/>
      </c:catAx>
      <c:valAx>
        <c:axId val="1047460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461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9423887608425138E-2"/>
          <c:y val="0.14760230159490814"/>
          <c:w val="0.93862686440826071"/>
          <c:h val="0.66953186007927068"/>
        </c:manualLayout>
      </c:layout>
      <c:barChart>
        <c:barDir val="col"/>
        <c:grouping val="stacked"/>
        <c:varyColors val="0"/>
        <c:ser>
          <c:idx val="1"/>
          <c:order val="1"/>
          <c:tx>
            <c:strRef>
              <c:f>'Fiscal position'!$AX$19</c:f>
              <c:strCache>
                <c:ptCount val="1"/>
                <c:pt idx="0">
                  <c:v>Net change in defence spending</c:v>
                </c:pt>
              </c:strCache>
            </c:strRef>
          </c:tx>
          <c:spPr>
            <a:solidFill>
              <a:srgbClr val="C00000"/>
            </a:solidFill>
          </c:spPr>
          <c:invertIfNegative val="0"/>
          <c:cat>
            <c:strRef>
              <c:f>'Fiscal position'!$AY$17:$BB$17</c:f>
              <c:strCache>
                <c:ptCount val="4"/>
                <c:pt idx="0">
                  <c:v>Increasing defence spending to 2.5%</c:v>
                </c:pt>
                <c:pt idx="1">
                  <c:v>Increasing defence spending to 3%</c:v>
                </c:pt>
                <c:pt idx="2">
                  <c:v>Increasing defence spending to 2.5%</c:v>
                </c:pt>
                <c:pt idx="3">
                  <c:v>Increasing defence spending to 3%</c:v>
                </c:pt>
              </c:strCache>
            </c:strRef>
          </c:cat>
          <c:val>
            <c:numRef>
              <c:f>'Fiscal position'!$AY$19:$BB$19</c:f>
              <c:numCache>
                <c:formatCode>0.0</c:formatCode>
                <c:ptCount val="4"/>
                <c:pt idx="0">
                  <c:v>3.5054371760000009</c:v>
                </c:pt>
                <c:pt idx="1">
                  <c:v>13.805437176000002</c:v>
                </c:pt>
                <c:pt idx="2">
                  <c:v>10.205437176</c:v>
                </c:pt>
                <c:pt idx="3">
                  <c:v>27.205437176</c:v>
                </c:pt>
              </c:numCache>
            </c:numRef>
          </c:val>
          <c:extLst>
            <c:ext xmlns:c16="http://schemas.microsoft.com/office/drawing/2014/chart" uri="{C3380CC4-5D6E-409C-BE32-E72D297353CC}">
              <c16:uniqueId val="{00000001-146E-4599-A5E6-C1D44CA8266C}"/>
            </c:ext>
          </c:extLst>
        </c:ser>
        <c:dLbls>
          <c:showLegendKey val="0"/>
          <c:showVal val="0"/>
          <c:showCatName val="0"/>
          <c:showSerName val="0"/>
          <c:showPercent val="0"/>
          <c:showBubbleSize val="0"/>
        </c:dLbls>
        <c:gapWidth val="50"/>
        <c:overlap val="100"/>
        <c:axId val="275934208"/>
        <c:axId val="275936000"/>
      </c:barChart>
      <c:lineChart>
        <c:grouping val="standard"/>
        <c:varyColors val="0"/>
        <c:ser>
          <c:idx val="0"/>
          <c:order val="0"/>
          <c:tx>
            <c:strRef>
              <c:f>'Fiscal position'!$AX$18</c:f>
              <c:strCache>
                <c:ptCount val="1"/>
                <c:pt idx="0">
                  <c:v>Headroom against fiscal rule</c:v>
                </c:pt>
              </c:strCache>
            </c:strRef>
          </c:tx>
          <c:spPr>
            <a:ln>
              <a:solidFill>
                <a:srgbClr val="003469"/>
              </a:solidFill>
            </a:ln>
          </c:spPr>
          <c:marker>
            <c:symbol val="none"/>
          </c:marker>
          <c:dPt>
            <c:idx val="2"/>
            <c:bubble3D val="0"/>
            <c:spPr>
              <a:ln>
                <a:noFill/>
              </a:ln>
            </c:spPr>
            <c:extLst>
              <c:ext xmlns:c16="http://schemas.microsoft.com/office/drawing/2014/chart" uri="{C3380CC4-5D6E-409C-BE32-E72D297353CC}">
                <c16:uniqueId val="{0000000C-E694-491E-AF2E-FDBDC4121BEB}"/>
              </c:ext>
            </c:extLst>
          </c:dPt>
          <c:cat>
            <c:strRef>
              <c:f>'Fiscal position'!$AY$17:$BB$17</c:f>
              <c:strCache>
                <c:ptCount val="4"/>
                <c:pt idx="0">
                  <c:v>Increasing defence spending to 2.5%</c:v>
                </c:pt>
                <c:pt idx="1">
                  <c:v>Increasing defence spending to 3%</c:v>
                </c:pt>
                <c:pt idx="2">
                  <c:v>Increasing defence spending to 2.5%</c:v>
                </c:pt>
                <c:pt idx="3">
                  <c:v>Increasing defence spending to 3%</c:v>
                </c:pt>
              </c:strCache>
            </c:strRef>
          </c:cat>
          <c:val>
            <c:numRef>
              <c:f>'Fiscal position'!$AY$18:$BB$18</c:f>
              <c:numCache>
                <c:formatCode>General</c:formatCode>
                <c:ptCount val="4"/>
                <c:pt idx="0">
                  <c:v>9.9</c:v>
                </c:pt>
                <c:pt idx="1">
                  <c:v>9.9</c:v>
                </c:pt>
                <c:pt idx="2">
                  <c:v>15.7</c:v>
                </c:pt>
                <c:pt idx="3">
                  <c:v>15.7</c:v>
                </c:pt>
              </c:numCache>
            </c:numRef>
          </c:val>
          <c:smooth val="0"/>
          <c:extLst>
            <c:ext xmlns:c16="http://schemas.microsoft.com/office/drawing/2014/chart" uri="{C3380CC4-5D6E-409C-BE32-E72D297353CC}">
              <c16:uniqueId val="{00000000-146E-4599-A5E6-C1D44CA8266C}"/>
            </c:ext>
          </c:extLst>
        </c:ser>
        <c:dLbls>
          <c:showLegendKey val="0"/>
          <c:showVal val="0"/>
          <c:showCatName val="0"/>
          <c:showSerName val="0"/>
          <c:showPercent val="0"/>
          <c:showBubbleSize val="0"/>
        </c:dLbls>
        <c:marker val="1"/>
        <c:smooth val="0"/>
        <c:axId val="275934208"/>
        <c:axId val="275936000"/>
      </c:lineChart>
      <c:scatterChart>
        <c:scatterStyle val="lineMarker"/>
        <c:varyColors val="0"/>
        <c:ser>
          <c:idx val="2"/>
          <c:order val="2"/>
          <c:spPr>
            <a:ln w="9525">
              <a:solidFill>
                <a:srgbClr val="495057"/>
              </a:solidFill>
            </a:ln>
          </c:spPr>
          <c:marker>
            <c:symbol val="none"/>
          </c:marker>
          <c:xVal>
            <c:numRef>
              <c:f>'Fiscal position'!$AY$21:$AY$22</c:f>
              <c:numCache>
                <c:formatCode>General</c:formatCode>
                <c:ptCount val="2"/>
                <c:pt idx="0">
                  <c:v>2.5</c:v>
                </c:pt>
                <c:pt idx="1">
                  <c:v>2.5</c:v>
                </c:pt>
              </c:numCache>
            </c:numRef>
          </c:xVal>
          <c:yVal>
            <c:numRef>
              <c:f>'Fiscal position'!$AZ$21:$AZ$22</c:f>
              <c:numCache>
                <c:formatCode>General</c:formatCode>
                <c:ptCount val="2"/>
                <c:pt idx="0">
                  <c:v>0</c:v>
                </c:pt>
                <c:pt idx="1">
                  <c:v>35</c:v>
                </c:pt>
              </c:numCache>
            </c:numRef>
          </c:yVal>
          <c:smooth val="0"/>
          <c:extLst>
            <c:ext xmlns:c16="http://schemas.microsoft.com/office/drawing/2014/chart" uri="{C3380CC4-5D6E-409C-BE32-E72D297353CC}">
              <c16:uniqueId val="{0000000D-E694-491E-AF2E-FDBDC4121BEB}"/>
            </c:ext>
          </c:extLst>
        </c:ser>
        <c:dLbls>
          <c:showLegendKey val="0"/>
          <c:showVal val="0"/>
          <c:showCatName val="0"/>
          <c:showSerName val="0"/>
          <c:showPercent val="0"/>
          <c:showBubbleSize val="0"/>
        </c:dLbls>
        <c:axId val="275934208"/>
        <c:axId val="275936000"/>
      </c:scatterChart>
      <c:catAx>
        <c:axId val="275934208"/>
        <c:scaling>
          <c:orientation val="minMax"/>
        </c:scaling>
        <c:delete val="0"/>
        <c:axPos val="b"/>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noMultiLvlLbl val="0"/>
      </c:catAx>
      <c:valAx>
        <c:axId val="275936000"/>
        <c:scaling>
          <c:orientation val="minMax"/>
          <c:max val="35"/>
          <c:min val="0"/>
        </c:scaling>
        <c:delete val="0"/>
        <c:axPos val="l"/>
        <c:numFmt formatCode="General"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valAx>
      <c:spPr>
        <a:noFill/>
      </c:spPr>
    </c:plotArea>
    <c:legend>
      <c:legendPos val="r"/>
      <c:layout>
        <c:manualLayout>
          <c:xMode val="edge"/>
          <c:yMode val="edge"/>
          <c:x val="6.7063692830251417E-2"/>
          <c:y val="0.31085959245642503"/>
          <c:w val="0.44996235199106899"/>
          <c:h val="0.10741407796615215"/>
        </c:manualLayout>
      </c:layout>
      <c:overlay val="0"/>
      <c:txPr>
        <a:bodyPr/>
        <a:lstStyle/>
        <a:p>
          <a:pPr>
            <a:defRPr sz="1800">
              <a:solidFill>
                <a:srgbClr val="495057"/>
              </a:solidFill>
              <a:latin typeface="Segoe UI" panose="020B0502040204020203" pitchFamily="34" charset="0"/>
              <a:cs typeface="Segoe UI" panose="020B0502040204020203" pitchFamily="34" charset="0"/>
            </a:defRPr>
          </a:pPr>
          <a:endParaRPr lang="en-US"/>
        </a:p>
      </c:txPr>
    </c:legend>
    <c:plotVisOnly val="1"/>
    <c:dispBlanksAs val="gap"/>
    <c:showDLblsOverMax val="0"/>
  </c:chart>
  <c:spPr>
    <a:solidFill>
      <a:srgbClr val="FFFFFF"/>
    </a:solidFill>
    <a:ln>
      <a:noFill/>
    </a:ln>
  </c:spPr>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Sheet7!$AG$4:$AG$183</c:f>
              <c:numCache>
                <c:formatCode>0.0</c:formatCode>
                <c:ptCount val="180"/>
                <c:pt idx="0">
                  <c:v>75.717348533847144</c:v>
                </c:pt>
                <c:pt idx="1">
                  <c:v>76.762046496813099</c:v>
                </c:pt>
                <c:pt idx="2">
                  <c:v>76.900930724582807</c:v>
                </c:pt>
                <c:pt idx="3">
                  <c:v>76.604101914311599</c:v>
                </c:pt>
                <c:pt idx="4">
                  <c:v>76.853954445938726</c:v>
                </c:pt>
                <c:pt idx="5">
                  <c:v>77.428919479555205</c:v>
                </c:pt>
                <c:pt idx="6">
                  <c:v>78.224137792962793</c:v>
                </c:pt>
                <c:pt idx="7">
                  <c:v>78.090481404229436</c:v>
                </c:pt>
                <c:pt idx="8">
                  <c:v>78.216005270961276</c:v>
                </c:pt>
                <c:pt idx="9">
                  <c:v>78.745715093515059</c:v>
                </c:pt>
                <c:pt idx="10">
                  <c:v>79.195474345727575</c:v>
                </c:pt>
                <c:pt idx="11">
                  <c:v>80.790935550351222</c:v>
                </c:pt>
                <c:pt idx="12">
                  <c:v>81.180736775513054</c:v>
                </c:pt>
                <c:pt idx="13">
                  <c:v>81.785153611276584</c:v>
                </c:pt>
                <c:pt idx="14">
                  <c:v>81.613178350506757</c:v>
                </c:pt>
                <c:pt idx="15">
                  <c:v>81.300417876808908</c:v>
                </c:pt>
                <c:pt idx="16">
                  <c:v>82.337334779349192</c:v>
                </c:pt>
                <c:pt idx="17">
                  <c:v>82.360170657530588</c:v>
                </c:pt>
                <c:pt idx="18">
                  <c:v>81.943569822058066</c:v>
                </c:pt>
                <c:pt idx="19">
                  <c:v>81.705430427570306</c:v>
                </c:pt>
                <c:pt idx="20">
                  <c:v>82.666530489904815</c:v>
                </c:pt>
                <c:pt idx="21">
                  <c:v>81.136739435059468</c:v>
                </c:pt>
                <c:pt idx="22">
                  <c:v>81.504726311097201</c:v>
                </c:pt>
                <c:pt idx="23">
                  <c:v>80.919753085435133</c:v>
                </c:pt>
                <c:pt idx="24">
                  <c:v>78.993321747877403</c:v>
                </c:pt>
                <c:pt idx="25">
                  <c:v>77.579563154803907</c:v>
                </c:pt>
                <c:pt idx="26">
                  <c:v>76.20812524933423</c:v>
                </c:pt>
                <c:pt idx="27">
                  <c:v>74.926521395616888</c:v>
                </c:pt>
                <c:pt idx="28">
                  <c:v>74.782315604443838</c:v>
                </c:pt>
                <c:pt idx="29">
                  <c:v>73.049936411712977</c:v>
                </c:pt>
                <c:pt idx="30">
                  <c:v>73.864363627062332</c:v>
                </c:pt>
                <c:pt idx="31">
                  <c:v>72.609847127249679</c:v>
                </c:pt>
                <c:pt idx="32">
                  <c:v>72.836201334938053</c:v>
                </c:pt>
                <c:pt idx="33">
                  <c:v>73.159772023494781</c:v>
                </c:pt>
                <c:pt idx="34">
                  <c:v>73.36386233020103</c:v>
                </c:pt>
                <c:pt idx="35">
                  <c:v>73.555732797411409</c:v>
                </c:pt>
                <c:pt idx="36">
                  <c:v>74.42604199360224</c:v>
                </c:pt>
                <c:pt idx="37">
                  <c:v>74.763273215314712</c:v>
                </c:pt>
                <c:pt idx="38">
                  <c:v>75.327526331041852</c:v>
                </c:pt>
                <c:pt idx="39">
                  <c:v>75.958194104024741</c:v>
                </c:pt>
                <c:pt idx="40">
                  <c:v>75.726488732992337</c:v>
                </c:pt>
                <c:pt idx="41">
                  <c:v>75.166336860630153</c:v>
                </c:pt>
                <c:pt idx="42">
                  <c:v>75.398528141615643</c:v>
                </c:pt>
                <c:pt idx="43">
                  <c:v>75.654894793712586</c:v>
                </c:pt>
                <c:pt idx="44">
                  <c:v>76.358708218646456</c:v>
                </c:pt>
                <c:pt idx="45">
                  <c:v>76.087372396418999</c:v>
                </c:pt>
                <c:pt idx="46">
                  <c:v>75.494506913080002</c:v>
                </c:pt>
                <c:pt idx="47">
                  <c:v>75.901140595949201</c:v>
                </c:pt>
                <c:pt idx="48">
                  <c:v>76.502512666609604</c:v>
                </c:pt>
                <c:pt idx="49">
                  <c:v>76.377088557111392</c:v>
                </c:pt>
                <c:pt idx="50">
                  <c:v>76.392115416985959</c:v>
                </c:pt>
                <c:pt idx="51">
                  <c:v>77.397636431628285</c:v>
                </c:pt>
                <c:pt idx="52">
                  <c:v>77.791694954790046</c:v>
                </c:pt>
                <c:pt idx="53">
                  <c:v>78.244746993197168</c:v>
                </c:pt>
                <c:pt idx="54">
                  <c:v>78.662078086644996</c:v>
                </c:pt>
                <c:pt idx="55">
                  <c:v>78.384725372875081</c:v>
                </c:pt>
                <c:pt idx="56">
                  <c:v>77.520754828626991</c:v>
                </c:pt>
                <c:pt idx="57">
                  <c:v>76.861221663210017</c:v>
                </c:pt>
                <c:pt idx="58">
                  <c:v>76.34670062758461</c:v>
                </c:pt>
                <c:pt idx="59">
                  <c:v>75.105041080432017</c:v>
                </c:pt>
                <c:pt idx="60">
                  <c:v>73.9654881414165</c:v>
                </c:pt>
                <c:pt idx="61">
                  <c:v>73.300067690071316</c:v>
                </c:pt>
                <c:pt idx="62">
                  <c:v>72.595707475335985</c:v>
                </c:pt>
                <c:pt idx="63">
                  <c:v>73.084805634654828</c:v>
                </c:pt>
                <c:pt idx="64">
                  <c:v>71.655757620070332</c:v>
                </c:pt>
                <c:pt idx="65">
                  <c:v>71.688526966536045</c:v>
                </c:pt>
                <c:pt idx="66">
                  <c:v>71.280047420513398</c:v>
                </c:pt>
                <c:pt idx="67">
                  <c:v>71.916121566466501</c:v>
                </c:pt>
                <c:pt idx="68">
                  <c:v>72.060685861045201</c:v>
                </c:pt>
                <c:pt idx="69">
                  <c:v>73.456275316954901</c:v>
                </c:pt>
                <c:pt idx="70">
                  <c:v>74.502194636863663</c:v>
                </c:pt>
                <c:pt idx="71">
                  <c:v>75.586829393160301</c:v>
                </c:pt>
                <c:pt idx="72">
                  <c:v>76.818693591834801</c:v>
                </c:pt>
                <c:pt idx="73">
                  <c:v>77.989299985719796</c:v>
                </c:pt>
                <c:pt idx="74">
                  <c:v>78.277143191543075</c:v>
                </c:pt>
                <c:pt idx="75">
                  <c:v>78.498339676869705</c:v>
                </c:pt>
                <c:pt idx="76">
                  <c:v>79.665272095601495</c:v>
                </c:pt>
                <c:pt idx="77">
                  <c:v>79.4508498807363</c:v>
                </c:pt>
                <c:pt idx="78">
                  <c:v>79.154239143724141</c:v>
                </c:pt>
                <c:pt idx="79">
                  <c:v>79.205113860292869</c:v>
                </c:pt>
                <c:pt idx="80">
                  <c:v>79.080474397476451</c:v>
                </c:pt>
                <c:pt idx="81">
                  <c:v>78.076185788133529</c:v>
                </c:pt>
                <c:pt idx="82">
                  <c:v>79.373173793583206</c:v>
                </c:pt>
                <c:pt idx="83">
                  <c:v>81.232799709656561</c:v>
                </c:pt>
                <c:pt idx="84">
                  <c:v>81.621570521083314</c:v>
                </c:pt>
                <c:pt idx="85">
                  <c:v>83.285599185700931</c:v>
                </c:pt>
                <c:pt idx="86">
                  <c:v>85.120203970711344</c:v>
                </c:pt>
                <c:pt idx="87">
                  <c:v>86.707016149247806</c:v>
                </c:pt>
                <c:pt idx="88">
                  <c:v>87.589054318089794</c:v>
                </c:pt>
                <c:pt idx="89">
                  <c:v>88.546796064907241</c:v>
                </c:pt>
                <c:pt idx="90">
                  <c:v>88.316977237056378</c:v>
                </c:pt>
                <c:pt idx="91">
                  <c:v>89.030886606346996</c:v>
                </c:pt>
                <c:pt idx="92">
                  <c:v>90.120668327825172</c:v>
                </c:pt>
                <c:pt idx="93">
                  <c:v>91.250383959078789</c:v>
                </c:pt>
                <c:pt idx="94">
                  <c:v>92.376479965595649</c:v>
                </c:pt>
                <c:pt idx="95">
                  <c:v>93.769800467839261</c:v>
                </c:pt>
                <c:pt idx="96">
                  <c:v>92.929414921138644</c:v>
                </c:pt>
                <c:pt idx="97">
                  <c:v>92.690737601511856</c:v>
                </c:pt>
                <c:pt idx="98">
                  <c:v>92.049464520035968</c:v>
                </c:pt>
                <c:pt idx="99">
                  <c:v>90.882273323150855</c:v>
                </c:pt>
                <c:pt idx="100">
                  <c:v>89.389570232609401</c:v>
                </c:pt>
                <c:pt idx="101">
                  <c:v>91.147703425148975</c:v>
                </c:pt>
                <c:pt idx="102">
                  <c:v>90.926711722051152</c:v>
                </c:pt>
                <c:pt idx="103">
                  <c:v>91.721976315823568</c:v>
                </c:pt>
                <c:pt idx="104">
                  <c:v>92.018590795820799</c:v>
                </c:pt>
                <c:pt idx="105">
                  <c:v>92.137509055807655</c:v>
                </c:pt>
                <c:pt idx="106">
                  <c:v>90.940355174527056</c:v>
                </c:pt>
                <c:pt idx="107">
                  <c:v>91.868719120385194</c:v>
                </c:pt>
                <c:pt idx="108">
                  <c:v>93.983278299913479</c:v>
                </c:pt>
                <c:pt idx="109">
                  <c:v>96.233409413099452</c:v>
                </c:pt>
                <c:pt idx="110">
                  <c:v>97.477891388004807</c:v>
                </c:pt>
                <c:pt idx="111">
                  <c:v>98.605923685719915</c:v>
                </c:pt>
                <c:pt idx="112">
                  <c:v>99.546138997423398</c:v>
                </c:pt>
                <c:pt idx="113">
                  <c:v>100.26838797301198</c:v>
                </c:pt>
                <c:pt idx="114">
                  <c:v>100.08873739682164</c:v>
                </c:pt>
                <c:pt idx="115">
                  <c:v>100.15497214067065</c:v>
                </c:pt>
                <c:pt idx="116">
                  <c:v>101.11893077845076</c:v>
                </c:pt>
                <c:pt idx="117">
                  <c:v>101.55451060980636</c:v>
                </c:pt>
                <c:pt idx="118">
                  <c:v>104.1496782105786</c:v>
                </c:pt>
                <c:pt idx="119">
                  <c:v>106.81814110649901</c:v>
                </c:pt>
                <c:pt idx="120">
                  <c:v>108.29619368069625</c:v>
                </c:pt>
                <c:pt idx="121">
                  <c:v>108.77058491968089</c:v>
                </c:pt>
                <c:pt idx="122">
                  <c:v>94.978107091310264</c:v>
                </c:pt>
                <c:pt idx="123">
                  <c:v>75.969624875041873</c:v>
                </c:pt>
                <c:pt idx="124">
                  <c:v>80.977051918738979</c:v>
                </c:pt>
                <c:pt idx="125">
                  <c:v>95.186937323840382</c:v>
                </c:pt>
                <c:pt idx="126">
                  <c:v>95.696566375820126</c:v>
                </c:pt>
                <c:pt idx="127">
                  <c:v>98.597357556649968</c:v>
                </c:pt>
                <c:pt idx="128">
                  <c:v>109.74771282186727</c:v>
                </c:pt>
                <c:pt idx="129">
                  <c:v>105.01840744661548</c:v>
                </c:pt>
                <c:pt idx="130">
                  <c:v>104.244256133714</c:v>
                </c:pt>
                <c:pt idx="131">
                  <c:v>104.76199396162657</c:v>
                </c:pt>
                <c:pt idx="132">
                  <c:v>104.6280460084659</c:v>
                </c:pt>
                <c:pt idx="133">
                  <c:v>104.77507006910649</c:v>
                </c:pt>
                <c:pt idx="134">
                  <c:v>107.94952794967193</c:v>
                </c:pt>
                <c:pt idx="135">
                  <c:v>107.75041231901291</c:v>
                </c:pt>
                <c:pt idx="136">
                  <c:v>107.71713297823032</c:v>
                </c:pt>
                <c:pt idx="137">
                  <c:v>107.79450477366693</c:v>
                </c:pt>
                <c:pt idx="138">
                  <c:v>106.33225145362069</c:v>
                </c:pt>
                <c:pt idx="139">
                  <c:v>106.84048225815192</c:v>
                </c:pt>
                <c:pt idx="140">
                  <c:v>107.40939306779183</c:v>
                </c:pt>
                <c:pt idx="141">
                  <c:v>108.9657294177896</c:v>
                </c:pt>
                <c:pt idx="142">
                  <c:v>108.76360836200877</c:v>
                </c:pt>
                <c:pt idx="143">
                  <c:v>110.93082885533288</c:v>
                </c:pt>
                <c:pt idx="144">
                  <c:v>112.88362286971562</c:v>
                </c:pt>
                <c:pt idx="145">
                  <c:v>114.10674239205042</c:v>
                </c:pt>
                <c:pt idx="146">
                  <c:v>114.42029128442306</c:v>
                </c:pt>
                <c:pt idx="147">
                  <c:v>113.97726873361978</c:v>
                </c:pt>
                <c:pt idx="148">
                  <c:v>113.52592162940061</c:v>
                </c:pt>
                <c:pt idx="149">
                  <c:v>112.48923947494248</c:v>
                </c:pt>
                <c:pt idx="150">
                  <c:v>112.70941235115492</c:v>
                </c:pt>
                <c:pt idx="151">
                  <c:v>113.22361892467744</c:v>
                </c:pt>
                <c:pt idx="152">
                  <c:v>112.56790183914636</c:v>
                </c:pt>
                <c:pt idx="153">
                  <c:v>112.08588670208144</c:v>
                </c:pt>
                <c:pt idx="154">
                  <c:v>112.93485509102135</c:v>
                </c:pt>
                <c:pt idx="155">
                  <c:v>113.79069589222901</c:v>
                </c:pt>
                <c:pt idx="156">
                  <c:v>115.53235674113134</c:v>
                </c:pt>
                <c:pt idx="157">
                  <c:v>117.29414041594116</c:v>
                </c:pt>
                <c:pt idx="158">
                  <c:v>118.38524458252434</c:v>
                </c:pt>
                <c:pt idx="159">
                  <c:v>119.78571741520001</c:v>
                </c:pt>
                <c:pt idx="160">
                  <c:v>120.88415961671302</c:v>
                </c:pt>
                <c:pt idx="161">
                  <c:v>121.9928270522152</c:v>
                </c:pt>
                <c:pt idx="162">
                  <c:v>122.0188812298901</c:v>
                </c:pt>
                <c:pt idx="163">
                  <c:v>122.71346294284545</c:v>
                </c:pt>
                <c:pt idx="164">
                  <c:v>123.28943981769865</c:v>
                </c:pt>
                <c:pt idx="165">
                  <c:v>124.18228488731751</c:v>
                </c:pt>
                <c:pt idx="166">
                  <c:v>126.04048571095296</c:v>
                </c:pt>
                <c:pt idx="167">
                  <c:v>127.93365265876929</c:v>
                </c:pt>
                <c:pt idx="168">
                  <c:v>129.15796698121503</c:v>
                </c:pt>
                <c:pt idx="169">
                  <c:v>129.94491639553368</c:v>
                </c:pt>
                <c:pt idx="170">
                  <c:v>130.37291433602047</c:v>
                </c:pt>
                <c:pt idx="171">
                  <c:v>130.72188972342096</c:v>
                </c:pt>
                <c:pt idx="172">
                  <c:v>130.67154335452835</c:v>
                </c:pt>
                <c:pt idx="173">
                  <c:v>130.5939176129277</c:v>
                </c:pt>
                <c:pt idx="174">
                  <c:v>129.75262914416669</c:v>
                </c:pt>
                <c:pt idx="175">
                  <c:v>129.48620170567895</c:v>
                </c:pt>
                <c:pt idx="176">
                  <c:v>128.09524282748603</c:v>
                </c:pt>
                <c:pt idx="177">
                  <c:v>127.31290885178427</c:v>
                </c:pt>
                <c:pt idx="178">
                  <c:v>126.58637083887369</c:v>
                </c:pt>
                <c:pt idx="179">
                  <c:v>125.55491393083777</c:v>
                </c:pt>
              </c:numCache>
            </c:numRef>
          </c:val>
          <c:smooth val="0"/>
          <c:extLst>
            <c:ext xmlns:c16="http://schemas.microsoft.com/office/drawing/2014/chart" uri="{C3380CC4-5D6E-409C-BE32-E72D297353CC}">
              <c16:uniqueId val="{00000000-6427-4A41-8700-BDE84478D403}"/>
            </c:ext>
          </c:extLst>
        </c:ser>
        <c:ser>
          <c:idx val="1"/>
          <c:order val="1"/>
          <c:spPr>
            <a:ln w="28575" cap="rnd">
              <a:solidFill>
                <a:schemeClr val="accent2"/>
              </a:solidFill>
              <a:round/>
            </a:ln>
            <a:effectLst/>
          </c:spPr>
          <c:marker>
            <c:symbol val="none"/>
          </c:marker>
          <c:val>
            <c:numRef>
              <c:f>Sheet7!$AH$4:$AH$183</c:f>
              <c:numCache>
                <c:formatCode>0.0</c:formatCode>
                <c:ptCount val="180"/>
                <c:pt idx="0">
                  <c:v>81.827480395499492</c:v>
                </c:pt>
                <c:pt idx="1">
                  <c:v>83.157176951926346</c:v>
                </c:pt>
                <c:pt idx="2">
                  <c:v>83.770883054892607</c:v>
                </c:pt>
                <c:pt idx="3">
                  <c:v>83.464030003409476</c:v>
                </c:pt>
                <c:pt idx="4">
                  <c:v>84.077736106375738</c:v>
                </c:pt>
                <c:pt idx="5">
                  <c:v>84.077736106375738</c:v>
                </c:pt>
                <c:pt idx="6">
                  <c:v>84.180020456870096</c:v>
                </c:pt>
                <c:pt idx="7">
                  <c:v>84.282304807364483</c:v>
                </c:pt>
                <c:pt idx="8">
                  <c:v>84.486873508353227</c:v>
                </c:pt>
                <c:pt idx="9">
                  <c:v>84.793726559836344</c:v>
                </c:pt>
                <c:pt idx="10">
                  <c:v>84.589157858847599</c:v>
                </c:pt>
                <c:pt idx="11">
                  <c:v>83.873167405386965</c:v>
                </c:pt>
                <c:pt idx="12">
                  <c:v>84.282304807364483</c:v>
                </c:pt>
                <c:pt idx="13">
                  <c:v>84.691442209341972</c:v>
                </c:pt>
                <c:pt idx="14">
                  <c:v>84.896010910330716</c:v>
                </c:pt>
                <c:pt idx="15">
                  <c:v>84.077736106375738</c:v>
                </c:pt>
                <c:pt idx="16">
                  <c:v>84.998295260825088</c:v>
                </c:pt>
                <c:pt idx="17">
                  <c:v>84.998295260825088</c:v>
                </c:pt>
                <c:pt idx="18">
                  <c:v>85.100579611319475</c:v>
                </c:pt>
                <c:pt idx="19">
                  <c:v>84.896010910330716</c:v>
                </c:pt>
                <c:pt idx="20">
                  <c:v>84.998295260825088</c:v>
                </c:pt>
                <c:pt idx="21">
                  <c:v>84.282304807364483</c:v>
                </c:pt>
                <c:pt idx="22">
                  <c:v>85.305148312308219</c:v>
                </c:pt>
                <c:pt idx="23">
                  <c:v>86.021138765768839</c:v>
                </c:pt>
                <c:pt idx="24">
                  <c:v>86.430276167746328</c:v>
                </c:pt>
                <c:pt idx="25">
                  <c:v>85.61200136379135</c:v>
                </c:pt>
                <c:pt idx="26">
                  <c:v>86.021138765768839</c:v>
                </c:pt>
                <c:pt idx="27">
                  <c:v>85.407432662802591</c:v>
                </c:pt>
                <c:pt idx="28">
                  <c:v>86.737129219229459</c:v>
                </c:pt>
                <c:pt idx="29">
                  <c:v>85.61200136379135</c:v>
                </c:pt>
                <c:pt idx="30">
                  <c:v>86.737129219229459</c:v>
                </c:pt>
                <c:pt idx="31">
                  <c:v>87.248550971701334</c:v>
                </c:pt>
                <c:pt idx="32">
                  <c:v>86.32799181725197</c:v>
                </c:pt>
                <c:pt idx="33">
                  <c:v>86.634844868735087</c:v>
                </c:pt>
                <c:pt idx="34">
                  <c:v>86.941697920218203</c:v>
                </c:pt>
                <c:pt idx="35">
                  <c:v>86.532560518240714</c:v>
                </c:pt>
                <c:pt idx="36">
                  <c:v>86.32799181725197</c:v>
                </c:pt>
                <c:pt idx="37">
                  <c:v>87.146266621206962</c:v>
                </c:pt>
                <c:pt idx="38">
                  <c:v>87.248550971701334</c:v>
                </c:pt>
                <c:pt idx="39">
                  <c:v>87.248550971701334</c:v>
                </c:pt>
                <c:pt idx="40">
                  <c:v>87.657688373678837</c:v>
                </c:pt>
                <c:pt idx="41">
                  <c:v>87.759972724173196</c:v>
                </c:pt>
                <c:pt idx="42">
                  <c:v>87.96454142516194</c:v>
                </c:pt>
                <c:pt idx="43">
                  <c:v>88.271394476645071</c:v>
                </c:pt>
                <c:pt idx="44">
                  <c:v>88.271394476645071</c:v>
                </c:pt>
                <c:pt idx="45">
                  <c:v>88.782816229116946</c:v>
                </c:pt>
                <c:pt idx="46">
                  <c:v>88.782816229116946</c:v>
                </c:pt>
                <c:pt idx="47">
                  <c:v>88.475963177633815</c:v>
                </c:pt>
                <c:pt idx="48">
                  <c:v>88.987384930105691</c:v>
                </c:pt>
                <c:pt idx="49">
                  <c:v>89.498806682577566</c:v>
                </c:pt>
                <c:pt idx="50">
                  <c:v>90.010228435049427</c:v>
                </c:pt>
                <c:pt idx="51">
                  <c:v>90.112512785543814</c:v>
                </c:pt>
                <c:pt idx="52">
                  <c:v>90.317081486532558</c:v>
                </c:pt>
                <c:pt idx="53">
                  <c:v>90.623934538015689</c:v>
                </c:pt>
                <c:pt idx="54">
                  <c:v>91.13535629048755</c:v>
                </c:pt>
                <c:pt idx="55">
                  <c:v>91.033071939993178</c:v>
                </c:pt>
                <c:pt idx="56">
                  <c:v>91.237640640981937</c:v>
                </c:pt>
                <c:pt idx="57">
                  <c:v>91.646778042959426</c:v>
                </c:pt>
                <c:pt idx="58">
                  <c:v>91.749062393453812</c:v>
                </c:pt>
                <c:pt idx="59">
                  <c:v>91.749062393453812</c:v>
                </c:pt>
                <c:pt idx="60">
                  <c:v>91.646778042959426</c:v>
                </c:pt>
                <c:pt idx="61">
                  <c:v>91.953631094442557</c:v>
                </c:pt>
                <c:pt idx="62">
                  <c:v>91.953631094442557</c:v>
                </c:pt>
                <c:pt idx="63">
                  <c:v>92.465052846914432</c:v>
                </c:pt>
                <c:pt idx="64">
                  <c:v>92.362768496420045</c:v>
                </c:pt>
                <c:pt idx="65">
                  <c:v>92.260484145925687</c:v>
                </c:pt>
                <c:pt idx="66">
                  <c:v>92.56733719740879</c:v>
                </c:pt>
                <c:pt idx="67">
                  <c:v>92.56733719740879</c:v>
                </c:pt>
                <c:pt idx="68">
                  <c:v>92.669621547903176</c:v>
                </c:pt>
                <c:pt idx="69">
                  <c:v>93.078758949880665</c:v>
                </c:pt>
                <c:pt idx="70">
                  <c:v>92.874190248891921</c:v>
                </c:pt>
                <c:pt idx="71">
                  <c:v>93.181043300375038</c:v>
                </c:pt>
                <c:pt idx="72">
                  <c:v>93.283327650869424</c:v>
                </c:pt>
                <c:pt idx="73">
                  <c:v>93.487896351858168</c:v>
                </c:pt>
                <c:pt idx="74">
                  <c:v>93.692465052846913</c:v>
                </c:pt>
                <c:pt idx="75">
                  <c:v>94.203886805318788</c:v>
                </c:pt>
                <c:pt idx="76">
                  <c:v>93.999318104330044</c:v>
                </c:pt>
                <c:pt idx="77">
                  <c:v>94.203886805318788</c:v>
                </c:pt>
                <c:pt idx="78">
                  <c:v>94.306171155813161</c:v>
                </c:pt>
                <c:pt idx="79">
                  <c:v>94.510739856801919</c:v>
                </c:pt>
                <c:pt idx="80">
                  <c:v>95.022161609273795</c:v>
                </c:pt>
                <c:pt idx="81">
                  <c:v>94.817592908285036</c:v>
                </c:pt>
                <c:pt idx="82">
                  <c:v>95.226730310262525</c:v>
                </c:pt>
                <c:pt idx="83">
                  <c:v>95.840436413228787</c:v>
                </c:pt>
                <c:pt idx="84">
                  <c:v>96.045005114217531</c:v>
                </c:pt>
                <c:pt idx="85">
                  <c:v>96.147289464711903</c:v>
                </c:pt>
                <c:pt idx="86">
                  <c:v>96.249573815206276</c:v>
                </c:pt>
                <c:pt idx="87">
                  <c:v>96.556426866689407</c:v>
                </c:pt>
                <c:pt idx="88">
                  <c:v>96.760995567678137</c:v>
                </c:pt>
                <c:pt idx="89">
                  <c:v>96.760995567678137</c:v>
                </c:pt>
                <c:pt idx="90">
                  <c:v>96.965564268666895</c:v>
                </c:pt>
                <c:pt idx="91">
                  <c:v>97.17013296965564</c:v>
                </c:pt>
                <c:pt idx="92">
                  <c:v>97.579270371633143</c:v>
                </c:pt>
                <c:pt idx="93">
                  <c:v>97.579270371633143</c:v>
                </c:pt>
                <c:pt idx="94">
                  <c:v>97.783839072621888</c:v>
                </c:pt>
                <c:pt idx="95">
                  <c:v>98.090692124105018</c:v>
                </c:pt>
                <c:pt idx="96">
                  <c:v>97.88612342311626</c:v>
                </c:pt>
                <c:pt idx="97">
                  <c:v>97.988407773610632</c:v>
                </c:pt>
                <c:pt idx="98">
                  <c:v>97.88612342311626</c:v>
                </c:pt>
                <c:pt idx="99">
                  <c:v>97.88612342311626</c:v>
                </c:pt>
                <c:pt idx="100">
                  <c:v>98.090692124105018</c:v>
                </c:pt>
                <c:pt idx="101">
                  <c:v>98.397545175588135</c:v>
                </c:pt>
                <c:pt idx="102">
                  <c:v>98.192976474599391</c:v>
                </c:pt>
                <c:pt idx="103">
                  <c:v>98.499829526082507</c:v>
                </c:pt>
                <c:pt idx="104">
                  <c:v>98.704398227071252</c:v>
                </c:pt>
                <c:pt idx="105">
                  <c:v>98.602113876576894</c:v>
                </c:pt>
                <c:pt idx="106">
                  <c:v>98.704398227071252</c:v>
                </c:pt>
                <c:pt idx="107">
                  <c:v>98.397545175588135</c:v>
                </c:pt>
                <c:pt idx="108">
                  <c:v>98.908966928060011</c:v>
                </c:pt>
                <c:pt idx="109">
                  <c:v>99.522673031026258</c:v>
                </c:pt>
                <c:pt idx="110">
                  <c:v>99.522673031026258</c:v>
                </c:pt>
                <c:pt idx="111">
                  <c:v>99.215819979543127</c:v>
                </c:pt>
                <c:pt idx="112">
                  <c:v>99.62495738152063</c:v>
                </c:pt>
                <c:pt idx="113">
                  <c:v>100.13637913399252</c:v>
                </c:pt>
                <c:pt idx="114">
                  <c:v>100.44323218547562</c:v>
                </c:pt>
                <c:pt idx="115">
                  <c:v>100.23866348448686</c:v>
                </c:pt>
                <c:pt idx="116">
                  <c:v>100.75008523695874</c:v>
                </c:pt>
                <c:pt idx="117">
                  <c:v>100.54551653596999</c:v>
                </c:pt>
                <c:pt idx="118">
                  <c:v>100.34094783498124</c:v>
                </c:pt>
                <c:pt idx="119">
                  <c:v>100.75008523695874</c:v>
                </c:pt>
                <c:pt idx="120">
                  <c:v>100.85236958745311</c:v>
                </c:pt>
                <c:pt idx="121">
                  <c:v>100.34094783498124</c:v>
                </c:pt>
                <c:pt idx="122">
                  <c:v>93.078758949880665</c:v>
                </c:pt>
                <c:pt idx="123">
                  <c:v>74.872144561882038</c:v>
                </c:pt>
                <c:pt idx="124">
                  <c:v>76.40640981929765</c:v>
                </c:pt>
                <c:pt idx="125">
                  <c:v>83.566314353903863</c:v>
                </c:pt>
                <c:pt idx="126">
                  <c:v>89.089669280600063</c:v>
                </c:pt>
                <c:pt idx="127">
                  <c:v>92.055915444936929</c:v>
                </c:pt>
                <c:pt idx="128">
                  <c:v>93.385612001363796</c:v>
                </c:pt>
                <c:pt idx="129">
                  <c:v>93.794749403341299</c:v>
                </c:pt>
                <c:pt idx="130">
                  <c:v>91.749062393453812</c:v>
                </c:pt>
                <c:pt idx="131">
                  <c:v>93.181043300375038</c:v>
                </c:pt>
                <c:pt idx="132">
                  <c:v>90.112512785543814</c:v>
                </c:pt>
                <c:pt idx="133">
                  <c:v>91.442209341970681</c:v>
                </c:pt>
                <c:pt idx="134">
                  <c:v>94.101602454824416</c:v>
                </c:pt>
                <c:pt idx="135">
                  <c:v>97.272417320150012</c:v>
                </c:pt>
                <c:pt idx="136">
                  <c:v>98.704398227071252</c:v>
                </c:pt>
                <c:pt idx="137">
                  <c:v>99.522673031026258</c:v>
                </c:pt>
                <c:pt idx="138">
                  <c:v>99.215819979543127</c:v>
                </c:pt>
                <c:pt idx="139">
                  <c:v>100.13637913399252</c:v>
                </c:pt>
                <c:pt idx="140">
                  <c:v>100.75008523695874</c:v>
                </c:pt>
                <c:pt idx="141">
                  <c:v>101.05693828844187</c:v>
                </c:pt>
                <c:pt idx="142">
                  <c:v>101.56836004091375</c:v>
                </c:pt>
                <c:pt idx="143">
                  <c:v>101.46607569041936</c:v>
                </c:pt>
                <c:pt idx="144">
                  <c:v>101.67064439140812</c:v>
                </c:pt>
                <c:pt idx="145">
                  <c:v>102.28435049437437</c:v>
                </c:pt>
                <c:pt idx="146">
                  <c:v>102.18206614387999</c:v>
                </c:pt>
                <c:pt idx="147">
                  <c:v>102.18206614387999</c:v>
                </c:pt>
                <c:pt idx="148">
                  <c:v>102.79577224684624</c:v>
                </c:pt>
                <c:pt idx="149">
                  <c:v>101.77292874190249</c:v>
                </c:pt>
                <c:pt idx="150">
                  <c:v>102.38663484486874</c:v>
                </c:pt>
                <c:pt idx="151">
                  <c:v>102.48891919536311</c:v>
                </c:pt>
                <c:pt idx="152">
                  <c:v>101.87521309239686</c:v>
                </c:pt>
                <c:pt idx="153">
                  <c:v>102.79577224684624</c:v>
                </c:pt>
                <c:pt idx="154">
                  <c:v>102.79577224684624</c:v>
                </c:pt>
                <c:pt idx="155">
                  <c:v>102.38663484486874</c:v>
                </c:pt>
                <c:pt idx="156">
                  <c:v>102.5912035458575</c:v>
                </c:pt>
                <c:pt idx="157">
                  <c:v>103.00034094783499</c:v>
                </c:pt>
                <c:pt idx="158">
                  <c:v>102.69348789635187</c:v>
                </c:pt>
                <c:pt idx="159">
                  <c:v>102.79577224684624</c:v>
                </c:pt>
                <c:pt idx="160">
                  <c:v>102.38663484486874</c:v>
                </c:pt>
                <c:pt idx="161">
                  <c:v>103.10262529832937</c:v>
                </c:pt>
                <c:pt idx="162">
                  <c:v>102.69348789635187</c:v>
                </c:pt>
                <c:pt idx="163">
                  <c:v>102.69348789635187</c:v>
                </c:pt>
                <c:pt idx="164">
                  <c:v>102.5912035458575</c:v>
                </c:pt>
                <c:pt idx="165">
                  <c:v>102.18206614387999</c:v>
                </c:pt>
                <c:pt idx="166">
                  <c:v>102.48891919536311</c:v>
                </c:pt>
                <c:pt idx="167">
                  <c:v>102.38663484486874</c:v>
                </c:pt>
                <c:pt idx="168">
                  <c:v>102.79577224684624</c:v>
                </c:pt>
                <c:pt idx="169">
                  <c:v>103.00034094783499</c:v>
                </c:pt>
                <c:pt idx="170">
                  <c:v>103.61404705080122</c:v>
                </c:pt>
                <c:pt idx="171">
                  <c:v>103.40947834981247</c:v>
                </c:pt>
                <c:pt idx="172">
                  <c:v>103.71633140129562</c:v>
                </c:pt>
                <c:pt idx="173">
                  <c:v>103.61404705080122</c:v>
                </c:pt>
                <c:pt idx="174">
                  <c:v>103.51176270030686</c:v>
                </c:pt>
                <c:pt idx="175">
                  <c:v>103.61404705080122</c:v>
                </c:pt>
                <c:pt idx="176">
                  <c:v>103.61404705080122</c:v>
                </c:pt>
                <c:pt idx="177">
                  <c:v>103.40947834981247</c:v>
                </c:pt>
                <c:pt idx="178">
                  <c:v>103.51176270030686</c:v>
                </c:pt>
                <c:pt idx="179">
                  <c:v>103.92090010228434</c:v>
                </c:pt>
              </c:numCache>
            </c:numRef>
          </c:val>
          <c:smooth val="0"/>
          <c:extLst>
            <c:ext xmlns:c16="http://schemas.microsoft.com/office/drawing/2014/chart" uri="{C3380CC4-5D6E-409C-BE32-E72D297353CC}">
              <c16:uniqueId val="{00000001-6427-4A41-8700-BDE84478D403}"/>
            </c:ext>
          </c:extLst>
        </c:ser>
        <c:dLbls>
          <c:showLegendKey val="0"/>
          <c:showVal val="0"/>
          <c:showCatName val="0"/>
          <c:showSerName val="0"/>
          <c:showPercent val="0"/>
          <c:showBubbleSize val="0"/>
        </c:dLbls>
        <c:smooth val="0"/>
        <c:axId val="96072560"/>
        <c:axId val="96071600"/>
      </c:lineChart>
      <c:catAx>
        <c:axId val="960725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71600"/>
        <c:crosses val="autoZero"/>
        <c:auto val="1"/>
        <c:lblAlgn val="ctr"/>
        <c:lblOffset val="100"/>
        <c:noMultiLvlLbl val="0"/>
      </c:catAx>
      <c:valAx>
        <c:axId val="960716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72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76370510396975"/>
          <c:w val="1"/>
          <c:h val="0.80907372400756139"/>
        </c:manualLayout>
      </c:layout>
      <c:lineChart>
        <c:grouping val="standard"/>
        <c:varyColors val="0"/>
        <c:ser>
          <c:idx val="0"/>
          <c:order val="0"/>
          <c:tx>
            <c:strRef>
              <c:f>Sheet7!$AG$3</c:f>
              <c:strCache>
                <c:ptCount val="1"/>
                <c:pt idx="0">
                  <c:v>Defence weighted output</c:v>
                </c:pt>
              </c:strCache>
            </c:strRef>
          </c:tx>
          <c:spPr>
            <a:ln w="38100">
              <a:solidFill>
                <a:srgbClr val="BD1B21"/>
              </a:solidFill>
            </a:ln>
          </c:spPr>
          <c:marker>
            <c:symbol val="none"/>
          </c:marker>
          <c:cat>
            <c:numRef>
              <c:f>Sheet7!$R$4:$R$183</c:f>
              <c:numCache>
                <c:formatCode>m/d/yyyy</c:formatCode>
                <c:ptCount val="180"/>
                <c:pt idx="0">
                  <c:v>40179</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pt idx="125">
                  <c:v>43983</c:v>
                </c:pt>
                <c:pt idx="126">
                  <c:v>44013</c:v>
                </c:pt>
                <c:pt idx="127">
                  <c:v>44044</c:v>
                </c:pt>
                <c:pt idx="128">
                  <c:v>44075</c:v>
                </c:pt>
                <c:pt idx="129">
                  <c:v>44105</c:v>
                </c:pt>
                <c:pt idx="130">
                  <c:v>44136</c:v>
                </c:pt>
                <c:pt idx="131">
                  <c:v>44166</c:v>
                </c:pt>
                <c:pt idx="132">
                  <c:v>44197</c:v>
                </c:pt>
                <c:pt idx="133">
                  <c:v>44228</c:v>
                </c:pt>
                <c:pt idx="134">
                  <c:v>44256</c:v>
                </c:pt>
                <c:pt idx="135">
                  <c:v>44287</c:v>
                </c:pt>
                <c:pt idx="136">
                  <c:v>44317</c:v>
                </c:pt>
                <c:pt idx="137">
                  <c:v>44348</c:v>
                </c:pt>
                <c:pt idx="138">
                  <c:v>44378</c:v>
                </c:pt>
                <c:pt idx="139">
                  <c:v>44409</c:v>
                </c:pt>
                <c:pt idx="140">
                  <c:v>44440</c:v>
                </c:pt>
                <c:pt idx="141">
                  <c:v>44470</c:v>
                </c:pt>
                <c:pt idx="142">
                  <c:v>44501</c:v>
                </c:pt>
                <c:pt idx="143">
                  <c:v>44531</c:v>
                </c:pt>
                <c:pt idx="144">
                  <c:v>44562</c:v>
                </c:pt>
                <c:pt idx="145">
                  <c:v>44593</c:v>
                </c:pt>
                <c:pt idx="146">
                  <c:v>44621</c:v>
                </c:pt>
                <c:pt idx="147">
                  <c:v>44652</c:v>
                </c:pt>
                <c:pt idx="148">
                  <c:v>44682</c:v>
                </c:pt>
                <c:pt idx="149">
                  <c:v>44713</c:v>
                </c:pt>
                <c:pt idx="150">
                  <c:v>44743</c:v>
                </c:pt>
                <c:pt idx="151">
                  <c:v>44774</c:v>
                </c:pt>
                <c:pt idx="152">
                  <c:v>44805</c:v>
                </c:pt>
                <c:pt idx="153">
                  <c:v>44835</c:v>
                </c:pt>
                <c:pt idx="154">
                  <c:v>44866</c:v>
                </c:pt>
                <c:pt idx="155">
                  <c:v>44896</c:v>
                </c:pt>
                <c:pt idx="156">
                  <c:v>44927</c:v>
                </c:pt>
                <c:pt idx="157">
                  <c:v>44958</c:v>
                </c:pt>
                <c:pt idx="158">
                  <c:v>44986</c:v>
                </c:pt>
                <c:pt idx="159">
                  <c:v>45017</c:v>
                </c:pt>
                <c:pt idx="160">
                  <c:v>45047</c:v>
                </c:pt>
                <c:pt idx="161">
                  <c:v>45078</c:v>
                </c:pt>
                <c:pt idx="162">
                  <c:v>45108</c:v>
                </c:pt>
                <c:pt idx="163">
                  <c:v>45139</c:v>
                </c:pt>
                <c:pt idx="164">
                  <c:v>45170</c:v>
                </c:pt>
                <c:pt idx="165">
                  <c:v>45200</c:v>
                </c:pt>
                <c:pt idx="166">
                  <c:v>45231</c:v>
                </c:pt>
                <c:pt idx="167">
                  <c:v>45261</c:v>
                </c:pt>
                <c:pt idx="168">
                  <c:v>45292</c:v>
                </c:pt>
                <c:pt idx="169">
                  <c:v>45323</c:v>
                </c:pt>
                <c:pt idx="170">
                  <c:v>45352</c:v>
                </c:pt>
                <c:pt idx="171">
                  <c:v>45383</c:v>
                </c:pt>
                <c:pt idx="172">
                  <c:v>45413</c:v>
                </c:pt>
                <c:pt idx="173">
                  <c:v>45444</c:v>
                </c:pt>
                <c:pt idx="174">
                  <c:v>45474</c:v>
                </c:pt>
                <c:pt idx="175">
                  <c:v>45505</c:v>
                </c:pt>
                <c:pt idx="176">
                  <c:v>45536</c:v>
                </c:pt>
                <c:pt idx="177">
                  <c:v>45566</c:v>
                </c:pt>
                <c:pt idx="178">
                  <c:v>45597</c:v>
                </c:pt>
                <c:pt idx="179">
                  <c:v>45627</c:v>
                </c:pt>
              </c:numCache>
            </c:numRef>
          </c:cat>
          <c:val>
            <c:numRef>
              <c:f>Sheet7!$AG$4:$AG$183</c:f>
              <c:numCache>
                <c:formatCode>0.0</c:formatCode>
                <c:ptCount val="180"/>
                <c:pt idx="0">
                  <c:v>75.717348533847144</c:v>
                </c:pt>
                <c:pt idx="1">
                  <c:v>76.762046496813099</c:v>
                </c:pt>
                <c:pt idx="2">
                  <c:v>76.900930724582807</c:v>
                </c:pt>
                <c:pt idx="3">
                  <c:v>76.604101914311599</c:v>
                </c:pt>
                <c:pt idx="4">
                  <c:v>76.853954445938726</c:v>
                </c:pt>
                <c:pt idx="5">
                  <c:v>77.428919479555205</c:v>
                </c:pt>
                <c:pt idx="6">
                  <c:v>78.224137792962793</c:v>
                </c:pt>
                <c:pt idx="7">
                  <c:v>78.090481404229436</c:v>
                </c:pt>
                <c:pt idx="8">
                  <c:v>78.216005270961276</c:v>
                </c:pt>
                <c:pt idx="9">
                  <c:v>78.745715093515059</c:v>
                </c:pt>
                <c:pt idx="10">
                  <c:v>79.195474345727575</c:v>
                </c:pt>
                <c:pt idx="11">
                  <c:v>80.790935550351222</c:v>
                </c:pt>
                <c:pt idx="12">
                  <c:v>81.180736775513054</c:v>
                </c:pt>
                <c:pt idx="13">
                  <c:v>81.785153611276584</c:v>
                </c:pt>
                <c:pt idx="14">
                  <c:v>81.613178350506757</c:v>
                </c:pt>
                <c:pt idx="15">
                  <c:v>81.300417876808908</c:v>
                </c:pt>
                <c:pt idx="16">
                  <c:v>82.337334779349192</c:v>
                </c:pt>
                <c:pt idx="17">
                  <c:v>82.360170657530588</c:v>
                </c:pt>
                <c:pt idx="18">
                  <c:v>81.943569822058066</c:v>
                </c:pt>
                <c:pt idx="19">
                  <c:v>81.705430427570306</c:v>
                </c:pt>
                <c:pt idx="20">
                  <c:v>82.666530489904815</c:v>
                </c:pt>
                <c:pt idx="21">
                  <c:v>81.136739435059468</c:v>
                </c:pt>
                <c:pt idx="22">
                  <c:v>81.504726311097201</c:v>
                </c:pt>
                <c:pt idx="23">
                  <c:v>80.919753085435133</c:v>
                </c:pt>
                <c:pt idx="24">
                  <c:v>78.993321747877403</c:v>
                </c:pt>
                <c:pt idx="25">
                  <c:v>77.579563154803907</c:v>
                </c:pt>
                <c:pt idx="26">
                  <c:v>76.20812524933423</c:v>
                </c:pt>
                <c:pt idx="27">
                  <c:v>74.926521395616888</c:v>
                </c:pt>
                <c:pt idx="28">
                  <c:v>74.782315604443838</c:v>
                </c:pt>
                <c:pt idx="29">
                  <c:v>73.049936411712977</c:v>
                </c:pt>
                <c:pt idx="30">
                  <c:v>73.864363627062332</c:v>
                </c:pt>
                <c:pt idx="31">
                  <c:v>72.609847127249679</c:v>
                </c:pt>
                <c:pt idx="32">
                  <c:v>72.836201334938053</c:v>
                </c:pt>
                <c:pt idx="33">
                  <c:v>73.159772023494781</c:v>
                </c:pt>
                <c:pt idx="34">
                  <c:v>73.36386233020103</c:v>
                </c:pt>
                <c:pt idx="35">
                  <c:v>73.555732797411409</c:v>
                </c:pt>
                <c:pt idx="36">
                  <c:v>74.42604199360224</c:v>
                </c:pt>
                <c:pt idx="37">
                  <c:v>74.763273215314712</c:v>
                </c:pt>
                <c:pt idx="38">
                  <c:v>75.327526331041852</c:v>
                </c:pt>
                <c:pt idx="39">
                  <c:v>75.958194104024741</c:v>
                </c:pt>
                <c:pt idx="40">
                  <c:v>75.726488732992337</c:v>
                </c:pt>
                <c:pt idx="41">
                  <c:v>75.166336860630153</c:v>
                </c:pt>
                <c:pt idx="42">
                  <c:v>75.398528141615643</c:v>
                </c:pt>
                <c:pt idx="43">
                  <c:v>75.654894793712586</c:v>
                </c:pt>
                <c:pt idx="44">
                  <c:v>76.358708218646456</c:v>
                </c:pt>
                <c:pt idx="45">
                  <c:v>76.087372396418999</c:v>
                </c:pt>
                <c:pt idx="46">
                  <c:v>75.494506913080002</c:v>
                </c:pt>
                <c:pt idx="47">
                  <c:v>75.901140595949201</c:v>
                </c:pt>
                <c:pt idx="48">
                  <c:v>76.502512666609604</c:v>
                </c:pt>
                <c:pt idx="49">
                  <c:v>76.377088557111392</c:v>
                </c:pt>
                <c:pt idx="50">
                  <c:v>76.392115416985959</c:v>
                </c:pt>
                <c:pt idx="51">
                  <c:v>77.397636431628285</c:v>
                </c:pt>
                <c:pt idx="52">
                  <c:v>77.791694954790046</c:v>
                </c:pt>
                <c:pt idx="53">
                  <c:v>78.244746993197168</c:v>
                </c:pt>
                <c:pt idx="54">
                  <c:v>78.662078086644996</c:v>
                </c:pt>
                <c:pt idx="55">
                  <c:v>78.384725372875081</c:v>
                </c:pt>
                <c:pt idx="56">
                  <c:v>77.520754828626991</c:v>
                </c:pt>
                <c:pt idx="57">
                  <c:v>76.861221663210017</c:v>
                </c:pt>
                <c:pt idx="58">
                  <c:v>76.34670062758461</c:v>
                </c:pt>
                <c:pt idx="59">
                  <c:v>75.105041080432017</c:v>
                </c:pt>
                <c:pt idx="60">
                  <c:v>73.9654881414165</c:v>
                </c:pt>
                <c:pt idx="61">
                  <c:v>73.300067690071316</c:v>
                </c:pt>
                <c:pt idx="62">
                  <c:v>72.595707475335985</c:v>
                </c:pt>
                <c:pt idx="63">
                  <c:v>73.084805634654828</c:v>
                </c:pt>
                <c:pt idx="64">
                  <c:v>71.655757620070332</c:v>
                </c:pt>
                <c:pt idx="65">
                  <c:v>71.688526966536045</c:v>
                </c:pt>
                <c:pt idx="66">
                  <c:v>71.280047420513398</c:v>
                </c:pt>
                <c:pt idx="67">
                  <c:v>71.916121566466501</c:v>
                </c:pt>
                <c:pt idx="68">
                  <c:v>72.060685861045201</c:v>
                </c:pt>
                <c:pt idx="69">
                  <c:v>73.456275316954901</c:v>
                </c:pt>
                <c:pt idx="70">
                  <c:v>74.502194636863663</c:v>
                </c:pt>
                <c:pt idx="71">
                  <c:v>75.586829393160301</c:v>
                </c:pt>
                <c:pt idx="72">
                  <c:v>76.818693591834801</c:v>
                </c:pt>
                <c:pt idx="73">
                  <c:v>77.989299985719796</c:v>
                </c:pt>
                <c:pt idx="74">
                  <c:v>78.277143191543075</c:v>
                </c:pt>
                <c:pt idx="75">
                  <c:v>78.498339676869705</c:v>
                </c:pt>
                <c:pt idx="76">
                  <c:v>79.665272095601495</c:v>
                </c:pt>
                <c:pt idx="77">
                  <c:v>79.4508498807363</c:v>
                </c:pt>
                <c:pt idx="78">
                  <c:v>79.154239143724141</c:v>
                </c:pt>
                <c:pt idx="79">
                  <c:v>79.205113860292869</c:v>
                </c:pt>
                <c:pt idx="80">
                  <c:v>79.080474397476451</c:v>
                </c:pt>
                <c:pt idx="81">
                  <c:v>78.076185788133529</c:v>
                </c:pt>
                <c:pt idx="82">
                  <c:v>79.373173793583206</c:v>
                </c:pt>
                <c:pt idx="83">
                  <c:v>81.232799709656561</c:v>
                </c:pt>
                <c:pt idx="84">
                  <c:v>81.621570521083314</c:v>
                </c:pt>
                <c:pt idx="85">
                  <c:v>83.285599185700931</c:v>
                </c:pt>
                <c:pt idx="86">
                  <c:v>85.120203970711344</c:v>
                </c:pt>
                <c:pt idx="87">
                  <c:v>86.707016149247806</c:v>
                </c:pt>
                <c:pt idx="88">
                  <c:v>87.589054318089794</c:v>
                </c:pt>
                <c:pt idx="89">
                  <c:v>88.546796064907241</c:v>
                </c:pt>
                <c:pt idx="90">
                  <c:v>88.316977237056378</c:v>
                </c:pt>
                <c:pt idx="91">
                  <c:v>89.030886606346996</c:v>
                </c:pt>
                <c:pt idx="92">
                  <c:v>90.120668327825172</c:v>
                </c:pt>
                <c:pt idx="93">
                  <c:v>91.250383959078789</c:v>
                </c:pt>
                <c:pt idx="94">
                  <c:v>92.376479965595649</c:v>
                </c:pt>
                <c:pt idx="95">
                  <c:v>93.769800467839261</c:v>
                </c:pt>
                <c:pt idx="96">
                  <c:v>92.929414921138644</c:v>
                </c:pt>
                <c:pt idx="97">
                  <c:v>92.690737601511856</c:v>
                </c:pt>
                <c:pt idx="98">
                  <c:v>92.049464520035968</c:v>
                </c:pt>
                <c:pt idx="99">
                  <c:v>90.882273323150855</c:v>
                </c:pt>
                <c:pt idx="100">
                  <c:v>89.389570232609401</c:v>
                </c:pt>
                <c:pt idx="101">
                  <c:v>91.147703425148975</c:v>
                </c:pt>
                <c:pt idx="102">
                  <c:v>90.926711722051152</c:v>
                </c:pt>
                <c:pt idx="103">
                  <c:v>91.721976315823568</c:v>
                </c:pt>
                <c:pt idx="104">
                  <c:v>92.018590795820799</c:v>
                </c:pt>
                <c:pt idx="105">
                  <c:v>92.137509055807655</c:v>
                </c:pt>
                <c:pt idx="106">
                  <c:v>90.940355174527056</c:v>
                </c:pt>
                <c:pt idx="107">
                  <c:v>91.868719120385194</c:v>
                </c:pt>
                <c:pt idx="108">
                  <c:v>93.983278299913479</c:v>
                </c:pt>
                <c:pt idx="109">
                  <c:v>96.233409413099452</c:v>
                </c:pt>
                <c:pt idx="110">
                  <c:v>97.477891388004807</c:v>
                </c:pt>
                <c:pt idx="111">
                  <c:v>98.605923685719915</c:v>
                </c:pt>
                <c:pt idx="112">
                  <c:v>99.546138997423398</c:v>
                </c:pt>
                <c:pt idx="113">
                  <c:v>100.26838797301198</c:v>
                </c:pt>
                <c:pt idx="114">
                  <c:v>100.08873739682164</c:v>
                </c:pt>
                <c:pt idx="115">
                  <c:v>100.15497214067065</c:v>
                </c:pt>
                <c:pt idx="116">
                  <c:v>101.11893077845076</c:v>
                </c:pt>
                <c:pt idx="117">
                  <c:v>101.55451060980636</c:v>
                </c:pt>
                <c:pt idx="118">
                  <c:v>104.1496782105786</c:v>
                </c:pt>
                <c:pt idx="119">
                  <c:v>106.81814110649901</c:v>
                </c:pt>
                <c:pt idx="120">
                  <c:v>108.29619368069625</c:v>
                </c:pt>
                <c:pt idx="121">
                  <c:v>108.77058491968089</c:v>
                </c:pt>
                <c:pt idx="122">
                  <c:v>94.978107091310264</c:v>
                </c:pt>
                <c:pt idx="123">
                  <c:v>75.969624875041873</c:v>
                </c:pt>
                <c:pt idx="124">
                  <c:v>80.977051918738979</c:v>
                </c:pt>
                <c:pt idx="125">
                  <c:v>95.186937323840382</c:v>
                </c:pt>
                <c:pt idx="126">
                  <c:v>95.696566375820126</c:v>
                </c:pt>
                <c:pt idx="127">
                  <c:v>98.597357556649968</c:v>
                </c:pt>
                <c:pt idx="128">
                  <c:v>109.74771282186727</c:v>
                </c:pt>
                <c:pt idx="129">
                  <c:v>105.01840744661548</c:v>
                </c:pt>
                <c:pt idx="130">
                  <c:v>104.244256133714</c:v>
                </c:pt>
                <c:pt idx="131">
                  <c:v>104.76199396162657</c:v>
                </c:pt>
                <c:pt idx="132">
                  <c:v>104.6280460084659</c:v>
                </c:pt>
                <c:pt idx="133">
                  <c:v>104.77507006910649</c:v>
                </c:pt>
                <c:pt idx="134">
                  <c:v>107.94952794967193</c:v>
                </c:pt>
                <c:pt idx="135">
                  <c:v>107.75041231901291</c:v>
                </c:pt>
                <c:pt idx="136">
                  <c:v>107.71713297823032</c:v>
                </c:pt>
                <c:pt idx="137">
                  <c:v>107.79450477366693</c:v>
                </c:pt>
                <c:pt idx="138">
                  <c:v>106.33225145362069</c:v>
                </c:pt>
                <c:pt idx="139">
                  <c:v>106.84048225815192</c:v>
                </c:pt>
                <c:pt idx="140">
                  <c:v>107.40939306779183</c:v>
                </c:pt>
                <c:pt idx="141">
                  <c:v>108.9657294177896</c:v>
                </c:pt>
                <c:pt idx="142">
                  <c:v>108.76360836200877</c:v>
                </c:pt>
                <c:pt idx="143">
                  <c:v>110.93082885533288</c:v>
                </c:pt>
                <c:pt idx="144">
                  <c:v>112.88362286971562</c:v>
                </c:pt>
                <c:pt idx="145">
                  <c:v>114.10674239205042</c:v>
                </c:pt>
                <c:pt idx="146">
                  <c:v>114.42029128442306</c:v>
                </c:pt>
                <c:pt idx="147">
                  <c:v>113.97726873361978</c:v>
                </c:pt>
                <c:pt idx="148">
                  <c:v>113.52592162940061</c:v>
                </c:pt>
                <c:pt idx="149">
                  <c:v>112.48923947494248</c:v>
                </c:pt>
                <c:pt idx="150">
                  <c:v>112.70941235115492</c:v>
                </c:pt>
                <c:pt idx="151">
                  <c:v>113.22361892467744</c:v>
                </c:pt>
                <c:pt idx="152">
                  <c:v>112.56790183914636</c:v>
                </c:pt>
                <c:pt idx="153">
                  <c:v>112.08588670208144</c:v>
                </c:pt>
                <c:pt idx="154">
                  <c:v>112.93485509102135</c:v>
                </c:pt>
                <c:pt idx="155">
                  <c:v>113.79069589222901</c:v>
                </c:pt>
                <c:pt idx="156">
                  <c:v>115.53235674113134</c:v>
                </c:pt>
                <c:pt idx="157">
                  <c:v>117.29414041594116</c:v>
                </c:pt>
                <c:pt idx="158">
                  <c:v>118.38524458252434</c:v>
                </c:pt>
                <c:pt idx="159">
                  <c:v>119.78571741520001</c:v>
                </c:pt>
                <c:pt idx="160">
                  <c:v>120.88415961671302</c:v>
                </c:pt>
                <c:pt idx="161">
                  <c:v>121.9928270522152</c:v>
                </c:pt>
                <c:pt idx="162">
                  <c:v>122.0188812298901</c:v>
                </c:pt>
                <c:pt idx="163">
                  <c:v>122.71346294284545</c:v>
                </c:pt>
                <c:pt idx="164">
                  <c:v>123.28943981769865</c:v>
                </c:pt>
                <c:pt idx="165">
                  <c:v>124.18228488731751</c:v>
                </c:pt>
                <c:pt idx="166">
                  <c:v>126.04048571095296</c:v>
                </c:pt>
                <c:pt idx="167">
                  <c:v>127.93365265876929</c:v>
                </c:pt>
                <c:pt idx="168">
                  <c:v>129.15796698121503</c:v>
                </c:pt>
                <c:pt idx="169">
                  <c:v>129.94491639553368</c:v>
                </c:pt>
                <c:pt idx="170">
                  <c:v>130.37291433602047</c:v>
                </c:pt>
                <c:pt idx="171">
                  <c:v>130.72188972342096</c:v>
                </c:pt>
                <c:pt idx="172">
                  <c:v>130.67154335452835</c:v>
                </c:pt>
                <c:pt idx="173">
                  <c:v>130.5939176129277</c:v>
                </c:pt>
                <c:pt idx="174">
                  <c:v>129.75262914416669</c:v>
                </c:pt>
                <c:pt idx="175">
                  <c:v>129.48620170567895</c:v>
                </c:pt>
                <c:pt idx="176">
                  <c:v>128.09524282748603</c:v>
                </c:pt>
                <c:pt idx="177">
                  <c:v>127.31290885178427</c:v>
                </c:pt>
                <c:pt idx="178">
                  <c:v>126.58637083887369</c:v>
                </c:pt>
                <c:pt idx="179">
                  <c:v>125.55491393083777</c:v>
                </c:pt>
              </c:numCache>
            </c:numRef>
          </c:val>
          <c:smooth val="0"/>
          <c:extLst>
            <c:ext xmlns:c16="http://schemas.microsoft.com/office/drawing/2014/chart" uri="{C3380CC4-5D6E-409C-BE32-E72D297353CC}">
              <c16:uniqueId val="{00000000-E850-417B-95DA-4ED900504230}"/>
            </c:ext>
          </c:extLst>
        </c:ser>
        <c:ser>
          <c:idx val="1"/>
          <c:order val="1"/>
          <c:tx>
            <c:strRef>
              <c:f>Sheet7!$AH$3</c:f>
              <c:strCache>
                <c:ptCount val="1"/>
                <c:pt idx="0">
                  <c:v>Whole economy</c:v>
                </c:pt>
              </c:strCache>
            </c:strRef>
          </c:tx>
          <c:spPr>
            <a:ln w="38100">
              <a:solidFill>
                <a:srgbClr val="003469"/>
              </a:solidFill>
            </a:ln>
          </c:spPr>
          <c:marker>
            <c:symbol val="none"/>
          </c:marker>
          <c:cat>
            <c:numRef>
              <c:f>Sheet7!$R$4:$R$183</c:f>
              <c:numCache>
                <c:formatCode>m/d/yyyy</c:formatCode>
                <c:ptCount val="180"/>
                <c:pt idx="0">
                  <c:v>40179</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pt idx="125">
                  <c:v>43983</c:v>
                </c:pt>
                <c:pt idx="126">
                  <c:v>44013</c:v>
                </c:pt>
                <c:pt idx="127">
                  <c:v>44044</c:v>
                </c:pt>
                <c:pt idx="128">
                  <c:v>44075</c:v>
                </c:pt>
                <c:pt idx="129">
                  <c:v>44105</c:v>
                </c:pt>
                <c:pt idx="130">
                  <c:v>44136</c:v>
                </c:pt>
                <c:pt idx="131">
                  <c:v>44166</c:v>
                </c:pt>
                <c:pt idx="132">
                  <c:v>44197</c:v>
                </c:pt>
                <c:pt idx="133">
                  <c:v>44228</c:v>
                </c:pt>
                <c:pt idx="134">
                  <c:v>44256</c:v>
                </c:pt>
                <c:pt idx="135">
                  <c:v>44287</c:v>
                </c:pt>
                <c:pt idx="136">
                  <c:v>44317</c:v>
                </c:pt>
                <c:pt idx="137">
                  <c:v>44348</c:v>
                </c:pt>
                <c:pt idx="138">
                  <c:v>44378</c:v>
                </c:pt>
                <c:pt idx="139">
                  <c:v>44409</c:v>
                </c:pt>
                <c:pt idx="140">
                  <c:v>44440</c:v>
                </c:pt>
                <c:pt idx="141">
                  <c:v>44470</c:v>
                </c:pt>
                <c:pt idx="142">
                  <c:v>44501</c:v>
                </c:pt>
                <c:pt idx="143">
                  <c:v>44531</c:v>
                </c:pt>
                <c:pt idx="144">
                  <c:v>44562</c:v>
                </c:pt>
                <c:pt idx="145">
                  <c:v>44593</c:v>
                </c:pt>
                <c:pt idx="146">
                  <c:v>44621</c:v>
                </c:pt>
                <c:pt idx="147">
                  <c:v>44652</c:v>
                </c:pt>
                <c:pt idx="148">
                  <c:v>44682</c:v>
                </c:pt>
                <c:pt idx="149">
                  <c:v>44713</c:v>
                </c:pt>
                <c:pt idx="150">
                  <c:v>44743</c:v>
                </c:pt>
                <c:pt idx="151">
                  <c:v>44774</c:v>
                </c:pt>
                <c:pt idx="152">
                  <c:v>44805</c:v>
                </c:pt>
                <c:pt idx="153">
                  <c:v>44835</c:v>
                </c:pt>
                <c:pt idx="154">
                  <c:v>44866</c:v>
                </c:pt>
                <c:pt idx="155">
                  <c:v>44896</c:v>
                </c:pt>
                <c:pt idx="156">
                  <c:v>44927</c:v>
                </c:pt>
                <c:pt idx="157">
                  <c:v>44958</c:v>
                </c:pt>
                <c:pt idx="158">
                  <c:v>44986</c:v>
                </c:pt>
                <c:pt idx="159">
                  <c:v>45017</c:v>
                </c:pt>
                <c:pt idx="160">
                  <c:v>45047</c:v>
                </c:pt>
                <c:pt idx="161">
                  <c:v>45078</c:v>
                </c:pt>
                <c:pt idx="162">
                  <c:v>45108</c:v>
                </c:pt>
                <c:pt idx="163">
                  <c:v>45139</c:v>
                </c:pt>
                <c:pt idx="164">
                  <c:v>45170</c:v>
                </c:pt>
                <c:pt idx="165">
                  <c:v>45200</c:v>
                </c:pt>
                <c:pt idx="166">
                  <c:v>45231</c:v>
                </c:pt>
                <c:pt idx="167">
                  <c:v>45261</c:v>
                </c:pt>
                <c:pt idx="168">
                  <c:v>45292</c:v>
                </c:pt>
                <c:pt idx="169">
                  <c:v>45323</c:v>
                </c:pt>
                <c:pt idx="170">
                  <c:v>45352</c:v>
                </c:pt>
                <c:pt idx="171">
                  <c:v>45383</c:v>
                </c:pt>
                <c:pt idx="172">
                  <c:v>45413</c:v>
                </c:pt>
                <c:pt idx="173">
                  <c:v>45444</c:v>
                </c:pt>
                <c:pt idx="174">
                  <c:v>45474</c:v>
                </c:pt>
                <c:pt idx="175">
                  <c:v>45505</c:v>
                </c:pt>
                <c:pt idx="176">
                  <c:v>45536</c:v>
                </c:pt>
                <c:pt idx="177">
                  <c:v>45566</c:v>
                </c:pt>
                <c:pt idx="178">
                  <c:v>45597</c:v>
                </c:pt>
                <c:pt idx="179">
                  <c:v>45627</c:v>
                </c:pt>
              </c:numCache>
            </c:numRef>
          </c:cat>
          <c:val>
            <c:numRef>
              <c:f>Sheet7!$AH$4:$AH$183</c:f>
              <c:numCache>
                <c:formatCode>0.0</c:formatCode>
                <c:ptCount val="180"/>
                <c:pt idx="0">
                  <c:v>81.827480395499492</c:v>
                </c:pt>
                <c:pt idx="1">
                  <c:v>83.157176951926346</c:v>
                </c:pt>
                <c:pt idx="2">
                  <c:v>83.770883054892607</c:v>
                </c:pt>
                <c:pt idx="3">
                  <c:v>83.464030003409476</c:v>
                </c:pt>
                <c:pt idx="4">
                  <c:v>84.077736106375738</c:v>
                </c:pt>
                <c:pt idx="5">
                  <c:v>84.077736106375738</c:v>
                </c:pt>
                <c:pt idx="6">
                  <c:v>84.180020456870096</c:v>
                </c:pt>
                <c:pt idx="7">
                  <c:v>84.282304807364483</c:v>
                </c:pt>
                <c:pt idx="8">
                  <c:v>84.486873508353227</c:v>
                </c:pt>
                <c:pt idx="9">
                  <c:v>84.793726559836344</c:v>
                </c:pt>
                <c:pt idx="10">
                  <c:v>84.589157858847599</c:v>
                </c:pt>
                <c:pt idx="11">
                  <c:v>83.873167405386965</c:v>
                </c:pt>
                <c:pt idx="12">
                  <c:v>84.282304807364483</c:v>
                </c:pt>
                <c:pt idx="13">
                  <c:v>84.691442209341972</c:v>
                </c:pt>
                <c:pt idx="14">
                  <c:v>84.896010910330716</c:v>
                </c:pt>
                <c:pt idx="15">
                  <c:v>84.077736106375738</c:v>
                </c:pt>
                <c:pt idx="16">
                  <c:v>84.998295260825088</c:v>
                </c:pt>
                <c:pt idx="17">
                  <c:v>84.998295260825088</c:v>
                </c:pt>
                <c:pt idx="18">
                  <c:v>85.100579611319475</c:v>
                </c:pt>
                <c:pt idx="19">
                  <c:v>84.896010910330716</c:v>
                </c:pt>
                <c:pt idx="20">
                  <c:v>84.998295260825088</c:v>
                </c:pt>
                <c:pt idx="21">
                  <c:v>84.282304807364483</c:v>
                </c:pt>
                <c:pt idx="22">
                  <c:v>85.305148312308219</c:v>
                </c:pt>
                <c:pt idx="23">
                  <c:v>86.021138765768839</c:v>
                </c:pt>
                <c:pt idx="24">
                  <c:v>86.430276167746328</c:v>
                </c:pt>
                <c:pt idx="25">
                  <c:v>85.61200136379135</c:v>
                </c:pt>
                <c:pt idx="26">
                  <c:v>86.021138765768839</c:v>
                </c:pt>
                <c:pt idx="27">
                  <c:v>85.407432662802591</c:v>
                </c:pt>
                <c:pt idx="28">
                  <c:v>86.737129219229459</c:v>
                </c:pt>
                <c:pt idx="29">
                  <c:v>85.61200136379135</c:v>
                </c:pt>
                <c:pt idx="30">
                  <c:v>86.737129219229459</c:v>
                </c:pt>
                <c:pt idx="31">
                  <c:v>87.248550971701334</c:v>
                </c:pt>
                <c:pt idx="32">
                  <c:v>86.32799181725197</c:v>
                </c:pt>
                <c:pt idx="33">
                  <c:v>86.634844868735087</c:v>
                </c:pt>
                <c:pt idx="34">
                  <c:v>86.941697920218203</c:v>
                </c:pt>
                <c:pt idx="35">
                  <c:v>86.532560518240714</c:v>
                </c:pt>
                <c:pt idx="36">
                  <c:v>86.32799181725197</c:v>
                </c:pt>
                <c:pt idx="37">
                  <c:v>87.146266621206962</c:v>
                </c:pt>
                <c:pt idx="38">
                  <c:v>87.248550971701334</c:v>
                </c:pt>
                <c:pt idx="39">
                  <c:v>87.248550971701334</c:v>
                </c:pt>
                <c:pt idx="40">
                  <c:v>87.657688373678837</c:v>
                </c:pt>
                <c:pt idx="41">
                  <c:v>87.759972724173196</c:v>
                </c:pt>
                <c:pt idx="42">
                  <c:v>87.96454142516194</c:v>
                </c:pt>
                <c:pt idx="43">
                  <c:v>88.271394476645071</c:v>
                </c:pt>
                <c:pt idx="44">
                  <c:v>88.271394476645071</c:v>
                </c:pt>
                <c:pt idx="45">
                  <c:v>88.782816229116946</c:v>
                </c:pt>
                <c:pt idx="46">
                  <c:v>88.782816229116946</c:v>
                </c:pt>
                <c:pt idx="47">
                  <c:v>88.475963177633815</c:v>
                </c:pt>
                <c:pt idx="48">
                  <c:v>88.987384930105691</c:v>
                </c:pt>
                <c:pt idx="49">
                  <c:v>89.498806682577566</c:v>
                </c:pt>
                <c:pt idx="50">
                  <c:v>90.010228435049427</c:v>
                </c:pt>
                <c:pt idx="51">
                  <c:v>90.112512785543814</c:v>
                </c:pt>
                <c:pt idx="52">
                  <c:v>90.317081486532558</c:v>
                </c:pt>
                <c:pt idx="53">
                  <c:v>90.623934538015689</c:v>
                </c:pt>
                <c:pt idx="54">
                  <c:v>91.13535629048755</c:v>
                </c:pt>
                <c:pt idx="55">
                  <c:v>91.033071939993178</c:v>
                </c:pt>
                <c:pt idx="56">
                  <c:v>91.237640640981937</c:v>
                </c:pt>
                <c:pt idx="57">
                  <c:v>91.646778042959426</c:v>
                </c:pt>
                <c:pt idx="58">
                  <c:v>91.749062393453812</c:v>
                </c:pt>
                <c:pt idx="59">
                  <c:v>91.749062393453812</c:v>
                </c:pt>
                <c:pt idx="60">
                  <c:v>91.646778042959426</c:v>
                </c:pt>
                <c:pt idx="61">
                  <c:v>91.953631094442557</c:v>
                </c:pt>
                <c:pt idx="62">
                  <c:v>91.953631094442557</c:v>
                </c:pt>
                <c:pt idx="63">
                  <c:v>92.465052846914432</c:v>
                </c:pt>
                <c:pt idx="64">
                  <c:v>92.362768496420045</c:v>
                </c:pt>
                <c:pt idx="65">
                  <c:v>92.260484145925687</c:v>
                </c:pt>
                <c:pt idx="66">
                  <c:v>92.56733719740879</c:v>
                </c:pt>
                <c:pt idx="67">
                  <c:v>92.56733719740879</c:v>
                </c:pt>
                <c:pt idx="68">
                  <c:v>92.669621547903176</c:v>
                </c:pt>
                <c:pt idx="69">
                  <c:v>93.078758949880665</c:v>
                </c:pt>
                <c:pt idx="70">
                  <c:v>92.874190248891921</c:v>
                </c:pt>
                <c:pt idx="71">
                  <c:v>93.181043300375038</c:v>
                </c:pt>
                <c:pt idx="72">
                  <c:v>93.283327650869424</c:v>
                </c:pt>
                <c:pt idx="73">
                  <c:v>93.487896351858168</c:v>
                </c:pt>
                <c:pt idx="74">
                  <c:v>93.692465052846913</c:v>
                </c:pt>
                <c:pt idx="75">
                  <c:v>94.203886805318788</c:v>
                </c:pt>
                <c:pt idx="76">
                  <c:v>93.999318104330044</c:v>
                </c:pt>
                <c:pt idx="77">
                  <c:v>94.203886805318788</c:v>
                </c:pt>
                <c:pt idx="78">
                  <c:v>94.306171155813161</c:v>
                </c:pt>
                <c:pt idx="79">
                  <c:v>94.510739856801919</c:v>
                </c:pt>
                <c:pt idx="80">
                  <c:v>95.022161609273795</c:v>
                </c:pt>
                <c:pt idx="81">
                  <c:v>94.817592908285036</c:v>
                </c:pt>
                <c:pt idx="82">
                  <c:v>95.226730310262525</c:v>
                </c:pt>
                <c:pt idx="83">
                  <c:v>95.840436413228787</c:v>
                </c:pt>
                <c:pt idx="84">
                  <c:v>96.045005114217531</c:v>
                </c:pt>
                <c:pt idx="85">
                  <c:v>96.147289464711903</c:v>
                </c:pt>
                <c:pt idx="86">
                  <c:v>96.249573815206276</c:v>
                </c:pt>
                <c:pt idx="87">
                  <c:v>96.556426866689407</c:v>
                </c:pt>
                <c:pt idx="88">
                  <c:v>96.760995567678137</c:v>
                </c:pt>
                <c:pt idx="89">
                  <c:v>96.760995567678137</c:v>
                </c:pt>
                <c:pt idx="90">
                  <c:v>96.965564268666895</c:v>
                </c:pt>
                <c:pt idx="91">
                  <c:v>97.17013296965564</c:v>
                </c:pt>
                <c:pt idx="92">
                  <c:v>97.579270371633143</c:v>
                </c:pt>
                <c:pt idx="93">
                  <c:v>97.579270371633143</c:v>
                </c:pt>
                <c:pt idx="94">
                  <c:v>97.783839072621888</c:v>
                </c:pt>
                <c:pt idx="95">
                  <c:v>98.090692124105018</c:v>
                </c:pt>
                <c:pt idx="96">
                  <c:v>97.88612342311626</c:v>
                </c:pt>
                <c:pt idx="97">
                  <c:v>97.988407773610632</c:v>
                </c:pt>
                <c:pt idx="98">
                  <c:v>97.88612342311626</c:v>
                </c:pt>
                <c:pt idx="99">
                  <c:v>97.88612342311626</c:v>
                </c:pt>
                <c:pt idx="100">
                  <c:v>98.090692124105018</c:v>
                </c:pt>
                <c:pt idx="101">
                  <c:v>98.397545175588135</c:v>
                </c:pt>
                <c:pt idx="102">
                  <c:v>98.192976474599391</c:v>
                </c:pt>
                <c:pt idx="103">
                  <c:v>98.499829526082507</c:v>
                </c:pt>
                <c:pt idx="104">
                  <c:v>98.704398227071252</c:v>
                </c:pt>
                <c:pt idx="105">
                  <c:v>98.602113876576894</c:v>
                </c:pt>
                <c:pt idx="106">
                  <c:v>98.704398227071252</c:v>
                </c:pt>
                <c:pt idx="107">
                  <c:v>98.397545175588135</c:v>
                </c:pt>
                <c:pt idx="108">
                  <c:v>98.908966928060011</c:v>
                </c:pt>
                <c:pt idx="109">
                  <c:v>99.522673031026258</c:v>
                </c:pt>
                <c:pt idx="110">
                  <c:v>99.522673031026258</c:v>
                </c:pt>
                <c:pt idx="111">
                  <c:v>99.215819979543127</c:v>
                </c:pt>
                <c:pt idx="112">
                  <c:v>99.62495738152063</c:v>
                </c:pt>
                <c:pt idx="113">
                  <c:v>100.13637913399252</c:v>
                </c:pt>
                <c:pt idx="114">
                  <c:v>100.44323218547562</c:v>
                </c:pt>
                <c:pt idx="115">
                  <c:v>100.23866348448686</c:v>
                </c:pt>
                <c:pt idx="116">
                  <c:v>100.75008523695874</c:v>
                </c:pt>
                <c:pt idx="117">
                  <c:v>100.54551653596999</c:v>
                </c:pt>
                <c:pt idx="118">
                  <c:v>100.34094783498124</c:v>
                </c:pt>
                <c:pt idx="119">
                  <c:v>100.75008523695874</c:v>
                </c:pt>
                <c:pt idx="120">
                  <c:v>100.85236958745311</c:v>
                </c:pt>
                <c:pt idx="121">
                  <c:v>100.34094783498124</c:v>
                </c:pt>
                <c:pt idx="122">
                  <c:v>93.078758949880665</c:v>
                </c:pt>
                <c:pt idx="123">
                  <c:v>74.872144561882038</c:v>
                </c:pt>
                <c:pt idx="124">
                  <c:v>76.40640981929765</c:v>
                </c:pt>
                <c:pt idx="125">
                  <c:v>83.566314353903863</c:v>
                </c:pt>
                <c:pt idx="126">
                  <c:v>89.089669280600063</c:v>
                </c:pt>
                <c:pt idx="127">
                  <c:v>92.055915444936929</c:v>
                </c:pt>
                <c:pt idx="128">
                  <c:v>93.385612001363796</c:v>
                </c:pt>
                <c:pt idx="129">
                  <c:v>93.794749403341299</c:v>
                </c:pt>
                <c:pt idx="130">
                  <c:v>91.749062393453812</c:v>
                </c:pt>
                <c:pt idx="131">
                  <c:v>93.181043300375038</c:v>
                </c:pt>
                <c:pt idx="132">
                  <c:v>90.112512785543814</c:v>
                </c:pt>
                <c:pt idx="133">
                  <c:v>91.442209341970681</c:v>
                </c:pt>
                <c:pt idx="134">
                  <c:v>94.101602454824416</c:v>
                </c:pt>
                <c:pt idx="135">
                  <c:v>97.272417320150012</c:v>
                </c:pt>
                <c:pt idx="136">
                  <c:v>98.704398227071252</c:v>
                </c:pt>
                <c:pt idx="137">
                  <c:v>99.522673031026258</c:v>
                </c:pt>
                <c:pt idx="138">
                  <c:v>99.215819979543127</c:v>
                </c:pt>
                <c:pt idx="139">
                  <c:v>100.13637913399252</c:v>
                </c:pt>
                <c:pt idx="140">
                  <c:v>100.75008523695874</c:v>
                </c:pt>
                <c:pt idx="141">
                  <c:v>101.05693828844187</c:v>
                </c:pt>
                <c:pt idx="142">
                  <c:v>101.56836004091375</c:v>
                </c:pt>
                <c:pt idx="143">
                  <c:v>101.46607569041936</c:v>
                </c:pt>
                <c:pt idx="144">
                  <c:v>101.67064439140812</c:v>
                </c:pt>
                <c:pt idx="145">
                  <c:v>102.28435049437437</c:v>
                </c:pt>
                <c:pt idx="146">
                  <c:v>102.18206614387999</c:v>
                </c:pt>
                <c:pt idx="147">
                  <c:v>102.18206614387999</c:v>
                </c:pt>
                <c:pt idx="148">
                  <c:v>102.79577224684624</c:v>
                </c:pt>
                <c:pt idx="149">
                  <c:v>101.77292874190249</c:v>
                </c:pt>
                <c:pt idx="150">
                  <c:v>102.38663484486874</c:v>
                </c:pt>
                <c:pt idx="151">
                  <c:v>102.48891919536311</c:v>
                </c:pt>
                <c:pt idx="152">
                  <c:v>101.87521309239686</c:v>
                </c:pt>
                <c:pt idx="153">
                  <c:v>102.79577224684624</c:v>
                </c:pt>
                <c:pt idx="154">
                  <c:v>102.79577224684624</c:v>
                </c:pt>
                <c:pt idx="155">
                  <c:v>102.38663484486874</c:v>
                </c:pt>
                <c:pt idx="156">
                  <c:v>102.5912035458575</c:v>
                </c:pt>
                <c:pt idx="157">
                  <c:v>103.00034094783499</c:v>
                </c:pt>
                <c:pt idx="158">
                  <c:v>102.69348789635187</c:v>
                </c:pt>
                <c:pt idx="159">
                  <c:v>102.79577224684624</c:v>
                </c:pt>
                <c:pt idx="160">
                  <c:v>102.38663484486874</c:v>
                </c:pt>
                <c:pt idx="161">
                  <c:v>103.10262529832937</c:v>
                </c:pt>
                <c:pt idx="162">
                  <c:v>102.69348789635187</c:v>
                </c:pt>
                <c:pt idx="163">
                  <c:v>102.69348789635187</c:v>
                </c:pt>
                <c:pt idx="164">
                  <c:v>102.5912035458575</c:v>
                </c:pt>
                <c:pt idx="165">
                  <c:v>102.18206614387999</c:v>
                </c:pt>
                <c:pt idx="166">
                  <c:v>102.48891919536311</c:v>
                </c:pt>
                <c:pt idx="167">
                  <c:v>102.38663484486874</c:v>
                </c:pt>
                <c:pt idx="168">
                  <c:v>102.79577224684624</c:v>
                </c:pt>
                <c:pt idx="169">
                  <c:v>103.00034094783499</c:v>
                </c:pt>
                <c:pt idx="170">
                  <c:v>103.61404705080122</c:v>
                </c:pt>
                <c:pt idx="171">
                  <c:v>103.40947834981247</c:v>
                </c:pt>
                <c:pt idx="172">
                  <c:v>103.71633140129562</c:v>
                </c:pt>
                <c:pt idx="173">
                  <c:v>103.61404705080122</c:v>
                </c:pt>
                <c:pt idx="174">
                  <c:v>103.51176270030686</c:v>
                </c:pt>
                <c:pt idx="175">
                  <c:v>103.61404705080122</c:v>
                </c:pt>
                <c:pt idx="176">
                  <c:v>103.61404705080122</c:v>
                </c:pt>
                <c:pt idx="177">
                  <c:v>103.40947834981247</c:v>
                </c:pt>
                <c:pt idx="178">
                  <c:v>103.51176270030686</c:v>
                </c:pt>
                <c:pt idx="179">
                  <c:v>103.92090010228434</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24"/>
        <c:tickMarkSkip val="24"/>
        <c:noMultiLvlLbl val="0"/>
      </c:catAx>
      <c:valAx>
        <c:axId val="263608576"/>
        <c:scaling>
          <c:orientation val="minMax"/>
          <c:max val="140"/>
          <c:min val="6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r"/>
      <c:layout>
        <c:manualLayout>
          <c:xMode val="edge"/>
          <c:yMode val="edge"/>
          <c:x val="0.185330934311944"/>
          <c:y val="0.23161699598870897"/>
          <c:w val="0.42770774693887248"/>
          <c:h val="0.15626801366810281"/>
        </c:manualLayout>
      </c:layout>
      <c:overlay val="0"/>
      <c:txPr>
        <a:bodyPr/>
        <a:lstStyle/>
        <a:p>
          <a:pPr>
            <a:defRPr sz="1800">
              <a:solidFill>
                <a:srgbClr val="495057"/>
              </a:solidFill>
              <a:latin typeface="Segoe UI" panose="020B0502040204020203" pitchFamily="34" charset="0"/>
              <a:cs typeface="Segoe UI" panose="020B0502040204020203" pitchFamily="34" charset="0"/>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4CD23CE-4E0C-4B7A-9E10-1BDF79B60EBA}">
  <sheetPr/>
  <sheetViews>
    <sheetView tabSelected="1"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610CC43-3049-4804-88A4-3F366359D171}">
  <sheetPr/>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387DB4C-9045-4960-815B-71F023EA9B82}">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8C30C00-50D8-4016-B724-9C0911534A80}">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8735092-6D5C-4311-8CBF-8D3039BD0A82}">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06C2914E-60AF-CC1B-8CAD-056872E2B9D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cdr:x>
      <cdr:y>0.00809</cdr:y>
    </cdr:from>
    <cdr:to>
      <cdr:x>1</cdr:x>
      <cdr:y>0.08898</cdr:y>
    </cdr:to>
    <cdr:sp macro="" textlink="">
      <cdr:nvSpPr>
        <cdr:cNvPr id="2" name="TextBox 1">
          <a:extLst xmlns:a="http://schemas.openxmlformats.org/drawingml/2006/main">
            <a:ext uri="{FF2B5EF4-FFF2-40B4-BE49-F238E27FC236}">
              <a16:creationId xmlns:a16="http://schemas.microsoft.com/office/drawing/2014/main" id="{1948EEBE-AB5B-FDCB-067D-D8DD044D16A6}"/>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World: Defence spending across different NATO members</a:t>
          </a:r>
        </a:p>
      </cdr:txBody>
    </cdr:sp>
  </cdr:relSizeAnchor>
  <cdr:relSizeAnchor xmlns:cdr="http://schemas.openxmlformats.org/drawingml/2006/chartDrawing">
    <cdr:from>
      <cdr:x>0</cdr:x>
      <cdr:y>0.93913</cdr:y>
    </cdr:from>
    <cdr:to>
      <cdr:x>1</cdr:x>
      <cdr:y>1</cdr:y>
    </cdr:to>
    <cdr:sp macro="" textlink="">
      <cdr:nvSpPr>
        <cdr:cNvPr id="4" name="Rectangle 3">
          <a:extLst xmlns:a="http://schemas.openxmlformats.org/drawingml/2006/main">
            <a:ext uri="{FF2B5EF4-FFF2-40B4-BE49-F238E27FC236}">
              <a16:creationId xmlns:a16="http://schemas.microsoft.com/office/drawing/2014/main" id="{C5E4AA26-11D1-DB84-642C-9F2ABE5626D8}"/>
            </a:ext>
          </a:extLst>
        </cdr:cNvPr>
        <cdr:cNvSpPr/>
      </cdr:nvSpPr>
      <cdr:spPr>
        <a:xfrm xmlns:a="http://schemas.openxmlformats.org/drawingml/2006/main">
          <a:off x="50800" y="5898141"/>
          <a:ext cx="8655137"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NATO</a:t>
          </a:r>
        </a:p>
      </cdr:txBody>
    </cdr:sp>
  </cdr:relSizeAnchor>
  <cdr:relSizeAnchor xmlns:cdr="http://schemas.openxmlformats.org/drawingml/2006/chartDrawing">
    <cdr:from>
      <cdr:x>0</cdr:x>
      <cdr:y>0.07572</cdr:y>
    </cdr:from>
    <cdr:to>
      <cdr:x>1</cdr:x>
      <cdr:y>0.12683</cdr:y>
    </cdr:to>
    <cdr:sp macro="" textlink="">
      <cdr:nvSpPr>
        <cdr:cNvPr id="5" name="TextBox 4">
          <a:extLst xmlns:a="http://schemas.openxmlformats.org/drawingml/2006/main">
            <a:ext uri="{FF2B5EF4-FFF2-40B4-BE49-F238E27FC236}">
              <a16:creationId xmlns:a16="http://schemas.microsoft.com/office/drawing/2014/main" id="{21C6659F-CA10-038F-C345-C8B917CA8C2D}"/>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 real</a:t>
          </a:r>
          <a:r>
            <a:rPr lang="en-GB" sz="1800" b="0" baseline="0">
              <a:solidFill>
                <a:srgbClr val="495057"/>
              </a:solidFill>
              <a:latin typeface="Segoe UI" panose="020B0502040204020203" pitchFamily="34" charset="0"/>
              <a:cs typeface="Segoe UI" panose="020B0502040204020203" pitchFamily="34" charset="0"/>
            </a:rPr>
            <a:t> GDP</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0.03997</cdr:x>
      <cdr:y>0.5066</cdr:y>
    </cdr:from>
    <cdr:to>
      <cdr:x>0.99548</cdr:x>
      <cdr:y>0.5066</cdr:y>
    </cdr:to>
    <cdr:cxnSp macro="">
      <cdr:nvCxnSpPr>
        <cdr:cNvPr id="7" name="Straight Connector 6">
          <a:extLst xmlns:a="http://schemas.openxmlformats.org/drawingml/2006/main">
            <a:ext uri="{FF2B5EF4-FFF2-40B4-BE49-F238E27FC236}">
              <a16:creationId xmlns:a16="http://schemas.microsoft.com/office/drawing/2014/main" id="{761AB3B7-1982-0F0A-D042-E0E7ADB47A79}"/>
            </a:ext>
          </a:extLst>
        </cdr:cNvPr>
        <cdr:cNvCxnSpPr/>
      </cdr:nvCxnSpPr>
      <cdr:spPr>
        <a:xfrm xmlns:a="http://schemas.openxmlformats.org/drawingml/2006/main" flipV="1">
          <a:off x="336934" y="3411525"/>
          <a:ext cx="8054591" cy="0"/>
        </a:xfrm>
        <a:prstGeom xmlns:a="http://schemas.openxmlformats.org/drawingml/2006/main" prst="line">
          <a:avLst/>
        </a:prstGeom>
        <a:ln xmlns:a="http://schemas.openxmlformats.org/drawingml/2006/main" w="9525">
          <a:solidFill>
            <a:srgbClr val="495057"/>
          </a:solidFill>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absoluteAnchor>
    <xdr:pos x="0" y="0"/>
    <xdr:ext cx="8409214" cy="6721929"/>
    <xdr:graphicFrame macro="">
      <xdr:nvGraphicFramePr>
        <xdr:cNvPr id="2" name="Chart 1">
          <a:extLst>
            <a:ext uri="{FF2B5EF4-FFF2-40B4-BE49-F238E27FC236}">
              <a16:creationId xmlns:a16="http://schemas.microsoft.com/office/drawing/2014/main" id="{ED7D74F8-D54A-D7F8-4ED5-4CE154C177B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0.00809</cdr:y>
    </cdr:from>
    <cdr:to>
      <cdr:x>1</cdr:x>
      <cdr:y>0.08898</cdr:y>
    </cdr:to>
    <cdr:sp macro="" textlink="">
      <cdr:nvSpPr>
        <cdr:cNvPr id="2" name="TextBox 1">
          <a:extLst xmlns:a="http://schemas.openxmlformats.org/drawingml/2006/main">
            <a:ext uri="{FF2B5EF4-FFF2-40B4-BE49-F238E27FC236}">
              <a16:creationId xmlns:a16="http://schemas.microsoft.com/office/drawing/2014/main" id="{98118FDB-E1BB-AA5D-D15A-C00C81211299}"/>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Headroom against government's stability rule </a:t>
          </a:r>
        </a:p>
      </cdr:txBody>
    </cdr:sp>
  </cdr:relSizeAnchor>
  <cdr:relSizeAnchor xmlns:cdr="http://schemas.openxmlformats.org/drawingml/2006/chartDrawing">
    <cdr:from>
      <cdr:x>0</cdr:x>
      <cdr:y>0.93913</cdr:y>
    </cdr:from>
    <cdr:to>
      <cdr:x>1</cdr:x>
      <cdr:y>1</cdr:y>
    </cdr:to>
    <cdr:sp macro="" textlink="">
      <cdr:nvSpPr>
        <cdr:cNvPr id="3" name="Rectangle 2">
          <a:extLst xmlns:a="http://schemas.openxmlformats.org/drawingml/2006/main">
            <a:ext uri="{FF2B5EF4-FFF2-40B4-BE49-F238E27FC236}">
              <a16:creationId xmlns:a16="http://schemas.microsoft.com/office/drawing/2014/main" id="{28D95736-7E4D-9F6B-8AA8-6197F950551E}"/>
            </a:ext>
          </a:extLst>
        </cdr:cNvPr>
        <cdr:cNvSpPr/>
      </cdr:nvSpPr>
      <cdr:spPr>
        <a:xfrm xmlns:a="http://schemas.openxmlformats.org/drawingml/2006/main">
          <a:off x="50800" y="5898141"/>
          <a:ext cx="8655137"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Economics/OBR</a:t>
          </a:r>
        </a:p>
      </cdr:txBody>
    </cdr:sp>
  </cdr:relSizeAnchor>
  <cdr:relSizeAnchor xmlns:cdr="http://schemas.openxmlformats.org/drawingml/2006/chartDrawing">
    <cdr:from>
      <cdr:x>0</cdr:x>
      <cdr:y>0.07572</cdr:y>
    </cdr:from>
    <cdr:to>
      <cdr:x>1</cdr:x>
      <cdr:y>0.12683</cdr:y>
    </cdr:to>
    <cdr:sp macro="" textlink="">
      <cdr:nvSpPr>
        <cdr:cNvPr id="4" name="TextBox 3">
          <a:extLst xmlns:a="http://schemas.openxmlformats.org/drawingml/2006/main">
            <a:ext uri="{FF2B5EF4-FFF2-40B4-BE49-F238E27FC236}">
              <a16:creationId xmlns:a16="http://schemas.microsoft.com/office/drawing/2014/main" id="{5601C412-49FF-2592-6793-847D9BA64FC3}"/>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£bn</a:t>
          </a:r>
        </a:p>
      </cdr:txBody>
    </cdr:sp>
  </cdr:relSizeAnchor>
  <cdr:relSizeAnchor xmlns:cdr="http://schemas.openxmlformats.org/drawingml/2006/chartDrawing">
    <cdr:from>
      <cdr:x>0.28496</cdr:x>
      <cdr:y>0.12894</cdr:y>
    </cdr:from>
    <cdr:to>
      <cdr:x>0.4094</cdr:x>
      <cdr:y>0.18849</cdr:y>
    </cdr:to>
    <cdr:sp macro="" textlink="">
      <cdr:nvSpPr>
        <cdr:cNvPr id="7" name="TextBox 1">
          <a:extLst xmlns:a="http://schemas.openxmlformats.org/drawingml/2006/main">
            <a:ext uri="{FF2B5EF4-FFF2-40B4-BE49-F238E27FC236}">
              <a16:creationId xmlns:a16="http://schemas.microsoft.com/office/drawing/2014/main" id="{4F4E704C-5BB3-1C7E-4958-D6361E2D3FD5}"/>
            </a:ext>
          </a:extLst>
        </cdr:cNvPr>
        <cdr:cNvSpPr txBox="1"/>
      </cdr:nvSpPr>
      <cdr:spPr>
        <a:xfrm xmlns:a="http://schemas.openxmlformats.org/drawingml/2006/main">
          <a:off x="2396313" y="865576"/>
          <a:ext cx="1046396" cy="399726"/>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+£6.8bn</a:t>
          </a:r>
        </a:p>
      </cdr:txBody>
    </cdr:sp>
  </cdr:relSizeAnchor>
  <cdr:relSizeAnchor xmlns:cdr="http://schemas.openxmlformats.org/drawingml/2006/chartDrawing">
    <cdr:from>
      <cdr:x>0.46574</cdr:x>
      <cdr:y>0.3289</cdr:y>
    </cdr:from>
    <cdr:to>
      <cdr:x>0.59017</cdr:x>
      <cdr:y>0.38845</cdr:y>
    </cdr:to>
    <cdr:sp macro="" textlink="">
      <cdr:nvSpPr>
        <cdr:cNvPr id="8" name="TextBox 1">
          <a:extLst xmlns:a="http://schemas.openxmlformats.org/drawingml/2006/main">
            <a:ext uri="{FF2B5EF4-FFF2-40B4-BE49-F238E27FC236}">
              <a16:creationId xmlns:a16="http://schemas.microsoft.com/office/drawing/2014/main" id="{014D0BD3-85F7-75D2-8E05-FDD28DB641A6}"/>
            </a:ext>
          </a:extLst>
        </cdr:cNvPr>
        <cdr:cNvSpPr txBox="1"/>
      </cdr:nvSpPr>
      <cdr:spPr>
        <a:xfrm xmlns:a="http://schemas.openxmlformats.org/drawingml/2006/main">
          <a:off x="3916496" y="2207855"/>
          <a:ext cx="1046396" cy="399726"/>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-£4.4bn</a:t>
          </a:r>
        </a:p>
      </cdr:txBody>
    </cdr:sp>
  </cdr:relSizeAnchor>
  <cdr:relSizeAnchor xmlns:cdr="http://schemas.openxmlformats.org/drawingml/2006/chartDrawing">
    <cdr:from>
      <cdr:x>0.66064</cdr:x>
      <cdr:y>0.4971</cdr:y>
    </cdr:from>
    <cdr:to>
      <cdr:x>0.78508</cdr:x>
      <cdr:y>0.55665</cdr:y>
    </cdr:to>
    <cdr:sp macro="" textlink="">
      <cdr:nvSpPr>
        <cdr:cNvPr id="9" name="TextBox 1">
          <a:extLst xmlns:a="http://schemas.openxmlformats.org/drawingml/2006/main">
            <a:ext uri="{FF2B5EF4-FFF2-40B4-BE49-F238E27FC236}">
              <a16:creationId xmlns:a16="http://schemas.microsoft.com/office/drawing/2014/main" id="{37F19BF6-AB69-CDFB-EA6F-F9578FADABE0}"/>
            </a:ext>
          </a:extLst>
        </cdr:cNvPr>
        <cdr:cNvSpPr txBox="1"/>
      </cdr:nvSpPr>
      <cdr:spPr>
        <a:xfrm xmlns:a="http://schemas.openxmlformats.org/drawingml/2006/main">
          <a:off x="5555490" y="3336982"/>
          <a:ext cx="1046396" cy="399726"/>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-£6.1bn</a:t>
          </a:r>
        </a:p>
      </cdr:txBody>
    </cdr:sp>
  </cdr:relSizeAnchor>
  <cdr:relSizeAnchor xmlns:cdr="http://schemas.openxmlformats.org/drawingml/2006/chartDrawing">
    <cdr:from>
      <cdr:x>0.84594</cdr:x>
      <cdr:y>0.56891</cdr:y>
    </cdr:from>
    <cdr:to>
      <cdr:x>0.97038</cdr:x>
      <cdr:y>0.62845</cdr:y>
    </cdr:to>
    <cdr:sp macro="" textlink="">
      <cdr:nvSpPr>
        <cdr:cNvPr id="10" name="TextBox 1">
          <a:extLst xmlns:a="http://schemas.openxmlformats.org/drawingml/2006/main">
            <a:ext uri="{FF2B5EF4-FFF2-40B4-BE49-F238E27FC236}">
              <a16:creationId xmlns:a16="http://schemas.microsoft.com/office/drawing/2014/main" id="{98116028-E1F4-7BA3-DFFB-B69F369D6088}"/>
            </a:ext>
          </a:extLst>
        </cdr:cNvPr>
        <cdr:cNvSpPr txBox="1"/>
      </cdr:nvSpPr>
      <cdr:spPr>
        <a:xfrm xmlns:a="http://schemas.openxmlformats.org/drawingml/2006/main">
          <a:off x="7113724" y="3818986"/>
          <a:ext cx="1046395" cy="399725"/>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chemeClr val="bg1"/>
              </a:solidFill>
              <a:latin typeface="Segoe UI" panose="020B0502040204020203" pitchFamily="34" charset="0"/>
              <a:cs typeface="Segoe UI" panose="020B0502040204020203" pitchFamily="34" charset="0"/>
            </a:rPr>
            <a:t>£6.2bn</a:t>
          </a:r>
        </a:p>
      </cdr:txBody>
    </cdr:sp>
  </cdr:relSizeAnchor>
  <cdr:relSizeAnchor xmlns:cdr="http://schemas.openxmlformats.org/drawingml/2006/chartDrawing">
    <cdr:from>
      <cdr:x>0.08952</cdr:x>
      <cdr:y>0.56716</cdr:y>
    </cdr:from>
    <cdr:to>
      <cdr:x>0.21396</cdr:x>
      <cdr:y>0.62671</cdr:y>
    </cdr:to>
    <cdr:sp macro="" textlink="">
      <cdr:nvSpPr>
        <cdr:cNvPr id="11" name="TextBox 1">
          <a:extLst xmlns:a="http://schemas.openxmlformats.org/drawingml/2006/main">
            <a:ext uri="{FF2B5EF4-FFF2-40B4-BE49-F238E27FC236}">
              <a16:creationId xmlns:a16="http://schemas.microsoft.com/office/drawing/2014/main" id="{2995A4B3-136C-D32C-77A1-58D09216F0E7}"/>
            </a:ext>
          </a:extLst>
        </cdr:cNvPr>
        <cdr:cNvSpPr txBox="1"/>
      </cdr:nvSpPr>
      <cdr:spPr>
        <a:xfrm xmlns:a="http://schemas.openxmlformats.org/drawingml/2006/main">
          <a:off x="752825" y="3807291"/>
          <a:ext cx="1046396" cy="399726"/>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chemeClr val="bg1"/>
              </a:solidFill>
              <a:latin typeface="Segoe UI" panose="020B0502040204020203" pitchFamily="34" charset="0"/>
              <a:cs typeface="Segoe UI" panose="020B0502040204020203" pitchFamily="34" charset="0"/>
            </a:rPr>
            <a:t>£9.9bn</a:t>
          </a:r>
        </a:p>
      </cdr:txBody>
    </cdr:sp>
  </cdr:relSizeAnchor>
  <cdr:relSizeAnchor xmlns:cdr="http://schemas.openxmlformats.org/drawingml/2006/chartDrawing">
    <cdr:from>
      <cdr:x>0</cdr:x>
      <cdr:y>0.83054</cdr:y>
    </cdr:from>
    <cdr:to>
      <cdr:x>1</cdr:x>
      <cdr:y>0.88165</cdr:y>
    </cdr:to>
    <cdr:sp macro="" textlink="">
      <cdr:nvSpPr>
        <cdr:cNvPr id="12" name="TextBox 1">
          <a:extLst xmlns:a="http://schemas.openxmlformats.org/drawingml/2006/main">
            <a:ext uri="{FF2B5EF4-FFF2-40B4-BE49-F238E27FC236}">
              <a16:creationId xmlns:a16="http://schemas.microsoft.com/office/drawing/2014/main" id="{F511E335-F5AE-765C-8594-23FBB1A6AB5E}"/>
            </a:ext>
          </a:extLst>
        </cdr:cNvPr>
        <cdr:cNvSpPr txBox="1"/>
      </cdr:nvSpPr>
      <cdr:spPr>
        <a:xfrm xmlns:a="http://schemas.openxmlformats.org/drawingml/2006/main">
          <a:off x="0" y="5575300"/>
          <a:ext cx="8409214" cy="343101"/>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600" b="0">
              <a:solidFill>
                <a:srgbClr val="495057"/>
              </a:solidFill>
              <a:latin typeface="Segoe UI" panose="020B0502040204020203" pitchFamily="34" charset="0"/>
              <a:cs typeface="Segoe UI" panose="020B0502040204020203" pitchFamily="34" charset="0"/>
            </a:rPr>
            <a:t>*assumes</a:t>
          </a:r>
          <a:r>
            <a:rPr lang="en-GB" sz="1600" b="0" baseline="0">
              <a:solidFill>
                <a:srgbClr val="495057"/>
              </a:solidFill>
              <a:latin typeface="Segoe UI" panose="020B0502040204020203" pitchFamily="34" charset="0"/>
              <a:cs typeface="Segoe UI" panose="020B0502040204020203" pitchFamily="34" charset="0"/>
            </a:rPr>
            <a:t> additional defence spending will be split between current and investment spending in the same proportion as the 2024-25 settlement</a:t>
          </a:r>
          <a:endParaRPr lang="en-GB" sz="16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84469F0A-A5DD-4347-65AB-FF6AC95065B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cdr:x>
      <cdr:y>0.00809</cdr:y>
    </cdr:from>
    <cdr:to>
      <cdr:x>1</cdr:x>
      <cdr:y>0.08898</cdr:y>
    </cdr:to>
    <cdr:sp macro="" textlink="">
      <cdr:nvSpPr>
        <cdr:cNvPr id="2" name="TextBox 1">
          <a:extLst xmlns:a="http://schemas.openxmlformats.org/drawingml/2006/main">
            <a:ext uri="{FF2B5EF4-FFF2-40B4-BE49-F238E27FC236}">
              <a16:creationId xmlns:a16="http://schemas.microsoft.com/office/drawing/2014/main" id="{2E73C00C-9A2C-3827-6223-237DA7EA8CFE}"/>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Increase in defence spending and fiscal headroom</a:t>
          </a:r>
        </a:p>
      </cdr:txBody>
    </cdr:sp>
  </cdr:relSizeAnchor>
  <cdr:relSizeAnchor xmlns:cdr="http://schemas.openxmlformats.org/drawingml/2006/chartDrawing">
    <cdr:from>
      <cdr:x>0</cdr:x>
      <cdr:y>0.93913</cdr:y>
    </cdr:from>
    <cdr:to>
      <cdr:x>1</cdr:x>
      <cdr:y>1</cdr:y>
    </cdr:to>
    <cdr:sp macro="" textlink="">
      <cdr:nvSpPr>
        <cdr:cNvPr id="4" name="Rectangle 3">
          <a:extLst xmlns:a="http://schemas.openxmlformats.org/drawingml/2006/main">
            <a:ext uri="{FF2B5EF4-FFF2-40B4-BE49-F238E27FC236}">
              <a16:creationId xmlns:a16="http://schemas.microsoft.com/office/drawing/2014/main" id="{2DF1BEAB-40E5-C23A-5620-576B612B2AA1}"/>
            </a:ext>
          </a:extLst>
        </cdr:cNvPr>
        <cdr:cNvSpPr/>
      </cdr:nvSpPr>
      <cdr:spPr>
        <a:xfrm xmlns:a="http://schemas.openxmlformats.org/drawingml/2006/main">
          <a:off x="50800" y="5898141"/>
          <a:ext cx="8655137"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Economics/OBR</a:t>
          </a:r>
        </a:p>
      </cdr:txBody>
    </cdr:sp>
  </cdr:relSizeAnchor>
  <cdr:relSizeAnchor xmlns:cdr="http://schemas.openxmlformats.org/drawingml/2006/chartDrawing">
    <cdr:from>
      <cdr:x>0</cdr:x>
      <cdr:y>0.07572</cdr:y>
    </cdr:from>
    <cdr:to>
      <cdr:x>1</cdr:x>
      <cdr:y>0.12683</cdr:y>
    </cdr:to>
    <cdr:sp macro="" textlink="">
      <cdr:nvSpPr>
        <cdr:cNvPr id="5" name="TextBox 4">
          <a:extLst xmlns:a="http://schemas.openxmlformats.org/drawingml/2006/main">
            <a:ext uri="{FF2B5EF4-FFF2-40B4-BE49-F238E27FC236}">
              <a16:creationId xmlns:a16="http://schemas.microsoft.com/office/drawing/2014/main" id="{6E9B769A-D7EE-1F8E-4929-CCFC9129D60D}"/>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£bn</a:t>
          </a:r>
        </a:p>
      </cdr:txBody>
    </cdr:sp>
  </cdr:relSizeAnchor>
</c:userShapes>
</file>

<file path=xl/drawings/drawing7.xml><?xml version="1.0" encoding="utf-8"?>
<xdr:wsDr xmlns:xdr="http://schemas.openxmlformats.org/drawingml/2006/spreadsheetDrawing" xmlns:a="http://schemas.openxmlformats.org/drawingml/2006/main">
  <xdr:twoCellAnchor>
    <xdr:from>
      <xdr:col>45</xdr:col>
      <xdr:colOff>200025</xdr:colOff>
      <xdr:row>15</xdr:row>
      <xdr:rowOff>19056</xdr:rowOff>
    </xdr:from>
    <xdr:to>
      <xdr:col>50</xdr:col>
      <xdr:colOff>92075</xdr:colOff>
      <xdr:row>30</xdr:row>
      <xdr:rowOff>44456</xdr:rowOff>
    </xdr:to>
    <xdr:graphicFrame macro="">
      <xdr:nvGraphicFramePr>
        <xdr:cNvPr id="3" name="Chart 2">
          <a:extLst>
            <a:ext uri="{FF2B5EF4-FFF2-40B4-BE49-F238E27FC236}">
              <a16:creationId xmlns:a16="http://schemas.microsoft.com/office/drawing/2014/main" id="{D3D796D7-B1A4-7EC0-2F4B-1EE367B0B8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absoluteAnchor>
    <xdr:pos x="0" y="0"/>
    <xdr:ext cx="8420100" cy="6731000"/>
    <xdr:graphicFrame macro="">
      <xdr:nvGraphicFramePr>
        <xdr:cNvPr id="2" name="Chart 1">
          <a:extLst>
            <a:ext uri="{FF2B5EF4-FFF2-40B4-BE49-F238E27FC236}">
              <a16:creationId xmlns:a16="http://schemas.microsoft.com/office/drawing/2014/main" id="{98BC4FFE-6591-0D24-FF3C-AED178402F7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cdr:x>
      <cdr:y>0.00809</cdr:y>
    </cdr:from>
    <cdr:to>
      <cdr:x>1</cdr:x>
      <cdr:y>0.08898</cdr:y>
    </cdr:to>
    <cdr:sp macro="" textlink="">
      <cdr:nvSpPr>
        <cdr:cNvPr id="2" name="TextBox 1">
          <a:extLst xmlns:a="http://schemas.openxmlformats.org/drawingml/2006/main">
            <a:ext uri="{FF2B5EF4-FFF2-40B4-BE49-F238E27FC236}">
              <a16:creationId xmlns:a16="http://schemas.microsoft.com/office/drawing/2014/main" id="{941AE8FB-3BF6-991C-0077-1D90B9A05B18}"/>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Uplift in defence spending and room against fiscal rules </a:t>
          </a:r>
        </a:p>
      </cdr:txBody>
    </cdr:sp>
  </cdr:relSizeAnchor>
  <cdr:relSizeAnchor xmlns:cdr="http://schemas.openxmlformats.org/drawingml/2006/chartDrawing">
    <cdr:from>
      <cdr:x>0</cdr:x>
      <cdr:y>0.93913</cdr:y>
    </cdr:from>
    <cdr:to>
      <cdr:x>1</cdr:x>
      <cdr:y>1</cdr:y>
    </cdr:to>
    <cdr:sp macro="" textlink="">
      <cdr:nvSpPr>
        <cdr:cNvPr id="3" name="Rectangle 2">
          <a:extLst xmlns:a="http://schemas.openxmlformats.org/drawingml/2006/main">
            <a:ext uri="{FF2B5EF4-FFF2-40B4-BE49-F238E27FC236}">
              <a16:creationId xmlns:a16="http://schemas.microsoft.com/office/drawing/2014/main" id="{46E87D1D-7E25-1CD1-9E02-929B0BAA33E7}"/>
            </a:ext>
          </a:extLst>
        </cdr:cNvPr>
        <cdr:cNvSpPr/>
      </cdr:nvSpPr>
      <cdr:spPr>
        <a:xfrm xmlns:a="http://schemas.openxmlformats.org/drawingml/2006/main">
          <a:off x="50800" y="5898141"/>
          <a:ext cx="8655137"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Economics/OBR</a:t>
          </a:r>
        </a:p>
      </cdr:txBody>
    </cdr:sp>
  </cdr:relSizeAnchor>
  <cdr:relSizeAnchor xmlns:cdr="http://schemas.openxmlformats.org/drawingml/2006/chartDrawing">
    <cdr:from>
      <cdr:x>0</cdr:x>
      <cdr:y>0.07572</cdr:y>
    </cdr:from>
    <cdr:to>
      <cdr:x>1</cdr:x>
      <cdr:y>0.12683</cdr:y>
    </cdr:to>
    <cdr:sp macro="" textlink="">
      <cdr:nvSpPr>
        <cdr:cNvPr id="4" name="TextBox 3">
          <a:extLst xmlns:a="http://schemas.openxmlformats.org/drawingml/2006/main">
            <a:ext uri="{FF2B5EF4-FFF2-40B4-BE49-F238E27FC236}">
              <a16:creationId xmlns:a16="http://schemas.microsoft.com/office/drawing/2014/main" id="{DCC1B18C-D2D8-4609-2586-B56AA3BEED54}"/>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£bn</a:t>
          </a:r>
        </a:p>
      </cdr:txBody>
    </cdr:sp>
  </cdr:relSizeAnchor>
  <cdr:relSizeAnchor xmlns:cdr="http://schemas.openxmlformats.org/drawingml/2006/chartDrawing">
    <cdr:from>
      <cdr:x>0.07843</cdr:x>
      <cdr:y>0.60397</cdr:y>
    </cdr:from>
    <cdr:to>
      <cdr:x>0.31674</cdr:x>
      <cdr:y>0.64083</cdr:y>
    </cdr:to>
    <cdr:sp macro="" textlink="">
      <cdr:nvSpPr>
        <cdr:cNvPr id="5" name="TextBox 4">
          <a:extLst xmlns:a="http://schemas.openxmlformats.org/drawingml/2006/main">
            <a:ext uri="{FF2B5EF4-FFF2-40B4-BE49-F238E27FC236}">
              <a16:creationId xmlns:a16="http://schemas.microsoft.com/office/drawing/2014/main" id="{7107438C-585C-4462-82BE-A2B81A79F528}"/>
            </a:ext>
          </a:extLst>
        </cdr:cNvPr>
        <cdr:cNvSpPr txBox="1"/>
      </cdr:nvSpPr>
      <cdr:spPr>
        <a:xfrm xmlns:a="http://schemas.openxmlformats.org/drawingml/2006/main">
          <a:off x="990600" y="6086475"/>
          <a:ext cx="3009900" cy="3714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a:p>
      </cdr:txBody>
    </cdr:sp>
  </cdr:relSizeAnchor>
  <cdr:relSizeAnchor xmlns:cdr="http://schemas.openxmlformats.org/drawingml/2006/chartDrawing">
    <cdr:from>
      <cdr:x>0.11388</cdr:x>
      <cdr:y>0.12098</cdr:y>
    </cdr:from>
    <cdr:to>
      <cdr:x>0.44344</cdr:x>
      <cdr:y>0.19093</cdr:y>
    </cdr:to>
    <cdr:sp macro="" textlink="">
      <cdr:nvSpPr>
        <cdr:cNvPr id="6" name="TextBox 1">
          <a:extLst xmlns:a="http://schemas.openxmlformats.org/drawingml/2006/main">
            <a:ext uri="{FF2B5EF4-FFF2-40B4-BE49-F238E27FC236}">
              <a16:creationId xmlns:a16="http://schemas.microsoft.com/office/drawing/2014/main" id="{61E7F3C0-0A24-E584-1123-3F3582A87837}"/>
            </a:ext>
          </a:extLst>
        </cdr:cNvPr>
        <cdr:cNvSpPr txBox="1"/>
      </cdr:nvSpPr>
      <cdr:spPr>
        <a:xfrm xmlns:a="http://schemas.openxmlformats.org/drawingml/2006/main">
          <a:off x="958851" y="812800"/>
          <a:ext cx="2774949" cy="4699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Borrowing rule</a:t>
          </a:r>
        </a:p>
      </cdr:txBody>
    </cdr:sp>
  </cdr:relSizeAnchor>
  <cdr:relSizeAnchor xmlns:cdr="http://schemas.openxmlformats.org/drawingml/2006/chartDrawing">
    <cdr:from>
      <cdr:x>0.62016</cdr:x>
      <cdr:y>0.12035</cdr:y>
    </cdr:from>
    <cdr:to>
      <cdr:x>0.89693</cdr:x>
      <cdr:y>0.1903</cdr:y>
    </cdr:to>
    <cdr:sp macro="" textlink="">
      <cdr:nvSpPr>
        <cdr:cNvPr id="7" name="TextBox 1">
          <a:extLst xmlns:a="http://schemas.openxmlformats.org/drawingml/2006/main">
            <a:ext uri="{FF2B5EF4-FFF2-40B4-BE49-F238E27FC236}">
              <a16:creationId xmlns:a16="http://schemas.microsoft.com/office/drawing/2014/main" id="{8CFB91B2-592C-D2C9-75B9-1DDF8E4CAEFB}"/>
            </a:ext>
          </a:extLst>
        </cdr:cNvPr>
        <cdr:cNvSpPr txBox="1"/>
      </cdr:nvSpPr>
      <cdr:spPr>
        <a:xfrm xmlns:a="http://schemas.openxmlformats.org/drawingml/2006/main">
          <a:off x="5221817" y="808567"/>
          <a:ext cx="2330449" cy="4699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Debt rule</a:t>
          </a:r>
        </a:p>
      </cdr:txBody>
    </cdr:sp>
  </cdr:relSizeAnchor>
</c:userShapes>
</file>

<file path=xl/drawings/drawing10.xml><?xml version="1.0" encoding="utf-8"?>
<xdr:wsDr xmlns:xdr="http://schemas.openxmlformats.org/drawingml/2006/spreadsheetDrawing" xmlns:a="http://schemas.openxmlformats.org/drawingml/2006/main">
  <xdr:twoCellAnchor>
    <xdr:from>
      <xdr:col>17</xdr:col>
      <xdr:colOff>408610</xdr:colOff>
      <xdr:row>161</xdr:row>
      <xdr:rowOff>163444</xdr:rowOff>
    </xdr:from>
    <xdr:to>
      <xdr:col>24</xdr:col>
      <xdr:colOff>541130</xdr:colOff>
      <xdr:row>176</xdr:row>
      <xdr:rowOff>173383</xdr:rowOff>
    </xdr:to>
    <xdr:graphicFrame macro="">
      <xdr:nvGraphicFramePr>
        <xdr:cNvPr id="5" name="Chart 4">
          <a:extLst>
            <a:ext uri="{FF2B5EF4-FFF2-40B4-BE49-F238E27FC236}">
              <a16:creationId xmlns:a16="http://schemas.microsoft.com/office/drawing/2014/main" id="{FD422092-041F-3722-F176-C4AB09A67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absoluteAnchor>
    <xdr:pos x="0" y="0"/>
    <xdr:ext cx="8420100" cy="6731000"/>
    <xdr:graphicFrame macro="">
      <xdr:nvGraphicFramePr>
        <xdr:cNvPr id="2" name="Chart 1">
          <a:extLst>
            <a:ext uri="{FF2B5EF4-FFF2-40B4-BE49-F238E27FC236}">
              <a16:creationId xmlns:a16="http://schemas.microsoft.com/office/drawing/2014/main" id="{F186A692-6219-C0B7-49AB-9C032512C18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cdr:x>
      <cdr:y>0.00809</cdr:y>
    </cdr:from>
    <cdr:to>
      <cdr:x>1</cdr:x>
      <cdr:y>0.08898</cdr:y>
    </cdr:to>
    <cdr:sp macro="" textlink="">
      <cdr:nvSpPr>
        <cdr:cNvPr id="2" name="TextBox 1">
          <a:extLst xmlns:a="http://schemas.openxmlformats.org/drawingml/2006/main">
            <a:ext uri="{FF2B5EF4-FFF2-40B4-BE49-F238E27FC236}">
              <a16:creationId xmlns:a16="http://schemas.microsoft.com/office/drawing/2014/main" id="{071820C9-B94B-D8B5-57D7-4A9B98E48759}"/>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Defence weighted and whole economy output</a:t>
          </a:r>
        </a:p>
      </cdr:txBody>
    </cdr:sp>
  </cdr:relSizeAnchor>
  <cdr:relSizeAnchor xmlns:cdr="http://schemas.openxmlformats.org/drawingml/2006/chartDrawing">
    <cdr:from>
      <cdr:x>0</cdr:x>
      <cdr:y>0.93913</cdr:y>
    </cdr:from>
    <cdr:to>
      <cdr:x>1</cdr:x>
      <cdr:y>1</cdr:y>
    </cdr:to>
    <cdr:sp macro="" textlink="">
      <cdr:nvSpPr>
        <cdr:cNvPr id="3" name="Rectangle 2">
          <a:extLst xmlns:a="http://schemas.openxmlformats.org/drawingml/2006/main">
            <a:ext uri="{FF2B5EF4-FFF2-40B4-BE49-F238E27FC236}">
              <a16:creationId xmlns:a16="http://schemas.microsoft.com/office/drawing/2014/main" id="{0407AADB-75A3-2286-3BD0-6C1792D3376F}"/>
            </a:ext>
          </a:extLst>
        </cdr:cNvPr>
        <cdr:cNvSpPr/>
      </cdr:nvSpPr>
      <cdr:spPr>
        <a:xfrm xmlns:a="http://schemas.openxmlformats.org/drawingml/2006/main">
          <a:off x="50800" y="5898141"/>
          <a:ext cx="8655137"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Economics/Haver Analytics</a:t>
          </a:r>
        </a:p>
      </cdr:txBody>
    </cdr:sp>
  </cdr:relSizeAnchor>
  <cdr:relSizeAnchor xmlns:cdr="http://schemas.openxmlformats.org/drawingml/2006/chartDrawing">
    <cdr:from>
      <cdr:x>0</cdr:x>
      <cdr:y>0.07572</cdr:y>
    </cdr:from>
    <cdr:to>
      <cdr:x>1</cdr:x>
      <cdr:y>0.12683</cdr:y>
    </cdr:to>
    <cdr:sp macro="" textlink="">
      <cdr:nvSpPr>
        <cdr:cNvPr id="4" name="TextBox 3">
          <a:extLst xmlns:a="http://schemas.openxmlformats.org/drawingml/2006/main">
            <a:ext uri="{FF2B5EF4-FFF2-40B4-BE49-F238E27FC236}">
              <a16:creationId xmlns:a16="http://schemas.microsoft.com/office/drawing/2014/main" id="{0D6B3B61-9629-0D37-402A-61FD45A84956}"/>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2019 = 100</a:t>
          </a: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0"/>
      <sheetName val="validation"/>
      <sheetName val="Risk-Types"/>
      <sheetName val="Raw Data"/>
      <sheetName val="Sector Story"/>
      <sheetName val="Job Growth_ALL"/>
      <sheetName val="GDP Growth_ALL"/>
      <sheetName val="GDP Growth_Largest 50"/>
      <sheetName val="Pop Growth_ALL"/>
      <sheetName val="Regions"/>
      <sheetName val="Codes"/>
      <sheetName val="Key"/>
      <sheetName val="Annual_Census"/>
      <sheetName val="BLS_Data"/>
      <sheetName val="Annual_Data"/>
      <sheetName val="BEA_Shares"/>
      <sheetName val="Historical Data Set ANN"/>
      <sheetName val="Int_Output"/>
      <sheetName val="Final_Output"/>
      <sheetName val="Extra Data"/>
      <sheetName val="Melbourne Metro Employ Table"/>
      <sheetName val="Melb Metro WtCo Employ Table"/>
      <sheetName val="Melb Metro OWF Employ Table"/>
      <sheetName val="Melb Metro SAOWF Table"/>
      <sheetName val="data&amp;trend"/>
      <sheetName val="Risk_Detail"/>
      <sheetName val="Raw_Data"/>
      <sheetName val="Sector_Story"/>
      <sheetName val="Job_Growth_ALL"/>
      <sheetName val="GDP_Growth_ALL"/>
      <sheetName val="GDP_Growth_Largest_50"/>
      <sheetName val="Pop_Growth_ALL"/>
      <sheetName val="Extra_Data"/>
      <sheetName val="Historical_Data_Set_ANN"/>
      <sheetName val="Melbourne_Metro_Employ_Table"/>
      <sheetName val="Melb_Metro_WtCo_Employ_Table"/>
      <sheetName val="Melb_Metro_OWF_Employ_Table"/>
      <sheetName val="Melb_Metro_SAOWF_Table"/>
      <sheetName val="Sheet2"/>
      <sheetName val="Const"/>
      <sheetName val="Control Panel"/>
      <sheetName val="Var"/>
      <sheetName val="Toggle Sheet"/>
      <sheetName val="Dashboard 2"/>
      <sheetName val="CF_CPRICEGRFHM"/>
      <sheetName val="SR"/>
      <sheetName val="Global benchmarking"/>
    </sheetNames>
    <sheetDataSet>
      <sheetData sheetId="0" refreshError="1"/>
      <sheetData sheetId="1" refreshError="1"/>
      <sheetData sheetId="2" refreshError="1"/>
      <sheetData sheetId="3">
        <row r="2">
          <cell r="C2">
            <v>1991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
          <cell r="C2" t="str">
            <v>Rank based on largest spend on FDNABev as a % of total OpEx spend</v>
          </cell>
        </row>
      </sheetData>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_rels/sheet7.xml.rels><?xml version="1.0" encoding="UTF-8" standalone="yes"?>
<Relationships xmlns="http://schemas.openxmlformats.org/package/2006/relationships"><Relationship Id="rId3" Type="http://schemas.openxmlformats.org/officeDocument/2006/relationships/hyperlink" Target="mailto:K23X@UK" TargetMode="External"/><Relationship Id="rId2" Type="http://schemas.openxmlformats.org/officeDocument/2006/relationships/hyperlink" Target="mailto:K23W@UK" TargetMode="External"/><Relationship Id="rId1" Type="http://schemas.openxmlformats.org/officeDocument/2006/relationships/hyperlink" Target="mailto:K23K@UK" TargetMode="External"/><Relationship Id="rId6" Type="http://schemas.openxmlformats.org/officeDocument/2006/relationships/hyperlink" Target="mailto:ECY2@UK" TargetMode="External"/><Relationship Id="rId5" Type="http://schemas.openxmlformats.org/officeDocument/2006/relationships/hyperlink" Target="mailto:ECY9@UK" TargetMode="External"/><Relationship Id="rId4" Type="http://schemas.openxmlformats.org/officeDocument/2006/relationships/hyperlink" Target="mailto:S2LF@UK"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5A722-ADB7-4729-9433-F4AFDC16AC16}">
  <dimension ref="A1"/>
  <sheetViews>
    <sheetView workbookViewId="0"/>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F793E-3671-499A-A964-65BCA813DE0E}">
  <dimension ref="A1:NF3"/>
  <sheetViews>
    <sheetView topLeftCell="MQ1" workbookViewId="0">
      <selection activeCell="NE2" sqref="NE2:NE3"/>
    </sheetView>
  </sheetViews>
  <sheetFormatPr defaultRowHeight="15"/>
  <cols>
    <col min="1" max="1" width="15.5703125" customWidth="1"/>
    <col min="2" max="3" width="20.5703125" customWidth="1"/>
    <col min="4" max="5" width="10.5703125" customWidth="1"/>
    <col min="6" max="6" width="15.5703125" customWidth="1"/>
    <col min="7" max="359" width="10.5703125" customWidth="1"/>
    <col min="360" max="360" width="20.5703125" customWidth="1"/>
    <col min="361" max="362" width="15.5703125" customWidth="1"/>
    <col min="363" max="364" width="20.5703125" customWidth="1"/>
    <col min="365" max="365" width="18.5703125" customWidth="1"/>
    <col min="366" max="367" width="22.5703125" customWidth="1"/>
    <col min="368" max="368" width="13.5703125" customWidth="1"/>
    <col min="369" max="369" width="14.5703125" customWidth="1"/>
    <col min="370" max="370" width="10.5703125" customWidth="1"/>
  </cols>
  <sheetData>
    <row r="1" spans="1:370" ht="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row>
    <row r="2" spans="1:370">
      <c r="A2" t="s">
        <v>370</v>
      </c>
      <c r="B2" t="s">
        <v>371</v>
      </c>
      <c r="C2" s="2" t="s">
        <v>372</v>
      </c>
      <c r="D2" t="s">
        <v>373</v>
      </c>
      <c r="E2" t="s">
        <v>374</v>
      </c>
      <c r="F2" t="s">
        <v>375</v>
      </c>
      <c r="G2" s="3">
        <v>20046</v>
      </c>
      <c r="H2" s="3">
        <v>19874</v>
      </c>
      <c r="I2" s="3">
        <v>20558</v>
      </c>
      <c r="J2" s="3">
        <v>21315</v>
      </c>
      <c r="K2" s="3">
        <v>21132</v>
      </c>
      <c r="L2" s="3">
        <v>22651</v>
      </c>
      <c r="M2" s="3">
        <v>23896</v>
      </c>
      <c r="N2" s="3">
        <v>24994</v>
      </c>
      <c r="O2" s="3">
        <v>26814</v>
      </c>
      <c r="P2" s="3">
        <v>28129</v>
      </c>
      <c r="Q2" s="3">
        <v>29260</v>
      </c>
      <c r="R2" s="3">
        <v>30890</v>
      </c>
      <c r="S2" s="3">
        <v>32449</v>
      </c>
      <c r="T2" s="3">
        <v>33322</v>
      </c>
      <c r="U2" s="3">
        <v>34550</v>
      </c>
      <c r="V2" s="3">
        <v>36678</v>
      </c>
      <c r="W2" s="3">
        <v>38038</v>
      </c>
      <c r="X2" s="3">
        <v>39244</v>
      </c>
      <c r="Y2" s="3">
        <v>40339</v>
      </c>
      <c r="Z2" s="3">
        <v>42165</v>
      </c>
      <c r="AA2" s="3">
        <v>44140</v>
      </c>
      <c r="AB2" s="3">
        <v>45905</v>
      </c>
      <c r="AC2" s="3">
        <v>47207</v>
      </c>
      <c r="AD2" s="3">
        <v>48906</v>
      </c>
      <c r="AE2" s="3">
        <v>50459</v>
      </c>
      <c r="AF2" s="3">
        <v>53966</v>
      </c>
      <c r="AG2" s="3">
        <v>56767</v>
      </c>
      <c r="AH2" s="3">
        <v>59789</v>
      </c>
      <c r="AI2" s="3">
        <v>62107</v>
      </c>
      <c r="AJ2" s="3">
        <v>63704</v>
      </c>
      <c r="AK2" s="3">
        <v>66021</v>
      </c>
      <c r="AL2" s="3">
        <v>68138</v>
      </c>
      <c r="AM2" s="3">
        <v>69940</v>
      </c>
      <c r="AN2" s="3">
        <v>71334</v>
      </c>
      <c r="AO2" s="3">
        <v>73310</v>
      </c>
      <c r="AP2" s="3">
        <v>75596</v>
      </c>
      <c r="AQ2" s="3">
        <v>77468</v>
      </c>
      <c r="AR2" s="3">
        <v>78993</v>
      </c>
      <c r="AS2" s="3">
        <v>80430</v>
      </c>
      <c r="AT2" s="3">
        <v>82667</v>
      </c>
      <c r="AU2" s="3">
        <v>85727</v>
      </c>
      <c r="AV2" s="3">
        <v>86288</v>
      </c>
      <c r="AW2" s="3">
        <v>88637</v>
      </c>
      <c r="AX2" s="3">
        <v>90695</v>
      </c>
      <c r="AY2" s="3">
        <v>91663</v>
      </c>
      <c r="AZ2" s="3">
        <v>93433</v>
      </c>
      <c r="BA2" s="3">
        <v>94862</v>
      </c>
      <c r="BB2" s="3">
        <v>97962</v>
      </c>
      <c r="BC2" s="3">
        <v>99412</v>
      </c>
      <c r="BD2" s="3">
        <v>103208</v>
      </c>
      <c r="BE2" s="3">
        <v>105169</v>
      </c>
      <c r="BF2" s="3">
        <v>106841</v>
      </c>
      <c r="BG2" s="3">
        <v>108753</v>
      </c>
      <c r="BH2" s="3">
        <v>110079</v>
      </c>
      <c r="BI2" s="3">
        <v>111989</v>
      </c>
      <c r="BJ2" s="3">
        <v>115779</v>
      </c>
      <c r="BK2" s="3">
        <v>118136</v>
      </c>
      <c r="BL2" s="3">
        <v>121739</v>
      </c>
      <c r="BM2" s="3">
        <v>127119</v>
      </c>
      <c r="BN2" s="3">
        <v>129815</v>
      </c>
      <c r="BO2" s="3">
        <v>133283</v>
      </c>
      <c r="BP2" s="3">
        <v>136630</v>
      </c>
      <c r="BQ2" s="3">
        <v>140801</v>
      </c>
      <c r="BR2" s="3">
        <v>144969</v>
      </c>
      <c r="BS2" s="3">
        <v>148623</v>
      </c>
      <c r="BT2" s="3">
        <v>151262</v>
      </c>
      <c r="BU2" s="3">
        <v>155370</v>
      </c>
      <c r="BV2" s="3">
        <v>159376</v>
      </c>
      <c r="BW2" s="3">
        <v>163056</v>
      </c>
      <c r="BX2" s="3">
        <v>166719</v>
      </c>
      <c r="BY2" s="3">
        <v>170068</v>
      </c>
      <c r="BZ2" s="3">
        <v>170954</v>
      </c>
      <c r="CA2" s="3">
        <v>173192</v>
      </c>
      <c r="CB2" s="3">
        <v>175822</v>
      </c>
      <c r="CC2" s="3">
        <v>177280</v>
      </c>
      <c r="CD2" s="3">
        <v>179590</v>
      </c>
      <c r="CE2" s="3">
        <v>181438</v>
      </c>
      <c r="CF2" s="3">
        <v>181889</v>
      </c>
      <c r="CG2" s="3">
        <v>182558</v>
      </c>
      <c r="CH2" s="3">
        <v>184989</v>
      </c>
      <c r="CI2" s="3">
        <v>189580</v>
      </c>
      <c r="CJ2" s="3">
        <v>189802</v>
      </c>
      <c r="CK2" s="3">
        <v>193552</v>
      </c>
      <c r="CL2" s="3">
        <v>196921</v>
      </c>
      <c r="CM2" s="3">
        <v>199796</v>
      </c>
      <c r="CN2" s="3">
        <v>200691</v>
      </c>
      <c r="CO2" s="3">
        <v>203292</v>
      </c>
      <c r="CP2" s="3">
        <v>207015</v>
      </c>
      <c r="CQ2" s="3">
        <v>208657</v>
      </c>
      <c r="CR2" s="3">
        <v>210748</v>
      </c>
      <c r="CS2" s="3">
        <v>214616</v>
      </c>
      <c r="CT2" s="3">
        <v>217824</v>
      </c>
      <c r="CU2" s="3">
        <v>221433</v>
      </c>
      <c r="CV2" s="3">
        <v>226187</v>
      </c>
      <c r="CW2" s="3">
        <v>229912</v>
      </c>
      <c r="CX2" s="3">
        <v>232461</v>
      </c>
      <c r="CY2" s="3">
        <v>232749</v>
      </c>
      <c r="CZ2" s="3">
        <v>235998</v>
      </c>
      <c r="DA2" s="3">
        <v>243388</v>
      </c>
      <c r="DB2" s="3">
        <v>241270</v>
      </c>
      <c r="DC2" s="3">
        <v>245958</v>
      </c>
      <c r="DD2" s="3">
        <v>248081</v>
      </c>
      <c r="DE2" s="3">
        <v>250560</v>
      </c>
      <c r="DF2" s="3">
        <v>253902</v>
      </c>
      <c r="DG2" s="3">
        <v>255903</v>
      </c>
      <c r="DH2" s="3">
        <v>258404</v>
      </c>
      <c r="DI2" s="3">
        <v>261604</v>
      </c>
      <c r="DJ2" s="3">
        <v>267337</v>
      </c>
      <c r="DK2" s="3">
        <v>272305</v>
      </c>
      <c r="DL2" s="3">
        <v>273916</v>
      </c>
      <c r="DM2" s="3">
        <v>276174</v>
      </c>
      <c r="DN2" s="3">
        <v>278357</v>
      </c>
      <c r="DO2" s="3">
        <v>282889</v>
      </c>
      <c r="DP2" s="3">
        <v>286728</v>
      </c>
      <c r="DQ2" s="3">
        <v>288166</v>
      </c>
      <c r="DR2" s="3">
        <v>288352</v>
      </c>
      <c r="DS2" s="3">
        <v>292486</v>
      </c>
      <c r="DT2" s="3">
        <v>295516</v>
      </c>
      <c r="DU2" s="3">
        <v>299230</v>
      </c>
      <c r="DV2" s="3">
        <v>304207</v>
      </c>
      <c r="DW2" s="3">
        <v>307485</v>
      </c>
      <c r="DX2" s="3">
        <v>312948</v>
      </c>
      <c r="DY2" s="3">
        <v>317463</v>
      </c>
      <c r="DZ2" s="3">
        <v>320438</v>
      </c>
      <c r="EA2" s="3">
        <v>322778</v>
      </c>
      <c r="EB2" s="3">
        <v>329732</v>
      </c>
      <c r="EC2" s="3">
        <v>331592</v>
      </c>
      <c r="ED2" s="3">
        <v>338535</v>
      </c>
      <c r="EE2" s="3">
        <v>341254</v>
      </c>
      <c r="EF2" s="3">
        <v>348491</v>
      </c>
      <c r="EG2" s="3">
        <v>352001</v>
      </c>
      <c r="EH2" s="3">
        <v>357003</v>
      </c>
      <c r="EI2" s="3">
        <v>361213</v>
      </c>
      <c r="EJ2" s="3">
        <v>367042</v>
      </c>
      <c r="EK2" s="3">
        <v>370883</v>
      </c>
      <c r="EL2" s="3">
        <v>372900</v>
      </c>
      <c r="EM2" s="3">
        <v>376958</v>
      </c>
      <c r="EN2" s="3">
        <v>386144</v>
      </c>
      <c r="EO2" s="3">
        <v>389291</v>
      </c>
      <c r="EP2" s="3">
        <v>392244</v>
      </c>
      <c r="EQ2" s="3">
        <v>397800</v>
      </c>
      <c r="ER2" s="3">
        <v>400685</v>
      </c>
      <c r="ES2" s="3">
        <v>399994</v>
      </c>
      <c r="ET2" s="3">
        <v>395121</v>
      </c>
      <c r="EU2" s="3">
        <v>386874</v>
      </c>
      <c r="EV2" s="3">
        <v>386553</v>
      </c>
      <c r="EW2" s="3">
        <v>388596</v>
      </c>
      <c r="EX2" s="3">
        <v>386779</v>
      </c>
      <c r="EY2" s="3">
        <v>396176</v>
      </c>
      <c r="EZ2" s="3">
        <v>401223</v>
      </c>
      <c r="FA2" s="3">
        <v>404365</v>
      </c>
      <c r="FB2" s="3">
        <v>406789</v>
      </c>
      <c r="FC2" s="3">
        <v>414806</v>
      </c>
      <c r="FD2" s="3">
        <v>412364</v>
      </c>
      <c r="FE2" s="3">
        <v>416115</v>
      </c>
      <c r="FF2" s="3">
        <v>419305</v>
      </c>
      <c r="FG2" s="3">
        <v>424540</v>
      </c>
      <c r="FH2" s="3">
        <v>424939</v>
      </c>
      <c r="FI2" s="3">
        <v>430964</v>
      </c>
      <c r="FJ2" s="3">
        <v>433272</v>
      </c>
      <c r="FK2" s="3">
        <v>438283</v>
      </c>
      <c r="FL2" s="3">
        <v>442095</v>
      </c>
      <c r="FM2" s="3">
        <v>448800</v>
      </c>
      <c r="FN2" s="3">
        <v>452183</v>
      </c>
      <c r="FO2" s="3">
        <v>457683</v>
      </c>
      <c r="FP2" s="3">
        <v>461549</v>
      </c>
      <c r="FQ2" s="3">
        <v>470624</v>
      </c>
      <c r="FR2" s="3">
        <v>472658</v>
      </c>
      <c r="FS2" s="3">
        <v>474680</v>
      </c>
      <c r="FT2" s="3">
        <v>476591</v>
      </c>
      <c r="FU2" s="3">
        <v>479924</v>
      </c>
      <c r="FV2" s="3">
        <v>485256</v>
      </c>
      <c r="FW2" s="3">
        <v>489683</v>
      </c>
      <c r="FX2" s="3">
        <v>493710</v>
      </c>
      <c r="FY2" s="3">
        <v>500801</v>
      </c>
      <c r="FZ2" s="3">
        <v>507451</v>
      </c>
      <c r="GA2" s="3">
        <v>513814</v>
      </c>
      <c r="GB2" s="3">
        <v>517656</v>
      </c>
      <c r="GC2" s="3">
        <v>521257</v>
      </c>
      <c r="GD2" s="3">
        <v>529755</v>
      </c>
      <c r="GE2" s="3">
        <v>531131</v>
      </c>
      <c r="GF2" s="3">
        <v>535707</v>
      </c>
      <c r="GG2" s="3">
        <v>540205</v>
      </c>
      <c r="GH2" s="3">
        <v>545261</v>
      </c>
      <c r="GI2" s="3">
        <v>549060</v>
      </c>
      <c r="GJ2" s="3">
        <v>556104</v>
      </c>
      <c r="GK2" s="3">
        <v>562999</v>
      </c>
      <c r="GL2" s="3">
        <v>565758</v>
      </c>
      <c r="GM2" s="3">
        <v>555891</v>
      </c>
      <c r="GN2" s="3">
        <v>476160</v>
      </c>
      <c r="GO2" s="3">
        <v>533806</v>
      </c>
      <c r="GP2" s="3">
        <v>537629</v>
      </c>
      <c r="GQ2" s="3">
        <v>537992</v>
      </c>
      <c r="GR2" s="3">
        <v>568521</v>
      </c>
      <c r="GS2" s="3">
        <v>581805</v>
      </c>
      <c r="GT2" s="3">
        <v>597082</v>
      </c>
      <c r="GU2" s="3">
        <v>610346</v>
      </c>
      <c r="GV2" s="3">
        <v>625467</v>
      </c>
      <c r="GW2" s="3">
        <v>636553</v>
      </c>
      <c r="GX2" s="3">
        <v>654062</v>
      </c>
      <c r="GY2" s="3">
        <v>667103</v>
      </c>
      <c r="GZ2" s="3">
        <v>679433</v>
      </c>
      <c r="HA2" s="3">
        <v>685035</v>
      </c>
      <c r="HB2" s="3">
        <v>685749</v>
      </c>
      <c r="HC2" s="3">
        <v>698800</v>
      </c>
      <c r="HD2" s="3">
        <v>707433</v>
      </c>
      <c r="HE2" s="3">
        <v>717089</v>
      </c>
      <c r="HF2" s="3">
        <v>724724</v>
      </c>
      <c r="HG2" s="4">
        <v>733574</v>
      </c>
      <c r="HH2" s="4">
        <v>741462.2</v>
      </c>
      <c r="HI2" s="4">
        <v>749420.1</v>
      </c>
      <c r="HJ2" s="4">
        <v>757046</v>
      </c>
      <c r="HK2" s="4">
        <v>764825</v>
      </c>
      <c r="HL2" s="4">
        <v>772223.4</v>
      </c>
      <c r="HM2" s="4">
        <v>780042.6</v>
      </c>
      <c r="HN2" s="4">
        <v>787586.9</v>
      </c>
      <c r="HO2" s="4">
        <v>795007.8</v>
      </c>
      <c r="HP2" s="4">
        <v>802558.3</v>
      </c>
      <c r="HQ2" s="4">
        <v>810321.6</v>
      </c>
      <c r="HR2" s="4">
        <v>818281.9</v>
      </c>
      <c r="HS2" s="4">
        <v>826361.6</v>
      </c>
      <c r="HT2" s="4">
        <v>834479.4</v>
      </c>
      <c r="HU2" s="4">
        <v>842509.5</v>
      </c>
      <c r="HV2" s="4">
        <v>850405.3</v>
      </c>
      <c r="HW2" s="4">
        <v>858118.6</v>
      </c>
      <c r="HX2" s="4">
        <v>865730</v>
      </c>
      <c r="HY2" s="4">
        <v>873364.8</v>
      </c>
      <c r="HZ2" s="4">
        <v>881066.9</v>
      </c>
      <c r="IA2" s="4">
        <v>888925.7</v>
      </c>
      <c r="IB2" s="4">
        <v>896943.6</v>
      </c>
      <c r="IC2" s="4">
        <v>905169.5</v>
      </c>
      <c r="ID2" s="4">
        <v>913606.5</v>
      </c>
      <c r="IE2" s="4">
        <v>922076.6</v>
      </c>
      <c r="IF2" s="4">
        <v>930671.7</v>
      </c>
      <c r="IG2" s="4">
        <v>939252.8</v>
      </c>
      <c r="IH2" s="4">
        <v>947913.6</v>
      </c>
      <c r="II2" s="4">
        <v>956653.8</v>
      </c>
      <c r="IJ2" s="4">
        <v>965474.9</v>
      </c>
      <c r="IK2" s="4">
        <v>974435.3</v>
      </c>
      <c r="IL2" s="4">
        <v>983429.9</v>
      </c>
      <c r="IM2" s="4">
        <v>992677.4</v>
      </c>
      <c r="IN2" s="4">
        <v>1001858</v>
      </c>
      <c r="IO2" s="4">
        <v>1011113</v>
      </c>
      <c r="IP2" s="4">
        <v>1020283</v>
      </c>
      <c r="IQ2" s="4">
        <v>1029712</v>
      </c>
      <c r="IR2" s="4">
        <v>1039119</v>
      </c>
      <c r="IS2" s="4">
        <v>1048581</v>
      </c>
      <c r="IT2" s="4">
        <v>1058015</v>
      </c>
      <c r="IU2" s="4">
        <v>1067728</v>
      </c>
      <c r="IV2" s="4">
        <v>1077529</v>
      </c>
      <c r="IW2" s="4">
        <v>1087417</v>
      </c>
      <c r="IX2" s="4">
        <v>1097393</v>
      </c>
      <c r="IY2" s="4">
        <v>1107553</v>
      </c>
      <c r="IZ2" s="4">
        <v>1117809</v>
      </c>
      <c r="JA2" s="4">
        <v>1128162</v>
      </c>
      <c r="JB2" s="4">
        <v>1138612</v>
      </c>
      <c r="JC2" s="4">
        <v>1149161</v>
      </c>
      <c r="JD2" s="4">
        <v>1159808</v>
      </c>
      <c r="JE2" s="4">
        <v>1170555</v>
      </c>
      <c r="JF2" s="4">
        <v>1181403</v>
      </c>
      <c r="JG2" s="4">
        <v>1192481</v>
      </c>
      <c r="JH2" s="4">
        <v>1203665</v>
      </c>
      <c r="JI2" s="4">
        <v>1214958</v>
      </c>
      <c r="JJ2" s="4">
        <v>1226358</v>
      </c>
      <c r="JK2" s="4">
        <v>1237869</v>
      </c>
      <c r="JL2" s="4">
        <v>1249490</v>
      </c>
      <c r="JM2" s="4">
        <v>1261224</v>
      </c>
      <c r="JN2" s="4">
        <v>1273070</v>
      </c>
      <c r="JO2" s="4">
        <v>1285006</v>
      </c>
      <c r="JP2" s="4">
        <v>1297053</v>
      </c>
      <c r="JQ2" s="4">
        <v>1309215</v>
      </c>
      <c r="JR2" s="4">
        <v>1321490</v>
      </c>
      <c r="JS2" s="4">
        <v>1333999</v>
      </c>
      <c r="JT2" s="4">
        <v>1346627</v>
      </c>
      <c r="JU2" s="4">
        <v>1359390</v>
      </c>
      <c r="JV2" s="4">
        <v>1372276</v>
      </c>
      <c r="JW2" s="4">
        <v>1385284</v>
      </c>
      <c r="JX2" s="4">
        <v>1398417</v>
      </c>
      <c r="JY2" s="4">
        <v>1411557</v>
      </c>
      <c r="JZ2" s="4">
        <v>1424821</v>
      </c>
      <c r="KA2" s="4">
        <v>1438194</v>
      </c>
      <c r="KB2" s="4">
        <v>1451692</v>
      </c>
      <c r="KC2" s="4">
        <v>1465169</v>
      </c>
      <c r="KD2" s="4">
        <v>1478769</v>
      </c>
      <c r="KE2" s="4">
        <v>1492492</v>
      </c>
      <c r="KF2" s="4">
        <v>1506339</v>
      </c>
      <c r="KG2" s="4">
        <v>1520034</v>
      </c>
      <c r="KH2" s="4">
        <v>1533847</v>
      </c>
      <c r="KI2" s="4">
        <v>1547780</v>
      </c>
      <c r="KJ2" s="4">
        <v>1561835</v>
      </c>
      <c r="KK2" s="4">
        <v>1575877</v>
      </c>
      <c r="KL2" s="4">
        <v>1590040</v>
      </c>
      <c r="KM2" s="4">
        <v>1604323</v>
      </c>
      <c r="KN2" s="4">
        <v>1618727</v>
      </c>
      <c r="KO2" s="4">
        <v>1633247</v>
      </c>
      <c r="KP2" s="4">
        <v>1647891</v>
      </c>
      <c r="KQ2" s="4">
        <v>1662660</v>
      </c>
      <c r="KR2" s="4">
        <v>1677554</v>
      </c>
      <c r="KS2" s="4">
        <v>1692473</v>
      </c>
      <c r="KT2" s="4">
        <v>1707519</v>
      </c>
      <c r="KU2" s="4">
        <v>1722692</v>
      </c>
      <c r="KV2" s="4">
        <v>1737991</v>
      </c>
      <c r="KW2" s="4">
        <v>1753374</v>
      </c>
      <c r="KX2" s="4">
        <v>1768886</v>
      </c>
      <c r="KY2" s="4">
        <v>1784527</v>
      </c>
      <c r="KZ2" s="4">
        <v>1800299</v>
      </c>
      <c r="LA2" s="4">
        <v>1816059</v>
      </c>
      <c r="LB2" s="4">
        <v>1831947</v>
      </c>
      <c r="LC2" s="4">
        <v>1847964</v>
      </c>
      <c r="LD2" s="4">
        <v>1864110</v>
      </c>
      <c r="LE2" s="4">
        <v>1880337</v>
      </c>
      <c r="LF2" s="4">
        <v>1896694</v>
      </c>
      <c r="LG2" s="4">
        <v>1913183</v>
      </c>
      <c r="LH2" s="4">
        <v>1929805</v>
      </c>
      <c r="LI2" s="4">
        <v>1946484</v>
      </c>
      <c r="LJ2" s="4">
        <v>1963297</v>
      </c>
      <c r="LK2" s="4">
        <v>1980264</v>
      </c>
      <c r="LL2" s="4">
        <v>1997366</v>
      </c>
      <c r="LM2" s="4">
        <v>2014447</v>
      </c>
      <c r="LN2" s="4">
        <v>2031660</v>
      </c>
      <c r="LO2" s="4">
        <v>2049008</v>
      </c>
      <c r="LP2" s="4">
        <v>2066490</v>
      </c>
      <c r="LQ2" s="4">
        <v>2084106</v>
      </c>
      <c r="LR2" s="4">
        <v>2101859</v>
      </c>
      <c r="LS2" s="4">
        <v>2119750</v>
      </c>
      <c r="LT2" s="4">
        <v>2137783</v>
      </c>
      <c r="LU2" s="4">
        <v>2155879</v>
      </c>
      <c r="LV2" s="4">
        <v>2174118</v>
      </c>
      <c r="LW2" s="4">
        <v>2192496</v>
      </c>
      <c r="LX2" s="4">
        <v>2211017</v>
      </c>
      <c r="LY2" s="4">
        <v>2229607</v>
      </c>
      <c r="LZ2" s="4">
        <v>2248342</v>
      </c>
      <c r="MA2" s="4">
        <v>2267218</v>
      </c>
      <c r="MB2" s="4">
        <v>2286238</v>
      </c>
      <c r="MC2" s="4">
        <v>2305399</v>
      </c>
      <c r="MD2" s="4">
        <v>2324706</v>
      </c>
      <c r="ME2" s="4">
        <v>2344163</v>
      </c>
      <c r="MF2" s="4">
        <v>2363765</v>
      </c>
      <c r="MG2" s="4">
        <v>2383574</v>
      </c>
      <c r="MH2" s="4">
        <v>2403537</v>
      </c>
      <c r="MI2" s="4">
        <v>2423678</v>
      </c>
      <c r="MJ2" s="4">
        <v>2443972</v>
      </c>
      <c r="MK2" s="4">
        <v>2464374</v>
      </c>
      <c r="ML2" s="4">
        <v>2484933</v>
      </c>
      <c r="MM2" s="4">
        <v>2505650</v>
      </c>
      <c r="MN2" s="4">
        <v>2526527</v>
      </c>
      <c r="MO2" s="4">
        <v>2547615</v>
      </c>
      <c r="MP2" s="4">
        <v>2568869</v>
      </c>
      <c r="MQ2" s="4">
        <v>2590287</v>
      </c>
      <c r="MR2" s="4">
        <v>2611870</v>
      </c>
      <c r="MS2" s="4">
        <v>2633620</v>
      </c>
      <c r="MT2" s="4">
        <v>2655537</v>
      </c>
      <c r="MU2" t="s">
        <v>376</v>
      </c>
      <c r="MV2" t="b">
        <v>1</v>
      </c>
      <c r="MW2" t="s">
        <v>377</v>
      </c>
      <c r="MX2" t="s">
        <v>377</v>
      </c>
      <c r="MY2">
        <v>2024</v>
      </c>
      <c r="MZ2">
        <v>4</v>
      </c>
      <c r="NA2" t="s">
        <v>377</v>
      </c>
      <c r="NB2" t="s">
        <v>378</v>
      </c>
      <c r="NC2" t="s">
        <v>379</v>
      </c>
      <c r="ND2" t="s">
        <v>380</v>
      </c>
      <c r="NE2" t="s">
        <v>381</v>
      </c>
      <c r="NF2" s="2" t="s">
        <v>382</v>
      </c>
    </row>
    <row r="3" spans="1:370">
      <c r="A3" t="s">
        <v>370</v>
      </c>
      <c r="B3" t="s">
        <v>383</v>
      </c>
      <c r="C3" s="2" t="s">
        <v>372</v>
      </c>
      <c r="D3" t="s">
        <v>373</v>
      </c>
      <c r="E3" t="s">
        <v>374</v>
      </c>
      <c r="F3" t="s">
        <v>375</v>
      </c>
      <c r="G3" s="3">
        <v>1121</v>
      </c>
      <c r="H3" s="3">
        <v>-291</v>
      </c>
      <c r="I3" s="3">
        <v>390</v>
      </c>
      <c r="J3" s="3">
        <v>274</v>
      </c>
      <c r="K3" s="3">
        <v>589</v>
      </c>
      <c r="L3" s="3">
        <v>296</v>
      </c>
      <c r="M3" s="3">
        <v>-7</v>
      </c>
      <c r="N3" s="3">
        <v>-160</v>
      </c>
      <c r="O3" s="3">
        <v>-295</v>
      </c>
      <c r="P3" s="3">
        <v>-381</v>
      </c>
      <c r="Q3" s="3">
        <v>-347</v>
      </c>
      <c r="R3" s="3">
        <v>130</v>
      </c>
      <c r="S3" s="3">
        <v>-333</v>
      </c>
      <c r="T3" s="3">
        <v>-424</v>
      </c>
      <c r="U3" s="3">
        <v>-855</v>
      </c>
      <c r="V3" s="3">
        <v>567</v>
      </c>
      <c r="W3" s="3">
        <v>107</v>
      </c>
      <c r="X3" s="3">
        <v>-179</v>
      </c>
      <c r="Y3" s="3">
        <v>-417</v>
      </c>
      <c r="Z3" s="3">
        <v>-102</v>
      </c>
      <c r="AA3" s="3">
        <v>-493</v>
      </c>
      <c r="AB3" s="3">
        <v>-847</v>
      </c>
      <c r="AC3" s="3">
        <v>-1432</v>
      </c>
      <c r="AD3" s="3">
        <v>-272</v>
      </c>
      <c r="AE3" s="3">
        <v>-891</v>
      </c>
      <c r="AF3" s="3">
        <v>-1134</v>
      </c>
      <c r="AG3" s="3">
        <v>-1442</v>
      </c>
      <c r="AH3" s="3">
        <v>-396</v>
      </c>
      <c r="AI3" s="3">
        <v>302</v>
      </c>
      <c r="AJ3" s="3">
        <v>-2364</v>
      </c>
      <c r="AK3" s="3">
        <v>-1527</v>
      </c>
      <c r="AL3" s="3">
        <v>-296</v>
      </c>
      <c r="AM3" s="3">
        <v>-1332</v>
      </c>
      <c r="AN3" s="3">
        <v>-2964</v>
      </c>
      <c r="AO3" s="3">
        <v>-1973</v>
      </c>
      <c r="AP3" s="3">
        <v>1855</v>
      </c>
      <c r="AQ3" s="3">
        <v>1451</v>
      </c>
      <c r="AR3" s="3">
        <v>-2280</v>
      </c>
      <c r="AS3" s="3">
        <v>-1135</v>
      </c>
      <c r="AT3" s="3">
        <v>-255</v>
      </c>
      <c r="AU3" s="3">
        <v>1465</v>
      </c>
      <c r="AV3" s="3">
        <v>-2799</v>
      </c>
      <c r="AW3" s="3">
        <v>-2262</v>
      </c>
      <c r="AX3" s="3">
        <v>1020</v>
      </c>
      <c r="AY3" s="3">
        <v>69</v>
      </c>
      <c r="AZ3" s="3">
        <v>-4056</v>
      </c>
      <c r="BA3" s="3">
        <v>-1335</v>
      </c>
      <c r="BB3" s="3">
        <v>174</v>
      </c>
      <c r="BC3" s="3">
        <v>150</v>
      </c>
      <c r="BD3" s="3">
        <v>-4184</v>
      </c>
      <c r="BE3" s="3">
        <v>104</v>
      </c>
      <c r="BF3" s="3">
        <v>183</v>
      </c>
      <c r="BG3" s="3">
        <v>1194</v>
      </c>
      <c r="BH3" s="3">
        <v>-2874</v>
      </c>
      <c r="BI3" s="3">
        <v>-2900</v>
      </c>
      <c r="BJ3" s="3">
        <v>518</v>
      </c>
      <c r="BK3" s="3">
        <v>763</v>
      </c>
      <c r="BL3" s="3">
        <v>-5113</v>
      </c>
      <c r="BM3" s="3">
        <v>-1674</v>
      </c>
      <c r="BN3" s="3">
        <v>86</v>
      </c>
      <c r="BO3" s="3">
        <v>3124</v>
      </c>
      <c r="BP3" s="3">
        <v>-2535</v>
      </c>
      <c r="BQ3" s="3">
        <v>694</v>
      </c>
      <c r="BR3" s="3">
        <v>2058</v>
      </c>
      <c r="BS3" s="3">
        <v>5628</v>
      </c>
      <c r="BT3" s="3">
        <v>-2543</v>
      </c>
      <c r="BU3" s="3">
        <v>-397</v>
      </c>
      <c r="BV3" s="3">
        <v>3753</v>
      </c>
      <c r="BW3" s="3">
        <v>3972</v>
      </c>
      <c r="BX3" s="3">
        <v>-3236</v>
      </c>
      <c r="BY3" s="3">
        <v>-143</v>
      </c>
      <c r="BZ3" s="3">
        <v>813</v>
      </c>
      <c r="CA3" s="3">
        <v>1925</v>
      </c>
      <c r="CB3" s="3">
        <v>-6444</v>
      </c>
      <c r="CC3" s="3">
        <v>-3959</v>
      </c>
      <c r="CD3" s="3">
        <v>-2136</v>
      </c>
      <c r="CE3" s="3">
        <v>-2159</v>
      </c>
      <c r="CF3" s="3">
        <v>-12894</v>
      </c>
      <c r="CG3" s="3">
        <v>-9933</v>
      </c>
      <c r="CH3" s="3">
        <v>-7581</v>
      </c>
      <c r="CI3" s="3">
        <v>-8120</v>
      </c>
      <c r="CJ3" s="3">
        <v>-14864</v>
      </c>
      <c r="CK3" s="3">
        <v>-11287</v>
      </c>
      <c r="CL3" s="3">
        <v>-9777</v>
      </c>
      <c r="CM3" s="3">
        <v>-9260.9989999999998</v>
      </c>
      <c r="CN3" s="3">
        <v>-14303</v>
      </c>
      <c r="CO3" s="3">
        <v>-9929</v>
      </c>
      <c r="CP3" s="3">
        <v>-6402</v>
      </c>
      <c r="CQ3" s="3">
        <v>-6570</v>
      </c>
      <c r="CR3" s="3">
        <v>-11575</v>
      </c>
      <c r="CS3" s="3">
        <v>-9162.9989999999998</v>
      </c>
      <c r="CT3" s="3">
        <v>-5160</v>
      </c>
      <c r="CU3" s="3">
        <v>-3027</v>
      </c>
      <c r="CV3" s="3">
        <v>-14004</v>
      </c>
      <c r="CW3" s="3">
        <v>-8226</v>
      </c>
      <c r="CX3" s="3">
        <v>-1757</v>
      </c>
      <c r="CY3" s="3">
        <v>-1638</v>
      </c>
      <c r="CZ3" s="3">
        <v>-11102</v>
      </c>
      <c r="DA3" s="3">
        <v>-5299</v>
      </c>
      <c r="DB3" s="3">
        <v>3039</v>
      </c>
      <c r="DC3" s="3">
        <v>7868</v>
      </c>
      <c r="DD3" s="3">
        <v>-9253.9989999999998</v>
      </c>
      <c r="DE3" s="3">
        <v>-415</v>
      </c>
      <c r="DF3" s="3">
        <v>3635</v>
      </c>
      <c r="DG3" s="3">
        <v>11249</v>
      </c>
      <c r="DH3" s="3">
        <v>-6370</v>
      </c>
      <c r="DI3" s="3">
        <v>2440</v>
      </c>
      <c r="DJ3" s="3">
        <v>4960</v>
      </c>
      <c r="DK3" s="3">
        <v>15211</v>
      </c>
      <c r="DL3" s="3">
        <v>3302</v>
      </c>
      <c r="DM3" s="3">
        <v>4784</v>
      </c>
      <c r="DN3" s="3">
        <v>-2602</v>
      </c>
      <c r="DO3" s="3">
        <v>15244</v>
      </c>
      <c r="DP3" s="3">
        <v>1081</v>
      </c>
      <c r="DQ3" s="3">
        <v>4081</v>
      </c>
      <c r="DR3" s="3">
        <v>-6283</v>
      </c>
      <c r="DS3" s="3">
        <v>7971</v>
      </c>
      <c r="DT3" s="3">
        <v>-7813</v>
      </c>
      <c r="DU3" s="3">
        <v>-2787</v>
      </c>
      <c r="DV3" s="3">
        <v>-9802</v>
      </c>
      <c r="DW3" s="3">
        <v>2586</v>
      </c>
      <c r="DX3" s="3">
        <v>-10449</v>
      </c>
      <c r="DY3" s="3">
        <v>-7428</v>
      </c>
      <c r="DZ3" s="3">
        <v>-10401</v>
      </c>
      <c r="EA3" s="3">
        <v>5870</v>
      </c>
      <c r="EB3" s="3">
        <v>-11665</v>
      </c>
      <c r="EC3" s="3">
        <v>-7986</v>
      </c>
      <c r="ED3" s="3">
        <v>-10568</v>
      </c>
      <c r="EE3" s="3">
        <v>5514</v>
      </c>
      <c r="EF3" s="3">
        <v>-10247</v>
      </c>
      <c r="EG3" s="3">
        <v>-5645</v>
      </c>
      <c r="EH3" s="3">
        <v>-11313</v>
      </c>
      <c r="EI3" s="3">
        <v>7528</v>
      </c>
      <c r="EJ3" s="3">
        <v>-9232</v>
      </c>
      <c r="EK3" s="3">
        <v>-6581</v>
      </c>
      <c r="EL3" s="3">
        <v>-10437</v>
      </c>
      <c r="EM3" s="3">
        <v>11644</v>
      </c>
      <c r="EN3" s="3">
        <v>-10567</v>
      </c>
      <c r="EO3" s="3">
        <v>-6310</v>
      </c>
      <c r="EP3" s="3">
        <v>-11905</v>
      </c>
      <c r="EQ3" s="3">
        <v>11297</v>
      </c>
      <c r="ER3" s="3">
        <v>-16414</v>
      </c>
      <c r="ES3" s="3">
        <v>-14531</v>
      </c>
      <c r="ET3" s="3">
        <v>-17851</v>
      </c>
      <c r="EU3" s="3">
        <v>-7251</v>
      </c>
      <c r="EV3" s="3">
        <v>-30795</v>
      </c>
      <c r="EW3" s="3">
        <v>-23812</v>
      </c>
      <c r="EX3" s="3">
        <v>-31417</v>
      </c>
      <c r="EY3" s="3">
        <v>-10453</v>
      </c>
      <c r="EZ3" s="3">
        <v>-25171</v>
      </c>
      <c r="FA3" s="3">
        <v>-23031</v>
      </c>
      <c r="FB3" s="3">
        <v>-33148</v>
      </c>
      <c r="FC3" s="3">
        <v>-1993</v>
      </c>
      <c r="FD3" s="3">
        <v>-20288</v>
      </c>
      <c r="FE3" s="3">
        <v>-17060</v>
      </c>
      <c r="FF3" s="3">
        <v>-26598</v>
      </c>
      <c r="FG3" s="3">
        <v>-6785</v>
      </c>
      <c r="FH3" s="3">
        <v>-26843</v>
      </c>
      <c r="FI3" s="3">
        <v>-17618</v>
      </c>
      <c r="FJ3" s="3">
        <v>-29196</v>
      </c>
      <c r="FK3" s="3">
        <v>-5675</v>
      </c>
      <c r="FL3" s="3">
        <v>-23539</v>
      </c>
      <c r="FM3" s="3">
        <v>-17131</v>
      </c>
      <c r="FN3" s="3">
        <v>-25837</v>
      </c>
      <c r="FO3" s="3">
        <v>-1991</v>
      </c>
      <c r="FP3" s="3">
        <v>-23604</v>
      </c>
      <c r="FQ3" s="3">
        <v>-15659</v>
      </c>
      <c r="FR3" s="3">
        <v>-21611</v>
      </c>
      <c r="FS3" s="3">
        <v>6949</v>
      </c>
      <c r="FT3" s="3">
        <v>-18981</v>
      </c>
      <c r="FU3" s="3">
        <v>-13391</v>
      </c>
      <c r="FV3" s="3">
        <v>-19653</v>
      </c>
      <c r="FW3" s="3">
        <v>9828</v>
      </c>
      <c r="FX3" s="3">
        <v>-15388</v>
      </c>
      <c r="FY3" s="3">
        <v>-8601</v>
      </c>
      <c r="FZ3" s="3">
        <v>-12041</v>
      </c>
      <c r="GA3" s="3">
        <v>25635</v>
      </c>
      <c r="GB3" s="3">
        <v>-11559</v>
      </c>
      <c r="GC3" s="3">
        <v>-2483</v>
      </c>
      <c r="GD3" s="3">
        <v>-6285</v>
      </c>
      <c r="GE3" s="3">
        <v>18833</v>
      </c>
      <c r="GF3" s="3">
        <v>-8435</v>
      </c>
      <c r="GG3" s="3">
        <v>-1606</v>
      </c>
      <c r="GH3" s="3">
        <v>-8140</v>
      </c>
      <c r="GI3" s="3">
        <v>27940</v>
      </c>
      <c r="GJ3" s="3">
        <v>-14183</v>
      </c>
      <c r="GK3" s="3">
        <v>-1830</v>
      </c>
      <c r="GL3" s="3">
        <v>-13143</v>
      </c>
      <c r="GM3" s="3">
        <v>18011</v>
      </c>
      <c r="GN3" s="3">
        <v>-109176</v>
      </c>
      <c r="GO3" s="3">
        <v>-56264</v>
      </c>
      <c r="GP3" s="3">
        <v>-48986</v>
      </c>
      <c r="GQ3" s="3">
        <v>-18893</v>
      </c>
      <c r="GR3" s="3">
        <v>-45685</v>
      </c>
      <c r="GS3" s="3">
        <v>-21102</v>
      </c>
      <c r="GT3" s="3">
        <v>-14465</v>
      </c>
      <c r="GU3" s="3">
        <v>20866</v>
      </c>
      <c r="GV3" s="3">
        <v>-31204</v>
      </c>
      <c r="GW3" s="3">
        <v>-11366</v>
      </c>
      <c r="GX3" s="3">
        <v>-37400</v>
      </c>
      <c r="GY3" s="3">
        <v>12300</v>
      </c>
      <c r="GZ3" s="3">
        <v>-41871</v>
      </c>
      <c r="HA3" s="3">
        <v>-12423</v>
      </c>
      <c r="HB3" s="3">
        <v>-22702</v>
      </c>
      <c r="HC3" s="3">
        <v>26421</v>
      </c>
      <c r="HD3" s="3">
        <v>-36311</v>
      </c>
      <c r="HE3" s="3">
        <v>-17529</v>
      </c>
      <c r="HF3" s="3">
        <v>-30777</v>
      </c>
      <c r="HG3" s="4">
        <v>28421.19</v>
      </c>
      <c r="HH3" s="4">
        <v>-17539.810000000001</v>
      </c>
      <c r="HI3" s="4">
        <v>-5719.73</v>
      </c>
      <c r="HJ3" s="4">
        <v>-20273.900000000001</v>
      </c>
      <c r="HK3" s="4">
        <v>28913.599999999999</v>
      </c>
      <c r="HL3" s="4">
        <v>-14130.56</v>
      </c>
      <c r="HM3" s="4">
        <v>-1668.604</v>
      </c>
      <c r="HN3" s="4">
        <v>-16936.55</v>
      </c>
      <c r="HO3" s="4">
        <v>34766.32</v>
      </c>
      <c r="HP3" s="4">
        <v>-10081.879999999999</v>
      </c>
      <c r="HQ3" s="4">
        <v>3001.8009999999999</v>
      </c>
      <c r="HR3" s="4">
        <v>-12942.06</v>
      </c>
      <c r="HS3" s="4">
        <v>41165.019999999997</v>
      </c>
      <c r="HT3" s="4">
        <v>-10206.42</v>
      </c>
      <c r="HU3" s="4">
        <v>3362.0250000000001</v>
      </c>
      <c r="HV3" s="4">
        <v>-13170.2</v>
      </c>
      <c r="HW3" s="4">
        <v>42936.62</v>
      </c>
      <c r="HX3" s="4">
        <v>-10208.870000000001</v>
      </c>
      <c r="HY3" s="4">
        <v>3874.625</v>
      </c>
      <c r="HZ3" s="4">
        <v>-13281.67</v>
      </c>
      <c r="IA3" s="4">
        <v>44947.82</v>
      </c>
      <c r="IB3" s="4">
        <v>-13199.38</v>
      </c>
      <c r="IC3" s="4">
        <v>1412.252</v>
      </c>
      <c r="ID3" s="4">
        <v>-16297.28</v>
      </c>
      <c r="IE3" s="4">
        <v>43905.120000000003</v>
      </c>
      <c r="IF3" s="4">
        <v>-16360.32</v>
      </c>
      <c r="IG3" s="4">
        <v>-1356.0840000000001</v>
      </c>
      <c r="IH3" s="4">
        <v>-19768.830000000002</v>
      </c>
      <c r="II3" s="4">
        <v>44156.52</v>
      </c>
      <c r="IJ3" s="4">
        <v>-18324.46</v>
      </c>
      <c r="IK3" s="4">
        <v>-2785.9470000000001</v>
      </c>
      <c r="IL3" s="4">
        <v>-21881.87</v>
      </c>
      <c r="IM3" s="4">
        <v>44390.18</v>
      </c>
      <c r="IN3" s="4">
        <v>-20419.990000000002</v>
      </c>
      <c r="IO3" s="4">
        <v>-4323.5510000000004</v>
      </c>
      <c r="IP3" s="4">
        <v>-24127.73</v>
      </c>
      <c r="IQ3" s="4">
        <v>44561.49</v>
      </c>
      <c r="IR3" s="4">
        <v>-22639.62</v>
      </c>
      <c r="IS3" s="4">
        <v>-5972.4610000000002</v>
      </c>
      <c r="IT3" s="4">
        <v>-26501.51</v>
      </c>
      <c r="IU3" s="4">
        <v>44664.32</v>
      </c>
      <c r="IV3" s="4">
        <v>-24993.1</v>
      </c>
      <c r="IW3" s="4">
        <v>-7740.0349999999999</v>
      </c>
      <c r="IX3" s="4">
        <v>-29026.38</v>
      </c>
      <c r="IY3" s="4">
        <v>45218.25</v>
      </c>
      <c r="IZ3" s="4">
        <v>-27070.36</v>
      </c>
      <c r="JA3" s="4">
        <v>-9182.6679999999997</v>
      </c>
      <c r="JB3" s="4">
        <v>-31278.97</v>
      </c>
      <c r="JC3" s="4">
        <v>45760.79</v>
      </c>
      <c r="JD3" s="4">
        <v>-29275.84</v>
      </c>
      <c r="JE3" s="4">
        <v>-10726.33</v>
      </c>
      <c r="JF3" s="4">
        <v>-33663.46</v>
      </c>
      <c r="JG3" s="4">
        <v>46283.27</v>
      </c>
      <c r="JH3" s="4">
        <v>-31618.959999999999</v>
      </c>
      <c r="JI3" s="4">
        <v>-12379.89</v>
      </c>
      <c r="JJ3" s="4">
        <v>-36201.69</v>
      </c>
      <c r="JK3" s="4">
        <v>46793.91</v>
      </c>
      <c r="JL3" s="4">
        <v>-34108.660000000003</v>
      </c>
      <c r="JM3" s="4">
        <v>-14148.35</v>
      </c>
      <c r="JN3" s="4">
        <v>-38888.879999999997</v>
      </c>
      <c r="JO3" s="4">
        <v>47274.06</v>
      </c>
      <c r="JP3" s="4">
        <v>-36745.160000000003</v>
      </c>
      <c r="JQ3" s="4">
        <v>-16036.46</v>
      </c>
      <c r="JR3" s="4">
        <v>-41729.370000000003</v>
      </c>
      <c r="JS3" s="4">
        <v>48943.73</v>
      </c>
      <c r="JT3" s="4">
        <v>-38149.57</v>
      </c>
      <c r="JU3" s="4">
        <v>-16627.810000000001</v>
      </c>
      <c r="JV3" s="4">
        <v>-43288.4</v>
      </c>
      <c r="JW3" s="4">
        <v>50870.66</v>
      </c>
      <c r="JX3" s="4">
        <v>-39616.78</v>
      </c>
      <c r="JY3" s="4">
        <v>-17268.77</v>
      </c>
      <c r="JZ3" s="4">
        <v>-44951.49</v>
      </c>
      <c r="KA3" s="4">
        <v>52804.89</v>
      </c>
      <c r="KB3" s="4">
        <v>-41126.07</v>
      </c>
      <c r="KC3" s="4">
        <v>-17928.53</v>
      </c>
      <c r="KD3" s="4">
        <v>-46661.56</v>
      </c>
      <c r="KE3" s="4">
        <v>54786.64</v>
      </c>
      <c r="KF3" s="4">
        <v>-42674.11</v>
      </c>
      <c r="KG3" s="4">
        <v>-18606.98</v>
      </c>
      <c r="KH3" s="4">
        <v>-48413.65</v>
      </c>
      <c r="KI3" s="4">
        <v>56794.82</v>
      </c>
      <c r="KJ3" s="4">
        <v>-44246.35</v>
      </c>
      <c r="KK3" s="4">
        <v>-19294.52</v>
      </c>
      <c r="KL3" s="4">
        <v>-50195.07</v>
      </c>
      <c r="KM3" s="4">
        <v>58858.19</v>
      </c>
      <c r="KN3" s="4">
        <v>-45858.23</v>
      </c>
      <c r="KO3" s="4">
        <v>-19997.73</v>
      </c>
      <c r="KP3" s="4">
        <v>-52022.89</v>
      </c>
      <c r="KQ3" s="4">
        <v>60995.89</v>
      </c>
      <c r="KR3" s="4">
        <v>-47524.61</v>
      </c>
      <c r="KS3" s="4">
        <v>-20725.98</v>
      </c>
      <c r="KT3" s="4">
        <v>-53911.55</v>
      </c>
      <c r="KU3" s="4">
        <v>63188.76</v>
      </c>
      <c r="KV3" s="4">
        <v>-49236.76</v>
      </c>
      <c r="KW3" s="4">
        <v>-21473.55</v>
      </c>
      <c r="KX3" s="4">
        <v>-55852.7</v>
      </c>
      <c r="KY3" s="4">
        <v>65451.55</v>
      </c>
      <c r="KZ3" s="4">
        <v>-51001.95</v>
      </c>
      <c r="LA3" s="4">
        <v>-22245.59</v>
      </c>
      <c r="LB3" s="4">
        <v>-57852.38</v>
      </c>
      <c r="LC3" s="4">
        <v>67765.3</v>
      </c>
      <c r="LD3" s="4">
        <v>-52809.66</v>
      </c>
      <c r="LE3" s="4">
        <v>-23035.1</v>
      </c>
      <c r="LF3" s="4">
        <v>-59901.64</v>
      </c>
      <c r="LG3" s="4">
        <v>70150.16</v>
      </c>
      <c r="LH3" s="4">
        <v>-54670.95</v>
      </c>
      <c r="LI3" s="4">
        <v>-23848.52</v>
      </c>
      <c r="LJ3" s="4">
        <v>-62010.73</v>
      </c>
      <c r="LK3" s="4">
        <v>72601.59</v>
      </c>
      <c r="LL3" s="4">
        <v>-56584.800000000003</v>
      </c>
      <c r="LM3" s="4">
        <v>-24685.45</v>
      </c>
      <c r="LN3" s="4">
        <v>-64179.05</v>
      </c>
      <c r="LO3" s="4">
        <v>75108.08</v>
      </c>
      <c r="LP3" s="4">
        <v>-58543.12</v>
      </c>
      <c r="LQ3" s="4">
        <v>-25540.49</v>
      </c>
      <c r="LR3" s="4">
        <v>-66399.45</v>
      </c>
      <c r="LS3" s="4">
        <v>77696.929999999993</v>
      </c>
      <c r="LT3" s="4">
        <v>-60562.76</v>
      </c>
      <c r="LU3" s="4">
        <v>-26423.17</v>
      </c>
      <c r="LV3" s="4">
        <v>-68688.13</v>
      </c>
      <c r="LW3" s="4">
        <v>80353.7</v>
      </c>
      <c r="LX3" s="4">
        <v>-62637.57</v>
      </c>
      <c r="LY3" s="4">
        <v>-27329.86</v>
      </c>
      <c r="LZ3" s="4">
        <v>-71039.39</v>
      </c>
      <c r="MA3" s="4">
        <v>83083.22</v>
      </c>
      <c r="MB3" s="4">
        <v>-64768.49</v>
      </c>
      <c r="MC3" s="4">
        <v>-28260.45</v>
      </c>
      <c r="MD3" s="4">
        <v>-73455.179999999993</v>
      </c>
      <c r="ME3" s="4">
        <v>85898.71</v>
      </c>
      <c r="MF3" s="4">
        <v>-66964.81</v>
      </c>
      <c r="MG3" s="4">
        <v>-29218.880000000001</v>
      </c>
      <c r="MH3" s="4">
        <v>-75946.22</v>
      </c>
      <c r="MI3" s="4">
        <v>88812.87</v>
      </c>
      <c r="MJ3" s="4">
        <v>-69237.05</v>
      </c>
      <c r="MK3" s="4">
        <v>-30211.200000000001</v>
      </c>
      <c r="ML3" s="4">
        <v>-78521.56</v>
      </c>
      <c r="MM3" s="4">
        <v>91810.880000000005</v>
      </c>
      <c r="MN3" s="4">
        <v>-71575.98</v>
      </c>
      <c r="MO3" s="4">
        <v>-31232.02</v>
      </c>
      <c r="MP3" s="4">
        <v>-81174</v>
      </c>
      <c r="MQ3" s="4">
        <v>94910.95</v>
      </c>
      <c r="MR3" s="4">
        <v>-73993.34</v>
      </c>
      <c r="MS3" s="4">
        <v>-32287.4</v>
      </c>
      <c r="MT3" s="4">
        <v>-83915.41</v>
      </c>
      <c r="MU3" t="s">
        <v>376</v>
      </c>
      <c r="MV3" t="b">
        <v>0</v>
      </c>
      <c r="MW3" t="s">
        <v>377</v>
      </c>
      <c r="MX3" t="s">
        <v>377</v>
      </c>
      <c r="MY3">
        <v>2024</v>
      </c>
      <c r="MZ3">
        <v>4</v>
      </c>
      <c r="NA3" t="s">
        <v>377</v>
      </c>
      <c r="NB3" t="s">
        <v>384</v>
      </c>
      <c r="NC3" s="2" t="s">
        <v>385</v>
      </c>
      <c r="ND3" t="s">
        <v>380</v>
      </c>
      <c r="NE3" t="s">
        <v>386</v>
      </c>
      <c r="NF3" s="2" t="s">
        <v>382</v>
      </c>
    </row>
  </sheetData>
  <pageMargins left="0.7" right="0.7" top="0.75" bottom="0.75" header="0.3" footer="0.3"/>
  <customProperties>
    <customPr name="Commands" r:id="rId1"/>
    <customPr name="PostPullCommands" r:id="rId2"/>
    <customPr name="WorksheetId" r:id="rId3"/>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45CE6-940A-416C-8DCA-B757B3216868}">
  <dimension ref="A1:AY168"/>
  <sheetViews>
    <sheetView topLeftCell="AD4" workbookViewId="0">
      <selection activeCell="AE4" sqref="AE4"/>
    </sheetView>
  </sheetViews>
  <sheetFormatPr defaultRowHeight="15"/>
  <sheetData>
    <row r="1" spans="2:51" ht="19.5" thickBot="1">
      <c r="B1" s="9"/>
      <c r="C1" s="414" t="s">
        <v>422</v>
      </c>
      <c r="D1" s="414"/>
      <c r="E1" s="414"/>
      <c r="F1" s="414"/>
      <c r="G1" s="414"/>
      <c r="H1" s="414"/>
      <c r="I1" s="414"/>
      <c r="J1" s="414"/>
      <c r="K1" s="414"/>
      <c r="L1" s="414"/>
      <c r="M1" s="414"/>
      <c r="N1" s="414"/>
      <c r="O1" s="414"/>
      <c r="P1" s="414"/>
      <c r="Q1" s="414"/>
      <c r="R1" s="414"/>
      <c r="S1" s="414"/>
      <c r="T1" s="414"/>
      <c r="U1" s="414"/>
      <c r="V1" s="414"/>
      <c r="W1" s="414"/>
      <c r="X1" s="414"/>
      <c r="Y1" s="414"/>
      <c r="Z1" s="414"/>
      <c r="AA1" s="414"/>
      <c r="AB1" s="414"/>
      <c r="AC1" s="415"/>
      <c r="AD1" s="10"/>
      <c r="AE1" s="11"/>
      <c r="AF1" s="11"/>
      <c r="AG1" s="11"/>
      <c r="AH1" s="12"/>
      <c r="AI1" s="8"/>
      <c r="AJ1" s="13"/>
      <c r="AK1" s="14"/>
      <c r="AL1" s="14"/>
      <c r="AM1" s="14"/>
      <c r="AN1" s="14"/>
      <c r="AO1" s="14"/>
      <c r="AP1" s="14"/>
      <c r="AQ1" s="14"/>
      <c r="AR1" s="14"/>
      <c r="AS1" s="14"/>
      <c r="AT1" s="14"/>
      <c r="AU1" s="14"/>
      <c r="AV1" s="14"/>
      <c r="AW1" s="14"/>
      <c r="AX1" s="14"/>
      <c r="AY1" s="14"/>
    </row>
    <row r="2" spans="2:51" ht="15.75">
      <c r="B2" s="15"/>
      <c r="C2" s="16"/>
      <c r="D2" s="16"/>
      <c r="E2" s="16"/>
      <c r="F2" s="16"/>
      <c r="G2" s="16"/>
      <c r="H2" s="16"/>
      <c r="I2" s="16"/>
      <c r="J2" s="17"/>
      <c r="K2" s="18"/>
      <c r="L2" s="18"/>
      <c r="M2" s="18"/>
      <c r="N2" s="18"/>
      <c r="O2" s="18"/>
      <c r="P2" s="17"/>
      <c r="Q2" s="17"/>
      <c r="R2" s="17"/>
      <c r="S2" s="17"/>
      <c r="T2" s="19"/>
      <c r="U2" s="19"/>
      <c r="V2" s="20"/>
      <c r="W2" s="17"/>
      <c r="X2" s="17"/>
      <c r="Y2" s="17"/>
      <c r="Z2" s="17"/>
      <c r="AA2" s="16"/>
      <c r="AB2" s="16"/>
      <c r="AC2" s="16"/>
      <c r="AD2" s="10"/>
      <c r="AE2" s="17"/>
      <c r="AF2" s="17"/>
      <c r="AG2" s="16"/>
      <c r="AH2" s="21"/>
      <c r="AI2" s="22"/>
      <c r="AJ2" s="23"/>
      <c r="AK2" s="24"/>
      <c r="AL2" s="24"/>
      <c r="AM2" s="24"/>
      <c r="AN2" s="24"/>
      <c r="AO2" s="24"/>
      <c r="AP2" s="420"/>
      <c r="AQ2" s="420"/>
      <c r="AR2" s="420"/>
      <c r="AS2" s="420"/>
      <c r="AT2" s="24"/>
      <c r="AU2" s="24"/>
      <c r="AV2" s="24"/>
      <c r="AW2" s="24"/>
      <c r="AX2" s="24"/>
      <c r="AY2" s="24"/>
    </row>
    <row r="3" spans="2:51" ht="15.75">
      <c r="B3" s="15"/>
      <c r="C3" s="421" t="s">
        <v>423</v>
      </c>
      <c r="D3" s="421"/>
      <c r="E3" s="421"/>
      <c r="F3" s="421"/>
      <c r="G3" s="421"/>
      <c r="H3" s="421"/>
      <c r="I3" s="421"/>
      <c r="J3" s="17"/>
      <c r="K3" s="418" t="s">
        <v>424</v>
      </c>
      <c r="L3" s="418"/>
      <c r="M3" s="418"/>
      <c r="N3" s="418"/>
      <c r="O3" s="419"/>
      <c r="P3" s="17"/>
      <c r="Q3" s="421" t="s">
        <v>425</v>
      </c>
      <c r="R3" s="421"/>
      <c r="S3" s="17"/>
      <c r="T3" s="418" t="s">
        <v>426</v>
      </c>
      <c r="U3" s="418"/>
      <c r="V3" s="418"/>
      <c r="W3" s="17"/>
      <c r="X3" s="422" t="s">
        <v>427</v>
      </c>
      <c r="Y3" s="422"/>
      <c r="Z3" s="422"/>
      <c r="AA3" s="422"/>
      <c r="AB3" s="422"/>
      <c r="AC3" s="423"/>
      <c r="AD3" s="10"/>
      <c r="AE3" s="410" t="s">
        <v>428</v>
      </c>
      <c r="AF3" s="411"/>
      <c r="AG3" s="411"/>
      <c r="AH3" s="412"/>
      <c r="AI3" s="22"/>
      <c r="AJ3" s="25"/>
      <c r="AK3" s="24"/>
      <c r="AL3" s="24"/>
      <c r="AM3" s="24"/>
      <c r="AN3" s="24"/>
      <c r="AO3" s="24"/>
      <c r="AP3" s="26"/>
      <c r="AQ3" s="26"/>
      <c r="AR3" s="26"/>
      <c r="AS3" s="26"/>
      <c r="AT3" s="24"/>
      <c r="AU3" s="24"/>
      <c r="AV3" s="24"/>
      <c r="AW3" s="24"/>
      <c r="AX3" s="24"/>
      <c r="AY3" s="24"/>
    </row>
    <row r="4" spans="2:51" ht="77.25">
      <c r="B4" s="27"/>
      <c r="C4" s="28" t="s">
        <v>429</v>
      </c>
      <c r="D4" s="28" t="s">
        <v>430</v>
      </c>
      <c r="E4" s="28" t="s">
        <v>431</v>
      </c>
      <c r="F4" s="28" t="s">
        <v>432</v>
      </c>
      <c r="G4" s="28" t="s">
        <v>433</v>
      </c>
      <c r="H4" s="28" t="s">
        <v>434</v>
      </c>
      <c r="I4" s="29" t="s">
        <v>435</v>
      </c>
      <c r="J4" s="29"/>
      <c r="K4" s="29" t="s">
        <v>436</v>
      </c>
      <c r="L4" s="29" t="s">
        <v>437</v>
      </c>
      <c r="M4" s="29" t="s">
        <v>438</v>
      </c>
      <c r="N4" s="29" t="s">
        <v>439</v>
      </c>
      <c r="O4" s="29" t="s">
        <v>440</v>
      </c>
      <c r="P4" s="29"/>
      <c r="Q4" s="29" t="s">
        <v>441</v>
      </c>
      <c r="R4" s="29" t="s">
        <v>442</v>
      </c>
      <c r="S4" s="29"/>
      <c r="T4" s="30" t="s">
        <v>443</v>
      </c>
      <c r="U4" s="30" t="s">
        <v>444</v>
      </c>
      <c r="V4" s="30" t="s">
        <v>445</v>
      </c>
      <c r="W4" s="31"/>
      <c r="X4" s="29" t="s">
        <v>446</v>
      </c>
      <c r="Y4" s="29" t="s">
        <v>447</v>
      </c>
      <c r="Z4" s="29" t="s">
        <v>448</v>
      </c>
      <c r="AA4" s="30" t="s">
        <v>449</v>
      </c>
      <c r="AB4" s="32" t="s">
        <v>450</v>
      </c>
      <c r="AC4" s="32" t="s">
        <v>451</v>
      </c>
      <c r="AD4" s="10"/>
      <c r="AE4" s="32" t="s">
        <v>452</v>
      </c>
      <c r="AF4" s="32" t="s">
        <v>453</v>
      </c>
      <c r="AG4" s="32" t="s">
        <v>454</v>
      </c>
      <c r="AH4" s="33" t="s">
        <v>455</v>
      </c>
      <c r="AI4" s="34"/>
      <c r="AJ4" s="35"/>
      <c r="AK4" s="36"/>
      <c r="AL4" s="37"/>
      <c r="AM4" s="37"/>
      <c r="AN4" s="37"/>
      <c r="AO4" s="37"/>
      <c r="AP4" s="38"/>
      <c r="AQ4" s="35"/>
      <c r="AR4" s="38"/>
      <c r="AS4" s="35"/>
      <c r="AT4" s="36"/>
      <c r="AU4" s="36"/>
      <c r="AV4" s="36"/>
      <c r="AW4" s="36"/>
      <c r="AX4" s="36"/>
      <c r="AY4" s="36"/>
    </row>
    <row r="5" spans="2:51" ht="51.75">
      <c r="B5" s="39" t="s">
        <v>456</v>
      </c>
      <c r="C5" s="28" t="s">
        <v>457</v>
      </c>
      <c r="D5" s="28" t="s">
        <v>458</v>
      </c>
      <c r="E5" s="28" t="s">
        <v>459</v>
      </c>
      <c r="F5" s="40" t="s">
        <v>460</v>
      </c>
      <c r="G5" s="40" t="s">
        <v>461</v>
      </c>
      <c r="H5" s="28"/>
      <c r="I5" s="28"/>
      <c r="J5" s="28"/>
      <c r="K5" s="28"/>
      <c r="L5" s="28" t="s">
        <v>462</v>
      </c>
      <c r="M5" s="28"/>
      <c r="N5" s="28"/>
      <c r="O5" s="40" t="s">
        <v>463</v>
      </c>
      <c r="P5" s="28"/>
      <c r="Q5" s="40" t="s">
        <v>464</v>
      </c>
      <c r="R5" s="32"/>
      <c r="S5" s="28"/>
      <c r="T5" s="32" t="s">
        <v>465</v>
      </c>
      <c r="U5" s="32" t="s">
        <v>466</v>
      </c>
      <c r="V5" s="32" t="s">
        <v>467</v>
      </c>
      <c r="W5" s="41"/>
      <c r="X5" s="28" t="s">
        <v>468</v>
      </c>
      <c r="Y5" s="28" t="s">
        <v>469</v>
      </c>
      <c r="Z5" s="28"/>
      <c r="AA5" s="42" t="s">
        <v>470</v>
      </c>
      <c r="AB5" s="32"/>
      <c r="AC5" s="32" t="s">
        <v>471</v>
      </c>
      <c r="AD5" s="10"/>
      <c r="AE5" s="32" t="s">
        <v>472</v>
      </c>
      <c r="AF5" s="32" t="s">
        <v>472</v>
      </c>
      <c r="AG5" s="32"/>
      <c r="AH5" s="43" t="s">
        <v>473</v>
      </c>
      <c r="AI5" s="34"/>
      <c r="AJ5" s="35"/>
      <c r="AK5" s="36"/>
      <c r="AL5" s="37"/>
      <c r="AM5" s="37"/>
      <c r="AN5" s="37"/>
      <c r="AO5" s="37"/>
      <c r="AP5" s="38"/>
      <c r="AQ5" s="35"/>
      <c r="AR5" s="38"/>
      <c r="AS5" s="35"/>
      <c r="AT5" s="36"/>
      <c r="AU5" s="36"/>
      <c r="AV5" s="36"/>
      <c r="AW5" s="36"/>
      <c r="AX5" s="36"/>
      <c r="AY5" s="36"/>
    </row>
    <row r="6" spans="2:51" ht="15.75">
      <c r="B6" s="408" t="s">
        <v>474</v>
      </c>
      <c r="C6" s="44" t="s">
        <v>475</v>
      </c>
      <c r="D6" s="44" t="s">
        <v>476</v>
      </c>
      <c r="E6" s="44" t="s">
        <v>477</v>
      </c>
      <c r="F6" s="44" t="s">
        <v>478</v>
      </c>
      <c r="G6" s="44" t="s">
        <v>479</v>
      </c>
      <c r="H6" s="44"/>
      <c r="I6" s="44"/>
      <c r="J6" s="45"/>
      <c r="K6" s="46"/>
      <c r="L6" s="46"/>
      <c r="M6" s="46"/>
      <c r="N6" s="46"/>
      <c r="O6" s="44"/>
      <c r="P6" s="46"/>
      <c r="Q6" s="44"/>
      <c r="R6" s="44"/>
      <c r="S6" s="46"/>
      <c r="T6" s="46"/>
      <c r="U6" s="46"/>
      <c r="V6" s="46"/>
      <c r="W6" s="47"/>
      <c r="X6" s="47"/>
      <c r="Y6" s="47"/>
      <c r="Z6" s="47"/>
      <c r="AA6" s="46"/>
      <c r="AB6" s="46"/>
      <c r="AC6" s="46"/>
      <c r="AD6" s="10"/>
      <c r="AE6" s="46"/>
      <c r="AF6" s="46"/>
      <c r="AG6" s="46"/>
      <c r="AH6" s="48"/>
      <c r="AI6" s="49"/>
      <c r="AJ6" s="50"/>
      <c r="AK6" s="51"/>
      <c r="AL6" s="51"/>
      <c r="AM6" s="51"/>
      <c r="AN6" s="51"/>
      <c r="AO6" s="51"/>
      <c r="AP6" s="52"/>
      <c r="AQ6" s="52"/>
      <c r="AR6" s="52"/>
      <c r="AS6" s="52"/>
      <c r="AT6" s="51"/>
      <c r="AU6" s="51"/>
      <c r="AV6" s="51"/>
      <c r="AW6" s="51"/>
      <c r="AX6" s="51"/>
      <c r="AY6" s="51"/>
    </row>
    <row r="7" spans="2:51" ht="15.75">
      <c r="B7" s="409"/>
      <c r="C7" s="53"/>
      <c r="D7" s="53" t="s">
        <v>480</v>
      </c>
      <c r="E7" s="53"/>
      <c r="F7" s="53"/>
      <c r="G7" s="53"/>
      <c r="H7" s="53" t="s">
        <v>481</v>
      </c>
      <c r="I7" s="53"/>
      <c r="J7" s="54"/>
      <c r="K7" s="55"/>
      <c r="L7" s="55"/>
      <c r="M7" s="55"/>
      <c r="N7" s="55"/>
      <c r="O7" s="53" t="s">
        <v>482</v>
      </c>
      <c r="P7" s="55"/>
      <c r="Q7" s="53" t="s">
        <v>483</v>
      </c>
      <c r="R7" s="53"/>
      <c r="S7" s="55"/>
      <c r="T7" s="55"/>
      <c r="U7" s="55"/>
      <c r="V7" s="55"/>
      <c r="W7" s="56"/>
      <c r="X7" s="56"/>
      <c r="Y7" s="56"/>
      <c r="Z7" s="56"/>
      <c r="AA7" s="55"/>
      <c r="AB7" s="55"/>
      <c r="AC7" s="55"/>
      <c r="AD7" s="10"/>
      <c r="AE7" s="57"/>
      <c r="AF7" s="55"/>
      <c r="AG7" s="55"/>
      <c r="AH7" s="58"/>
      <c r="AI7" s="49"/>
      <c r="AJ7" s="50"/>
      <c r="AK7" s="51"/>
      <c r="AL7" s="51"/>
      <c r="AM7" s="51"/>
      <c r="AN7" s="51"/>
      <c r="AO7" s="51"/>
      <c r="AP7" s="52"/>
      <c r="AQ7" s="52"/>
      <c r="AR7" s="52"/>
      <c r="AS7" s="52"/>
      <c r="AT7" s="51"/>
      <c r="AU7" s="51"/>
      <c r="AV7" s="51"/>
      <c r="AW7" s="51"/>
      <c r="AX7" s="51"/>
      <c r="AY7" s="51"/>
    </row>
    <row r="8" spans="2:51" ht="15.75">
      <c r="B8" s="59" t="s">
        <v>484</v>
      </c>
      <c r="C8" s="60">
        <v>3.6480000000000001</v>
      </c>
      <c r="D8" s="60">
        <v>4.2770000000000001</v>
      </c>
      <c r="E8" s="60">
        <v>3.734</v>
      </c>
      <c r="F8" s="60">
        <v>0.41199999999999998</v>
      </c>
      <c r="G8" s="60">
        <v>0.13100000000000001</v>
      </c>
      <c r="H8" s="60">
        <v>0.54300000000000004</v>
      </c>
      <c r="I8" s="60">
        <v>3.5470000000000002</v>
      </c>
      <c r="J8" s="61"/>
      <c r="K8" s="62" t="s">
        <v>485</v>
      </c>
      <c r="L8" s="63">
        <v>-6.6000000000000003E-2</v>
      </c>
      <c r="M8" s="62" t="s">
        <v>485</v>
      </c>
      <c r="N8" s="62" t="s">
        <v>485</v>
      </c>
      <c r="O8" s="62">
        <v>0.629</v>
      </c>
      <c r="P8" s="63"/>
      <c r="Q8" s="63">
        <v>0.217</v>
      </c>
      <c r="R8" s="64"/>
      <c r="S8" s="65"/>
      <c r="T8" s="61">
        <v>0.439</v>
      </c>
      <c r="U8" s="61">
        <v>0.629</v>
      </c>
      <c r="V8" s="61">
        <v>0.504</v>
      </c>
      <c r="W8" s="66"/>
      <c r="X8" s="66"/>
      <c r="Y8" s="66"/>
      <c r="Z8" s="66"/>
      <c r="AA8" s="61">
        <v>0.63200000000000001</v>
      </c>
      <c r="AB8" s="64" t="s">
        <v>485</v>
      </c>
      <c r="AC8" s="64" t="s">
        <v>485</v>
      </c>
      <c r="AD8" s="67"/>
      <c r="AE8" s="68" t="s">
        <v>485</v>
      </c>
      <c r="AF8" s="64" t="s">
        <v>485</v>
      </c>
      <c r="AG8" s="64" t="s">
        <v>485</v>
      </c>
      <c r="AH8" s="69" t="s">
        <v>485</v>
      </c>
      <c r="AI8" s="49"/>
      <c r="AJ8" s="50"/>
      <c r="AK8" s="51"/>
      <c r="AL8" s="51"/>
      <c r="AM8" s="51"/>
      <c r="AN8" s="51"/>
      <c r="AO8" s="51"/>
      <c r="AP8" s="52"/>
      <c r="AQ8" s="52"/>
      <c r="AR8" s="52"/>
      <c r="AS8" s="52"/>
      <c r="AT8" s="51"/>
      <c r="AU8" s="51"/>
      <c r="AV8" s="51"/>
      <c r="AW8" s="51"/>
      <c r="AX8" s="51"/>
      <c r="AY8" s="51"/>
    </row>
    <row r="9" spans="2:51" ht="15.75">
      <c r="B9" s="70" t="s">
        <v>486</v>
      </c>
      <c r="C9" s="60">
        <v>3.9489999999999998</v>
      </c>
      <c r="D9" s="60">
        <v>4.0279999999999996</v>
      </c>
      <c r="E9" s="60">
        <v>3.4489999999999998</v>
      </c>
      <c r="F9" s="60">
        <v>0.371</v>
      </c>
      <c r="G9" s="60">
        <v>0.20799999999999999</v>
      </c>
      <c r="H9" s="60">
        <v>0.57899999999999996</v>
      </c>
      <c r="I9" s="60">
        <v>3.7170000000000001</v>
      </c>
      <c r="J9" s="61"/>
      <c r="K9" s="62" t="s">
        <v>485</v>
      </c>
      <c r="L9" s="63">
        <v>0.42799999999999999</v>
      </c>
      <c r="M9" s="62" t="s">
        <v>485</v>
      </c>
      <c r="N9" s="62" t="s">
        <v>485</v>
      </c>
      <c r="O9" s="62">
        <v>7.9000000000000001E-2</v>
      </c>
      <c r="P9" s="63"/>
      <c r="Q9" s="63">
        <v>-0.29199999999999998</v>
      </c>
      <c r="R9" s="64"/>
      <c r="S9" s="65"/>
      <c r="T9" s="61">
        <v>-0.19700000000000001</v>
      </c>
      <c r="U9" s="61">
        <v>7.9000000000000001E-2</v>
      </c>
      <c r="V9" s="61">
        <v>0.52700000000000002</v>
      </c>
      <c r="W9" s="66"/>
      <c r="X9" s="66"/>
      <c r="Y9" s="66"/>
      <c r="Z9" s="66"/>
      <c r="AA9" s="61">
        <v>0.11899999999999999</v>
      </c>
      <c r="AB9" s="64" t="s">
        <v>485</v>
      </c>
      <c r="AC9" s="64" t="s">
        <v>485</v>
      </c>
      <c r="AD9" s="67"/>
      <c r="AE9" s="68" t="s">
        <v>485</v>
      </c>
      <c r="AF9" s="64" t="s">
        <v>485</v>
      </c>
      <c r="AG9" s="64" t="s">
        <v>485</v>
      </c>
      <c r="AH9" s="69" t="s">
        <v>485</v>
      </c>
      <c r="AI9" s="49"/>
      <c r="AJ9" s="50"/>
      <c r="AK9" s="51"/>
      <c r="AL9" s="51"/>
      <c r="AM9" s="51"/>
      <c r="AN9" s="51"/>
      <c r="AO9" s="51"/>
      <c r="AP9" s="52"/>
      <c r="AQ9" s="52"/>
      <c r="AR9" s="52"/>
      <c r="AS9" s="52"/>
      <c r="AT9" s="51"/>
      <c r="AU9" s="51"/>
      <c r="AV9" s="51"/>
      <c r="AW9" s="51"/>
      <c r="AX9" s="51"/>
      <c r="AY9" s="51"/>
    </row>
    <row r="10" spans="2:51" ht="15.75">
      <c r="B10" s="70" t="s">
        <v>487</v>
      </c>
      <c r="C10" s="60">
        <v>4.9059999999999997</v>
      </c>
      <c r="D10" s="60">
        <v>4.41</v>
      </c>
      <c r="E10" s="60">
        <v>3.7970000000000002</v>
      </c>
      <c r="F10" s="60">
        <v>0.30099999999999999</v>
      </c>
      <c r="G10" s="60">
        <v>0.312</v>
      </c>
      <c r="H10" s="60">
        <v>0.61299999999999999</v>
      </c>
      <c r="I10" s="60">
        <v>4.2510000000000003</v>
      </c>
      <c r="J10" s="61"/>
      <c r="K10" s="62" t="s">
        <v>485</v>
      </c>
      <c r="L10" s="63">
        <v>0.879</v>
      </c>
      <c r="M10" s="62" t="s">
        <v>485</v>
      </c>
      <c r="N10" s="62" t="s">
        <v>485</v>
      </c>
      <c r="O10" s="62">
        <v>-0.496</v>
      </c>
      <c r="P10" s="63"/>
      <c r="Q10" s="63">
        <v>-0.79700000000000004</v>
      </c>
      <c r="R10" s="64"/>
      <c r="S10" s="65"/>
      <c r="T10" s="61">
        <v>-0.67700000000000005</v>
      </c>
      <c r="U10" s="61">
        <v>-0.496</v>
      </c>
      <c r="V10" s="61">
        <v>0.52</v>
      </c>
      <c r="W10" s="66"/>
      <c r="X10" s="66"/>
      <c r="Y10" s="66"/>
      <c r="Z10" s="66"/>
      <c r="AA10" s="61">
        <v>-0.434</v>
      </c>
      <c r="AB10" s="64" t="s">
        <v>485</v>
      </c>
      <c r="AC10" s="64" t="s">
        <v>485</v>
      </c>
      <c r="AD10" s="67"/>
      <c r="AE10" s="61">
        <v>11.425000000000001</v>
      </c>
      <c r="AF10" s="64" t="s">
        <v>485</v>
      </c>
      <c r="AG10" s="64" t="s">
        <v>485</v>
      </c>
      <c r="AH10" s="69" t="s">
        <v>485</v>
      </c>
      <c r="AI10" s="49"/>
      <c r="AJ10" s="50"/>
      <c r="AK10" s="51"/>
      <c r="AL10" s="51"/>
      <c r="AM10" s="51"/>
      <c r="AN10" s="51"/>
      <c r="AO10" s="51"/>
      <c r="AP10" s="52"/>
      <c r="AQ10" s="52"/>
      <c r="AR10" s="52"/>
      <c r="AS10" s="52"/>
      <c r="AT10" s="51"/>
      <c r="AU10" s="51"/>
      <c r="AV10" s="51"/>
      <c r="AW10" s="51"/>
      <c r="AX10" s="51"/>
      <c r="AY10" s="51"/>
    </row>
    <row r="11" spans="2:51" ht="15.75">
      <c r="B11" s="70" t="s">
        <v>488</v>
      </c>
      <c r="C11" s="60">
        <v>5.2690000000000001</v>
      </c>
      <c r="D11" s="60">
        <v>4.6820000000000004</v>
      </c>
      <c r="E11" s="60">
        <v>3.9889999999999999</v>
      </c>
      <c r="F11" s="60">
        <v>0.36399999999999999</v>
      </c>
      <c r="G11" s="60">
        <v>0.32900000000000001</v>
      </c>
      <c r="H11" s="60">
        <v>0.69299999999999995</v>
      </c>
      <c r="I11" s="60">
        <v>4.4939999999999998</v>
      </c>
      <c r="J11" s="61"/>
      <c r="K11" s="62" t="s">
        <v>485</v>
      </c>
      <c r="L11" s="63">
        <v>0.95799999999999996</v>
      </c>
      <c r="M11" s="62" t="s">
        <v>485</v>
      </c>
      <c r="N11" s="62" t="s">
        <v>485</v>
      </c>
      <c r="O11" s="62">
        <v>-0.58699999999999997</v>
      </c>
      <c r="P11" s="63"/>
      <c r="Q11" s="63">
        <v>-0.95099999999999996</v>
      </c>
      <c r="R11" s="64"/>
      <c r="S11" s="65"/>
      <c r="T11" s="61">
        <v>-0.79400000000000004</v>
      </c>
      <c r="U11" s="61">
        <v>-0.58699999999999997</v>
      </c>
      <c r="V11" s="61">
        <v>0.51900000000000002</v>
      </c>
      <c r="W11" s="66"/>
      <c r="X11" s="66"/>
      <c r="Y11" s="66"/>
      <c r="Z11" s="66"/>
      <c r="AA11" s="61">
        <v>-0.51500000000000001</v>
      </c>
      <c r="AB11" s="64" t="s">
        <v>485</v>
      </c>
      <c r="AC11" s="64" t="s">
        <v>485</v>
      </c>
      <c r="AD11" s="67"/>
      <c r="AE11" s="61">
        <v>12.169</v>
      </c>
      <c r="AF11" s="64" t="s">
        <v>485</v>
      </c>
      <c r="AG11" s="64" t="s">
        <v>485</v>
      </c>
      <c r="AH11" s="69" t="s">
        <v>485</v>
      </c>
      <c r="AI11" s="49"/>
      <c r="AJ11" s="50"/>
      <c r="AK11" s="51"/>
      <c r="AL11" s="51"/>
      <c r="AM11" s="51"/>
      <c r="AN11" s="51"/>
      <c r="AO11" s="51"/>
      <c r="AP11" s="52"/>
      <c r="AQ11" s="52"/>
      <c r="AR11" s="52"/>
      <c r="AS11" s="52"/>
      <c r="AT11" s="51"/>
      <c r="AU11" s="51"/>
      <c r="AV11" s="51"/>
      <c r="AW11" s="51"/>
      <c r="AX11" s="51"/>
      <c r="AY11" s="51"/>
    </row>
    <row r="12" spans="2:51" ht="15.75">
      <c r="B12" s="70" t="s">
        <v>489</v>
      </c>
      <c r="C12" s="60">
        <v>5.4580000000000002</v>
      </c>
      <c r="D12" s="60">
        <v>4.992</v>
      </c>
      <c r="E12" s="60">
        <v>4.157</v>
      </c>
      <c r="F12" s="60">
        <v>0.47899999999999998</v>
      </c>
      <c r="G12" s="60">
        <v>0.35599999999999998</v>
      </c>
      <c r="H12" s="60">
        <v>0.83499999999999996</v>
      </c>
      <c r="I12" s="60">
        <v>4.5960000000000001</v>
      </c>
      <c r="J12" s="61"/>
      <c r="K12" s="62" t="s">
        <v>485</v>
      </c>
      <c r="L12" s="63">
        <v>0.82399999999999995</v>
      </c>
      <c r="M12" s="62" t="s">
        <v>485</v>
      </c>
      <c r="N12" s="62" t="s">
        <v>485</v>
      </c>
      <c r="O12" s="62">
        <v>-0.46600000000000003</v>
      </c>
      <c r="P12" s="63"/>
      <c r="Q12" s="63">
        <v>-0.94499999999999995</v>
      </c>
      <c r="R12" s="64"/>
      <c r="S12" s="65"/>
      <c r="T12" s="61">
        <v>-0.745</v>
      </c>
      <c r="U12" s="61">
        <v>-0.46600000000000003</v>
      </c>
      <c r="V12" s="61">
        <v>0.53100000000000003</v>
      </c>
      <c r="W12" s="66"/>
      <c r="X12" s="66"/>
      <c r="Y12" s="66"/>
      <c r="Z12" s="66"/>
      <c r="AA12" s="61">
        <v>-0.41699999999999998</v>
      </c>
      <c r="AB12" s="64" t="s">
        <v>485</v>
      </c>
      <c r="AC12" s="64" t="s">
        <v>485</v>
      </c>
      <c r="AD12" s="67"/>
      <c r="AE12" s="61">
        <v>12.74</v>
      </c>
      <c r="AF12" s="64" t="s">
        <v>485</v>
      </c>
      <c r="AG12" s="64" t="s">
        <v>485</v>
      </c>
      <c r="AH12" s="69" t="s">
        <v>485</v>
      </c>
      <c r="AI12" s="49"/>
      <c r="AJ12" s="50"/>
      <c r="AK12" s="51"/>
      <c r="AL12" s="51"/>
      <c r="AM12" s="51"/>
      <c r="AN12" s="51"/>
      <c r="AO12" s="51"/>
      <c r="AP12" s="52"/>
      <c r="AQ12" s="52"/>
      <c r="AR12" s="52"/>
      <c r="AS12" s="52"/>
      <c r="AT12" s="51"/>
      <c r="AU12" s="51"/>
      <c r="AV12" s="51"/>
      <c r="AW12" s="51"/>
      <c r="AX12" s="51"/>
      <c r="AY12" s="51"/>
    </row>
    <row r="13" spans="2:51" ht="15.75">
      <c r="B13" s="70" t="s">
        <v>490</v>
      </c>
      <c r="C13" s="60">
        <v>5.883</v>
      </c>
      <c r="D13" s="60">
        <v>5.8140000000000001</v>
      </c>
      <c r="E13" s="60">
        <v>4.62</v>
      </c>
      <c r="F13" s="60">
        <v>0.77800000000000002</v>
      </c>
      <c r="G13" s="60">
        <v>0.41599999999999998</v>
      </c>
      <c r="H13" s="60">
        <v>1.194</v>
      </c>
      <c r="I13" s="60">
        <v>4.9749999999999996</v>
      </c>
      <c r="J13" s="61"/>
      <c r="K13" s="62" t="s">
        <v>485</v>
      </c>
      <c r="L13" s="63">
        <v>0.48799999999999999</v>
      </c>
      <c r="M13" s="62" t="s">
        <v>485</v>
      </c>
      <c r="N13" s="62" t="s">
        <v>485</v>
      </c>
      <c r="O13" s="62">
        <v>-6.9000000000000006E-2</v>
      </c>
      <c r="P13" s="63"/>
      <c r="Q13" s="63">
        <v>-0.84699999999999998</v>
      </c>
      <c r="R13" s="64"/>
      <c r="S13" s="65"/>
      <c r="T13" s="61">
        <v>-0.38400000000000001</v>
      </c>
      <c r="U13" s="61">
        <v>-6.9000000000000006E-2</v>
      </c>
      <c r="V13" s="61">
        <v>0.57899999999999996</v>
      </c>
      <c r="W13" s="66"/>
      <c r="X13" s="66"/>
      <c r="Y13" s="66"/>
      <c r="Z13" s="66"/>
      <c r="AA13" s="61">
        <v>-1E-3</v>
      </c>
      <c r="AB13" s="64" t="s">
        <v>485</v>
      </c>
      <c r="AC13" s="64" t="s">
        <v>485</v>
      </c>
      <c r="AD13" s="67"/>
      <c r="AE13" s="61">
        <v>14.303000000000001</v>
      </c>
      <c r="AF13" s="64" t="s">
        <v>485</v>
      </c>
      <c r="AG13" s="64" t="s">
        <v>485</v>
      </c>
      <c r="AH13" s="69" t="s">
        <v>485</v>
      </c>
      <c r="AI13" s="49"/>
      <c r="AJ13" s="50"/>
      <c r="AK13" s="51"/>
      <c r="AL13" s="51"/>
      <c r="AM13" s="51"/>
      <c r="AN13" s="51"/>
      <c r="AO13" s="51"/>
      <c r="AP13" s="52"/>
      <c r="AQ13" s="52"/>
      <c r="AR13" s="52"/>
      <c r="AS13" s="52"/>
      <c r="AT13" s="51"/>
      <c r="AU13" s="51"/>
      <c r="AV13" s="51"/>
      <c r="AW13" s="51"/>
      <c r="AX13" s="51"/>
      <c r="AY13" s="51"/>
    </row>
    <row r="14" spans="2:51" ht="15.75">
      <c r="B14" s="70" t="s">
        <v>491</v>
      </c>
      <c r="C14" s="60">
        <v>6.2030000000000003</v>
      </c>
      <c r="D14" s="60">
        <v>6.4119999999999999</v>
      </c>
      <c r="E14" s="60">
        <v>5.0549999999999997</v>
      </c>
      <c r="F14" s="60">
        <v>0.89700000000000002</v>
      </c>
      <c r="G14" s="60">
        <v>0.46</v>
      </c>
      <c r="H14" s="60">
        <v>1.357</v>
      </c>
      <c r="I14" s="60">
        <v>5.2750000000000004</v>
      </c>
      <c r="J14" s="61"/>
      <c r="K14" s="62" t="s">
        <v>485</v>
      </c>
      <c r="L14" s="63">
        <v>0.29699999999999999</v>
      </c>
      <c r="M14" s="62" t="s">
        <v>485</v>
      </c>
      <c r="N14" s="62" t="s">
        <v>485</v>
      </c>
      <c r="O14" s="62">
        <v>0.20899999999999999</v>
      </c>
      <c r="P14" s="63"/>
      <c r="Q14" s="63">
        <v>-0.68799999999999994</v>
      </c>
      <c r="R14" s="64"/>
      <c r="S14" s="65"/>
      <c r="T14" s="61">
        <v>-0.3</v>
      </c>
      <c r="U14" s="61">
        <v>0.20899999999999999</v>
      </c>
      <c r="V14" s="61">
        <v>0.63400000000000001</v>
      </c>
      <c r="W14" s="66"/>
      <c r="X14" s="66"/>
      <c r="Y14" s="66"/>
      <c r="Z14" s="66"/>
      <c r="AA14" s="61">
        <v>0.154</v>
      </c>
      <c r="AB14" s="64" t="s">
        <v>485</v>
      </c>
      <c r="AC14" s="64" t="s">
        <v>485</v>
      </c>
      <c r="AD14" s="67"/>
      <c r="AE14" s="61">
        <v>15.536</v>
      </c>
      <c r="AF14" s="64" t="s">
        <v>485</v>
      </c>
      <c r="AG14" s="64" t="s">
        <v>485</v>
      </c>
      <c r="AH14" s="69" t="s">
        <v>485</v>
      </c>
      <c r="AI14" s="49"/>
      <c r="AJ14" s="50"/>
      <c r="AK14" s="51"/>
      <c r="AL14" s="51"/>
      <c r="AM14" s="51"/>
      <c r="AN14" s="51"/>
      <c r="AO14" s="51"/>
      <c r="AP14" s="52"/>
      <c r="AQ14" s="52"/>
      <c r="AR14" s="52"/>
      <c r="AS14" s="52"/>
      <c r="AT14" s="51"/>
      <c r="AU14" s="51"/>
      <c r="AV14" s="51"/>
      <c r="AW14" s="51"/>
      <c r="AX14" s="51"/>
      <c r="AY14" s="51"/>
    </row>
    <row r="15" spans="2:51" ht="15.75">
      <c r="B15" s="70" t="s">
        <v>492</v>
      </c>
      <c r="C15" s="60">
        <v>6.34</v>
      </c>
      <c r="D15" s="60">
        <v>6.758</v>
      </c>
      <c r="E15" s="60">
        <v>5.2729999999999997</v>
      </c>
      <c r="F15" s="60">
        <v>1.0109999999999999</v>
      </c>
      <c r="G15" s="60">
        <v>0.47399999999999998</v>
      </c>
      <c r="H15" s="60">
        <v>1.4850000000000001</v>
      </c>
      <c r="I15" s="60">
        <v>5.29</v>
      </c>
      <c r="J15" s="61"/>
      <c r="K15" s="62" t="s">
        <v>485</v>
      </c>
      <c r="L15" s="63">
        <v>7.5999999999999998E-2</v>
      </c>
      <c r="M15" s="62" t="s">
        <v>485</v>
      </c>
      <c r="N15" s="62" t="s">
        <v>485</v>
      </c>
      <c r="O15" s="62">
        <v>0.41799999999999998</v>
      </c>
      <c r="P15" s="63"/>
      <c r="Q15" s="63">
        <v>-0.59299999999999997</v>
      </c>
      <c r="R15" s="64"/>
      <c r="S15" s="65"/>
      <c r="T15" s="61">
        <v>-0.158</v>
      </c>
      <c r="U15" s="61">
        <v>0.41799999999999998</v>
      </c>
      <c r="V15" s="61">
        <v>0.65700000000000003</v>
      </c>
      <c r="W15" s="66"/>
      <c r="X15" s="66"/>
      <c r="Y15" s="66"/>
      <c r="Z15" s="66"/>
      <c r="AA15" s="61">
        <v>0.29399999999999998</v>
      </c>
      <c r="AB15" s="64" t="s">
        <v>485</v>
      </c>
      <c r="AC15" s="64" t="s">
        <v>485</v>
      </c>
      <c r="AD15" s="67"/>
      <c r="AE15" s="61">
        <v>16.684999999999999</v>
      </c>
      <c r="AF15" s="64" t="s">
        <v>485</v>
      </c>
      <c r="AG15" s="64" t="s">
        <v>485</v>
      </c>
      <c r="AH15" s="69" t="s">
        <v>485</v>
      </c>
      <c r="AI15" s="49"/>
      <c r="AJ15" s="50"/>
      <c r="AK15" s="51"/>
      <c r="AL15" s="51"/>
      <c r="AM15" s="51"/>
      <c r="AN15" s="51"/>
      <c r="AO15" s="51"/>
      <c r="AP15" s="52"/>
      <c r="AQ15" s="52"/>
      <c r="AR15" s="52"/>
      <c r="AS15" s="52"/>
      <c r="AT15" s="51"/>
      <c r="AU15" s="51"/>
      <c r="AV15" s="51"/>
      <c r="AW15" s="51"/>
      <c r="AX15" s="51"/>
      <c r="AY15" s="51"/>
    </row>
    <row r="16" spans="2:51" ht="15.75">
      <c r="B16" s="70" t="s">
        <v>493</v>
      </c>
      <c r="C16" s="60">
        <v>6.5940000000000003</v>
      </c>
      <c r="D16" s="60">
        <v>6.851</v>
      </c>
      <c r="E16" s="60">
        <v>5.4779999999999998</v>
      </c>
      <c r="F16" s="60">
        <v>0.874</v>
      </c>
      <c r="G16" s="60">
        <v>0.499</v>
      </c>
      <c r="H16" s="60">
        <v>1.373</v>
      </c>
      <c r="I16" s="60">
        <v>5.4409999999999998</v>
      </c>
      <c r="J16" s="61"/>
      <c r="K16" s="62" t="s">
        <v>485</v>
      </c>
      <c r="L16" s="63">
        <v>0.19</v>
      </c>
      <c r="M16" s="62" t="s">
        <v>485</v>
      </c>
      <c r="N16" s="62" t="s">
        <v>485</v>
      </c>
      <c r="O16" s="62">
        <v>0.25700000000000001</v>
      </c>
      <c r="P16" s="63"/>
      <c r="Q16" s="63">
        <v>-0.61699999999999999</v>
      </c>
      <c r="R16" s="64"/>
      <c r="S16" s="65"/>
      <c r="T16" s="61">
        <v>-0.307</v>
      </c>
      <c r="U16" s="61">
        <v>0.25700000000000001</v>
      </c>
      <c r="V16" s="61">
        <v>0.65600000000000003</v>
      </c>
      <c r="W16" s="66"/>
      <c r="X16" s="66"/>
      <c r="Y16" s="66"/>
      <c r="Z16" s="66"/>
      <c r="AA16" s="61">
        <v>0.113</v>
      </c>
      <c r="AB16" s="64" t="s">
        <v>485</v>
      </c>
      <c r="AC16" s="64" t="s">
        <v>485</v>
      </c>
      <c r="AD16" s="67"/>
      <c r="AE16" s="61">
        <v>17.600999999999999</v>
      </c>
      <c r="AF16" s="64" t="s">
        <v>485</v>
      </c>
      <c r="AG16" s="64" t="s">
        <v>485</v>
      </c>
      <c r="AH16" s="69" t="s">
        <v>485</v>
      </c>
      <c r="AI16" s="49"/>
      <c r="AJ16" s="50"/>
      <c r="AK16" s="51"/>
      <c r="AL16" s="51"/>
      <c r="AM16" s="51"/>
      <c r="AN16" s="51"/>
      <c r="AO16" s="51"/>
      <c r="AP16" s="52"/>
      <c r="AQ16" s="52"/>
      <c r="AR16" s="52"/>
      <c r="AS16" s="52"/>
      <c r="AT16" s="51"/>
      <c r="AU16" s="51"/>
      <c r="AV16" s="51"/>
      <c r="AW16" s="51"/>
      <c r="AX16" s="51"/>
      <c r="AY16" s="51"/>
    </row>
    <row r="17" spans="1:51" ht="15.75">
      <c r="A17" s="49"/>
      <c r="B17" s="70" t="s">
        <v>494</v>
      </c>
      <c r="C17" s="60">
        <v>7.04</v>
      </c>
      <c r="D17" s="60">
        <v>7.0019999999999998</v>
      </c>
      <c r="E17" s="60">
        <v>5.6109999999999998</v>
      </c>
      <c r="F17" s="60">
        <v>0.84399999999999997</v>
      </c>
      <c r="G17" s="60">
        <v>0.54700000000000004</v>
      </c>
      <c r="H17" s="60">
        <v>1.391</v>
      </c>
      <c r="I17" s="60">
        <v>5.8029999999999999</v>
      </c>
      <c r="J17" s="61"/>
      <c r="K17" s="62" t="s">
        <v>485</v>
      </c>
      <c r="L17" s="63">
        <v>0.53900000000000003</v>
      </c>
      <c r="M17" s="62" t="s">
        <v>485</v>
      </c>
      <c r="N17" s="62" t="s">
        <v>485</v>
      </c>
      <c r="O17" s="62">
        <v>-3.7999999999999999E-2</v>
      </c>
      <c r="P17" s="63"/>
      <c r="Q17" s="63">
        <v>-0.88200000000000001</v>
      </c>
      <c r="R17" s="64"/>
      <c r="S17" s="65"/>
      <c r="T17" s="61">
        <v>-0.55600000000000005</v>
      </c>
      <c r="U17" s="61">
        <v>-3.7999999999999999E-2</v>
      </c>
      <c r="V17" s="61">
        <v>0.74199999999999999</v>
      </c>
      <c r="W17" s="66"/>
      <c r="X17" s="66"/>
      <c r="Y17" s="66"/>
      <c r="Z17" s="66"/>
      <c r="AA17" s="61">
        <v>-0.108</v>
      </c>
      <c r="AB17" s="64" t="s">
        <v>485</v>
      </c>
      <c r="AC17" s="64" t="s">
        <v>485</v>
      </c>
      <c r="AD17" s="67"/>
      <c r="AE17" s="61">
        <v>19.574000000000002</v>
      </c>
      <c r="AF17" s="64" t="s">
        <v>485</v>
      </c>
      <c r="AG17" s="64" t="s">
        <v>485</v>
      </c>
      <c r="AH17" s="71">
        <v>3.3033033033033039</v>
      </c>
      <c r="AI17" s="49"/>
      <c r="AJ17" s="50"/>
      <c r="AK17" s="51"/>
      <c r="AL17" s="51"/>
      <c r="AM17" s="51"/>
      <c r="AN17" s="51"/>
      <c r="AO17" s="51"/>
      <c r="AP17" s="52"/>
      <c r="AQ17" s="52"/>
      <c r="AR17" s="52"/>
      <c r="AS17" s="52"/>
      <c r="AT17" s="51"/>
      <c r="AU17" s="51"/>
      <c r="AV17" s="51"/>
      <c r="AW17" s="51"/>
      <c r="AX17" s="51"/>
      <c r="AY17" s="51"/>
    </row>
    <row r="18" spans="1:51" ht="15.75">
      <c r="A18" s="49"/>
      <c r="B18" s="70" t="s">
        <v>495</v>
      </c>
      <c r="C18" s="60">
        <v>7.5279999999999996</v>
      </c>
      <c r="D18" s="60">
        <v>7.61</v>
      </c>
      <c r="E18" s="60">
        <v>6.1130000000000004</v>
      </c>
      <c r="F18" s="60">
        <v>0.89900000000000002</v>
      </c>
      <c r="G18" s="60">
        <v>0.59799999999999998</v>
      </c>
      <c r="H18" s="60">
        <v>1.4970000000000001</v>
      </c>
      <c r="I18" s="60">
        <v>6.19</v>
      </c>
      <c r="J18" s="61"/>
      <c r="K18" s="62" t="s">
        <v>485</v>
      </c>
      <c r="L18" s="63">
        <v>0.39100000000000001</v>
      </c>
      <c r="M18" s="62" t="s">
        <v>485</v>
      </c>
      <c r="N18" s="62" t="s">
        <v>485</v>
      </c>
      <c r="O18" s="62">
        <v>8.2000000000000003E-2</v>
      </c>
      <c r="P18" s="63"/>
      <c r="Q18" s="63">
        <v>-0.81699999999999995</v>
      </c>
      <c r="R18" s="64"/>
      <c r="S18" s="65"/>
      <c r="T18" s="61">
        <v>-0.38</v>
      </c>
      <c r="U18" s="61">
        <v>8.2000000000000003E-2</v>
      </c>
      <c r="V18" s="61">
        <v>0.73099999999999998</v>
      </c>
      <c r="W18" s="66"/>
      <c r="X18" s="66"/>
      <c r="Y18" s="66"/>
      <c r="Z18" s="66"/>
      <c r="AA18" s="61">
        <v>3.2000000000000001E-2</v>
      </c>
      <c r="AB18" s="64" t="s">
        <v>485</v>
      </c>
      <c r="AC18" s="64" t="s">
        <v>485</v>
      </c>
      <c r="AD18" s="67"/>
      <c r="AE18" s="61">
        <v>21.161999999999999</v>
      </c>
      <c r="AF18" s="61">
        <v>21.81</v>
      </c>
      <c r="AG18" s="64" t="s">
        <v>485</v>
      </c>
      <c r="AH18" s="71">
        <v>3.5112035112035112</v>
      </c>
      <c r="AI18" s="49"/>
      <c r="AJ18" s="50"/>
      <c r="AK18" s="51"/>
      <c r="AL18" s="51"/>
      <c r="AM18" s="51"/>
      <c r="AN18" s="51"/>
      <c r="AO18" s="51"/>
      <c r="AP18" s="52"/>
      <c r="AQ18" s="52"/>
      <c r="AR18" s="52"/>
      <c r="AS18" s="52"/>
      <c r="AT18" s="51"/>
      <c r="AU18" s="51"/>
      <c r="AV18" s="51"/>
      <c r="AW18" s="51"/>
      <c r="AX18" s="51"/>
      <c r="AY18" s="51"/>
    </row>
    <row r="19" spans="1:51" ht="15.75">
      <c r="A19" s="49"/>
      <c r="B19" s="70" t="s">
        <v>496</v>
      </c>
      <c r="C19" s="60">
        <v>7.9160000000000004</v>
      </c>
      <c r="D19" s="60">
        <v>7.9219999999999997</v>
      </c>
      <c r="E19" s="60">
        <v>6.3879999999999999</v>
      </c>
      <c r="F19" s="60">
        <v>0.89200000000000002</v>
      </c>
      <c r="G19" s="60">
        <v>0.64200000000000002</v>
      </c>
      <c r="H19" s="60">
        <v>1.534</v>
      </c>
      <c r="I19" s="60">
        <v>6.5090000000000003</v>
      </c>
      <c r="J19" s="61"/>
      <c r="K19" s="62" t="s">
        <v>485</v>
      </c>
      <c r="L19" s="63">
        <v>0.501</v>
      </c>
      <c r="M19" s="62" t="s">
        <v>485</v>
      </c>
      <c r="N19" s="62" t="s">
        <v>485</v>
      </c>
      <c r="O19" s="62">
        <v>6.0000000000000001E-3</v>
      </c>
      <c r="P19" s="63"/>
      <c r="Q19" s="63">
        <v>-0.88600000000000001</v>
      </c>
      <c r="R19" s="64"/>
      <c r="S19" s="65"/>
      <c r="T19" s="61">
        <v>-0.46800000000000003</v>
      </c>
      <c r="U19" s="61">
        <v>6.0000000000000001E-3</v>
      </c>
      <c r="V19" s="61">
        <v>0.76900000000000002</v>
      </c>
      <c r="W19" s="66"/>
      <c r="X19" s="66"/>
      <c r="Y19" s="66"/>
      <c r="Z19" s="66"/>
      <c r="AA19" s="61">
        <v>-9.8000000000000004E-2</v>
      </c>
      <c r="AB19" s="64" t="s">
        <v>485</v>
      </c>
      <c r="AC19" s="64" t="s">
        <v>485</v>
      </c>
      <c r="AD19" s="67"/>
      <c r="AE19" s="61">
        <v>22.509</v>
      </c>
      <c r="AF19" s="61">
        <v>23.004000000000001</v>
      </c>
      <c r="AG19" s="64" t="s">
        <v>485</v>
      </c>
      <c r="AH19" s="71">
        <v>3.6729036729036735</v>
      </c>
      <c r="AI19" s="49"/>
      <c r="AJ19" s="50"/>
      <c r="AK19" s="51"/>
      <c r="AL19" s="51"/>
      <c r="AM19" s="51"/>
      <c r="AN19" s="51"/>
      <c r="AO19" s="51"/>
      <c r="AP19" s="52"/>
      <c r="AQ19" s="52"/>
      <c r="AR19" s="52"/>
      <c r="AS19" s="52"/>
      <c r="AT19" s="51"/>
      <c r="AU19" s="51"/>
      <c r="AV19" s="51"/>
      <c r="AW19" s="51"/>
      <c r="AX19" s="51"/>
      <c r="AY19" s="51"/>
    </row>
    <row r="20" spans="1:51" ht="15.75">
      <c r="A20" s="49"/>
      <c r="B20" s="70" t="s">
        <v>497</v>
      </c>
      <c r="C20" s="60">
        <v>8.3190000000000008</v>
      </c>
      <c r="D20" s="60">
        <v>8.39</v>
      </c>
      <c r="E20" s="60">
        <v>6.766</v>
      </c>
      <c r="F20" s="60">
        <v>0.95099999999999996</v>
      </c>
      <c r="G20" s="60">
        <v>0.67300000000000004</v>
      </c>
      <c r="H20" s="60">
        <v>1.6240000000000001</v>
      </c>
      <c r="I20" s="60">
        <v>6.8920000000000003</v>
      </c>
      <c r="J20" s="61"/>
      <c r="K20" s="62" t="s">
        <v>485</v>
      </c>
      <c r="L20" s="63">
        <v>0.54600000000000004</v>
      </c>
      <c r="M20" s="62" t="s">
        <v>485</v>
      </c>
      <c r="N20" s="62" t="s">
        <v>485</v>
      </c>
      <c r="O20" s="62">
        <v>7.0999999999999994E-2</v>
      </c>
      <c r="P20" s="63"/>
      <c r="Q20" s="63">
        <v>-0.88</v>
      </c>
      <c r="R20" s="64"/>
      <c r="S20" s="65"/>
      <c r="T20" s="61">
        <v>-0.52</v>
      </c>
      <c r="U20" s="61">
        <v>7.0999999999999994E-2</v>
      </c>
      <c r="V20" s="61">
        <v>0.79300000000000004</v>
      </c>
      <c r="W20" s="66"/>
      <c r="X20" s="66"/>
      <c r="Y20" s="66"/>
      <c r="Z20" s="66"/>
      <c r="AA20" s="61">
        <v>-0.17</v>
      </c>
      <c r="AB20" s="64" t="s">
        <v>485</v>
      </c>
      <c r="AC20" s="64" t="s">
        <v>485</v>
      </c>
      <c r="AD20" s="67"/>
      <c r="AE20" s="61">
        <v>23.335000000000001</v>
      </c>
      <c r="AF20" s="61">
        <v>23.957000000000001</v>
      </c>
      <c r="AG20" s="64" t="s">
        <v>485</v>
      </c>
      <c r="AH20" s="71">
        <v>3.7884037884037882</v>
      </c>
      <c r="AI20" s="49"/>
      <c r="AJ20" s="50"/>
      <c r="AK20" s="51"/>
      <c r="AL20" s="51"/>
      <c r="AM20" s="51"/>
      <c r="AN20" s="51"/>
      <c r="AO20" s="51"/>
      <c r="AP20" s="52"/>
      <c r="AQ20" s="52"/>
      <c r="AR20" s="52"/>
      <c r="AS20" s="52"/>
      <c r="AT20" s="51"/>
      <c r="AU20" s="51"/>
      <c r="AV20" s="51"/>
      <c r="AW20" s="51"/>
      <c r="AX20" s="51"/>
      <c r="AY20" s="51"/>
    </row>
    <row r="21" spans="1:51" ht="15.75">
      <c r="A21" s="49"/>
      <c r="B21" s="70" t="s">
        <v>498</v>
      </c>
      <c r="C21" s="60">
        <v>8.3719999999999999</v>
      </c>
      <c r="D21" s="60">
        <v>8.9410000000000007</v>
      </c>
      <c r="E21" s="60">
        <v>7.2320000000000002</v>
      </c>
      <c r="F21" s="60">
        <v>1.024</v>
      </c>
      <c r="G21" s="60">
        <v>0.68500000000000005</v>
      </c>
      <c r="H21" s="60">
        <v>1.7090000000000001</v>
      </c>
      <c r="I21" s="60">
        <v>7.0720000000000001</v>
      </c>
      <c r="J21" s="61"/>
      <c r="K21" s="62" t="s">
        <v>485</v>
      </c>
      <c r="L21" s="63">
        <v>0.36299999999999999</v>
      </c>
      <c r="M21" s="62" t="s">
        <v>485</v>
      </c>
      <c r="N21" s="62" t="s">
        <v>485</v>
      </c>
      <c r="O21" s="62">
        <v>0.56899999999999995</v>
      </c>
      <c r="P21" s="63"/>
      <c r="Q21" s="63">
        <v>-0.45500000000000002</v>
      </c>
      <c r="R21" s="64"/>
      <c r="S21" s="65"/>
      <c r="T21" s="61">
        <v>-0.28199999999999997</v>
      </c>
      <c r="U21" s="61">
        <v>0.56899999999999995</v>
      </c>
      <c r="V21" s="61">
        <v>0.81899999999999995</v>
      </c>
      <c r="W21" s="66"/>
      <c r="X21" s="66"/>
      <c r="Y21" s="66"/>
      <c r="Z21" s="66"/>
      <c r="AA21" s="61">
        <v>5.7000000000000002E-2</v>
      </c>
      <c r="AB21" s="64" t="s">
        <v>485</v>
      </c>
      <c r="AC21" s="64" t="s">
        <v>485</v>
      </c>
      <c r="AD21" s="67"/>
      <c r="AE21" s="61">
        <v>24.873000000000001</v>
      </c>
      <c r="AF21" s="61">
        <v>25.789000000000001</v>
      </c>
      <c r="AG21" s="64" t="s">
        <v>485</v>
      </c>
      <c r="AH21" s="71">
        <v>3.7884037884037882</v>
      </c>
      <c r="AI21" s="49"/>
      <c r="AJ21" s="50"/>
      <c r="AK21" s="51"/>
      <c r="AL21" s="51"/>
      <c r="AM21" s="51"/>
      <c r="AN21" s="51"/>
      <c r="AO21" s="51"/>
      <c r="AP21" s="52"/>
      <c r="AQ21" s="52"/>
      <c r="AR21" s="52"/>
      <c r="AS21" s="52"/>
      <c r="AT21" s="51"/>
      <c r="AU21" s="51"/>
      <c r="AV21" s="51"/>
      <c r="AW21" s="51"/>
      <c r="AX21" s="51"/>
      <c r="AY21" s="51"/>
    </row>
    <row r="22" spans="1:51" ht="15.75">
      <c r="A22" s="49"/>
      <c r="B22" s="70" t="s">
        <v>499</v>
      </c>
      <c r="C22" s="60">
        <v>8.9130000000000003</v>
      </c>
      <c r="D22" s="60">
        <v>9.5749999999999993</v>
      </c>
      <c r="E22" s="60">
        <v>7.7670000000000003</v>
      </c>
      <c r="F22" s="60">
        <v>1.0660000000000001</v>
      </c>
      <c r="G22" s="60">
        <v>0.74199999999999999</v>
      </c>
      <c r="H22" s="60">
        <v>1.8080000000000001</v>
      </c>
      <c r="I22" s="60">
        <v>7.4290000000000003</v>
      </c>
      <c r="J22" s="61"/>
      <c r="K22" s="62" t="s">
        <v>485</v>
      </c>
      <c r="L22" s="63">
        <v>0.36699999999999999</v>
      </c>
      <c r="M22" s="62" t="s">
        <v>485</v>
      </c>
      <c r="N22" s="62" t="s">
        <v>485</v>
      </c>
      <c r="O22" s="62">
        <v>0.66200000000000003</v>
      </c>
      <c r="P22" s="63"/>
      <c r="Q22" s="63">
        <v>-0.40400000000000003</v>
      </c>
      <c r="R22" s="64"/>
      <c r="S22" s="65"/>
      <c r="T22" s="61">
        <v>-0.21099999999999999</v>
      </c>
      <c r="U22" s="61">
        <v>0.66200000000000003</v>
      </c>
      <c r="V22" s="61">
        <v>0.88700000000000001</v>
      </c>
      <c r="W22" s="66"/>
      <c r="X22" s="66"/>
      <c r="Y22" s="66"/>
      <c r="Z22" s="66"/>
      <c r="AA22" s="61">
        <v>0.16800000000000001</v>
      </c>
      <c r="AB22" s="64" t="s">
        <v>485</v>
      </c>
      <c r="AC22" s="64" t="s">
        <v>485</v>
      </c>
      <c r="AD22" s="67"/>
      <c r="AE22" s="61">
        <v>26.638999999999999</v>
      </c>
      <c r="AF22" s="61">
        <v>27.582999999999998</v>
      </c>
      <c r="AG22" s="64" t="s">
        <v>485</v>
      </c>
      <c r="AH22" s="71">
        <v>3.8346038346038345</v>
      </c>
      <c r="AI22" s="49"/>
      <c r="AJ22" s="50"/>
      <c r="AK22" s="51"/>
      <c r="AL22" s="51"/>
      <c r="AM22" s="51"/>
      <c r="AN22" s="51"/>
      <c r="AO22" s="51"/>
      <c r="AP22" s="52"/>
      <c r="AQ22" s="52"/>
      <c r="AR22" s="52"/>
      <c r="AS22" s="52"/>
      <c r="AT22" s="51"/>
      <c r="AU22" s="51"/>
      <c r="AV22" s="51"/>
      <c r="AW22" s="51"/>
      <c r="AX22" s="51"/>
      <c r="AY22" s="51"/>
    </row>
    <row r="23" spans="1:51" ht="15.75">
      <c r="A23" s="49"/>
      <c r="B23" s="70" t="s">
        <v>500</v>
      </c>
      <c r="C23" s="60">
        <v>9.98</v>
      </c>
      <c r="D23" s="60">
        <v>10.59</v>
      </c>
      <c r="E23" s="60">
        <v>8.4860000000000007</v>
      </c>
      <c r="F23" s="60">
        <v>1.2390000000000001</v>
      </c>
      <c r="G23" s="60">
        <v>0.86499999999999999</v>
      </c>
      <c r="H23" s="60">
        <v>2.1040000000000001</v>
      </c>
      <c r="I23" s="60">
        <v>8.4</v>
      </c>
      <c r="J23" s="61"/>
      <c r="K23" s="62" t="s">
        <v>485</v>
      </c>
      <c r="L23" s="63">
        <v>0.50800000000000001</v>
      </c>
      <c r="M23" s="62" t="s">
        <v>485</v>
      </c>
      <c r="N23" s="62" t="s">
        <v>485</v>
      </c>
      <c r="O23" s="62">
        <v>0.61</v>
      </c>
      <c r="P23" s="63"/>
      <c r="Q23" s="63">
        <v>-0.629</v>
      </c>
      <c r="R23" s="64"/>
      <c r="S23" s="65"/>
      <c r="T23" s="61">
        <v>-0.47</v>
      </c>
      <c r="U23" s="61">
        <v>0.61</v>
      </c>
      <c r="V23" s="61">
        <v>0.94899999999999995</v>
      </c>
      <c r="W23" s="66"/>
      <c r="X23" s="66"/>
      <c r="Y23" s="66"/>
      <c r="Z23" s="66"/>
      <c r="AA23" s="61">
        <v>4.7E-2</v>
      </c>
      <c r="AB23" s="64" t="s">
        <v>485</v>
      </c>
      <c r="AC23" s="64" t="s">
        <v>485</v>
      </c>
      <c r="AD23" s="67"/>
      <c r="AE23" s="61">
        <v>28.140999999999998</v>
      </c>
      <c r="AF23" s="61">
        <v>28.843</v>
      </c>
      <c r="AG23" s="64" t="s">
        <v>485</v>
      </c>
      <c r="AH23" s="71">
        <v>3.9963039963039972</v>
      </c>
      <c r="AI23" s="49"/>
      <c r="AJ23" s="50"/>
      <c r="AK23" s="51"/>
      <c r="AL23" s="51"/>
      <c r="AM23" s="51"/>
      <c r="AN23" s="51"/>
      <c r="AO23" s="51"/>
      <c r="AP23" s="52"/>
      <c r="AQ23" s="52"/>
      <c r="AR23" s="52"/>
      <c r="AS23" s="52"/>
      <c r="AT23" s="51"/>
      <c r="AU23" s="51"/>
      <c r="AV23" s="51"/>
      <c r="AW23" s="51"/>
      <c r="AX23" s="51"/>
      <c r="AY23" s="51"/>
    </row>
    <row r="24" spans="1:51" ht="15.75">
      <c r="A24" s="49"/>
      <c r="B24" s="70" t="s">
        <v>501</v>
      </c>
      <c r="C24" s="60">
        <v>10.449</v>
      </c>
      <c r="D24" s="60">
        <v>10.987</v>
      </c>
      <c r="E24" s="60">
        <v>8.8079999999999998</v>
      </c>
      <c r="F24" s="60">
        <v>1.258</v>
      </c>
      <c r="G24" s="60">
        <v>0.92100000000000004</v>
      </c>
      <c r="H24" s="60">
        <v>2.1789999999999998</v>
      </c>
      <c r="I24" s="60">
        <v>8.7309999999999999</v>
      </c>
      <c r="J24" s="61"/>
      <c r="K24" s="62" t="s">
        <v>485</v>
      </c>
      <c r="L24" s="63">
        <v>0.55000000000000004</v>
      </c>
      <c r="M24" s="62" t="s">
        <v>485</v>
      </c>
      <c r="N24" s="62" t="s">
        <v>485</v>
      </c>
      <c r="O24" s="62">
        <v>0.53800000000000003</v>
      </c>
      <c r="P24" s="63"/>
      <c r="Q24" s="63">
        <v>-0.72</v>
      </c>
      <c r="R24" s="64"/>
      <c r="S24" s="65"/>
      <c r="T24" s="61">
        <v>-0.38400000000000001</v>
      </c>
      <c r="U24" s="61">
        <v>0.64600000000000002</v>
      </c>
      <c r="V24" s="61">
        <v>0.93500000000000005</v>
      </c>
      <c r="W24" s="66"/>
      <c r="X24" s="66"/>
      <c r="Y24" s="66"/>
      <c r="Z24" s="66"/>
      <c r="AA24" s="61">
        <v>6.7000000000000004E-2</v>
      </c>
      <c r="AB24" s="64" t="s">
        <v>485</v>
      </c>
      <c r="AC24" s="64" t="s">
        <v>485</v>
      </c>
      <c r="AD24" s="67"/>
      <c r="AE24" s="61">
        <v>29.45</v>
      </c>
      <c r="AF24" s="61">
        <v>30.382999999999999</v>
      </c>
      <c r="AG24" s="64" t="s">
        <v>485</v>
      </c>
      <c r="AH24" s="71">
        <v>4.111804111804112</v>
      </c>
      <c r="AI24" s="49"/>
      <c r="AJ24" s="50"/>
      <c r="AK24" s="51"/>
      <c r="AL24" s="51"/>
      <c r="AM24" s="51"/>
      <c r="AN24" s="51"/>
      <c r="AO24" s="51"/>
      <c r="AP24" s="52"/>
      <c r="AQ24" s="52"/>
      <c r="AR24" s="52"/>
      <c r="AS24" s="52"/>
      <c r="AT24" s="51"/>
      <c r="AU24" s="51"/>
      <c r="AV24" s="51"/>
      <c r="AW24" s="51"/>
      <c r="AX24" s="51"/>
      <c r="AY24" s="51"/>
    </row>
    <row r="25" spans="1:51" ht="15.75">
      <c r="A25" s="49"/>
      <c r="B25" s="70" t="s">
        <v>502</v>
      </c>
      <c r="C25" s="60">
        <v>11.055999999999999</v>
      </c>
      <c r="D25" s="60">
        <v>11.919</v>
      </c>
      <c r="E25" s="60">
        <v>9.15</v>
      </c>
      <c r="F25" s="60">
        <v>1.7669999999999999</v>
      </c>
      <c r="G25" s="60">
        <v>1.002</v>
      </c>
      <c r="H25" s="60">
        <v>2.7690000000000001</v>
      </c>
      <c r="I25" s="60">
        <v>9.16</v>
      </c>
      <c r="J25" s="61"/>
      <c r="K25" s="62" t="s">
        <v>485</v>
      </c>
      <c r="L25" s="63">
        <v>0.28899999999999998</v>
      </c>
      <c r="M25" s="62" t="s">
        <v>485</v>
      </c>
      <c r="N25" s="62" t="s">
        <v>485</v>
      </c>
      <c r="O25" s="62">
        <v>0.86299999999999999</v>
      </c>
      <c r="P25" s="63"/>
      <c r="Q25" s="63">
        <v>-0.90400000000000003</v>
      </c>
      <c r="R25" s="64"/>
      <c r="S25" s="65"/>
      <c r="T25" s="61">
        <v>0.30299999999999999</v>
      </c>
      <c r="U25" s="61">
        <v>0.98899999999999999</v>
      </c>
      <c r="V25" s="61">
        <v>0.98399999999999999</v>
      </c>
      <c r="W25" s="66"/>
      <c r="X25" s="66"/>
      <c r="Y25" s="66"/>
      <c r="Z25" s="66"/>
      <c r="AA25" s="61">
        <v>0.77300000000000002</v>
      </c>
      <c r="AB25" s="64" t="s">
        <v>485</v>
      </c>
      <c r="AC25" s="64" t="s">
        <v>485</v>
      </c>
      <c r="AD25" s="67"/>
      <c r="AE25" s="61">
        <v>31.920999999999999</v>
      </c>
      <c r="AF25" s="61">
        <v>33.341000000000001</v>
      </c>
      <c r="AG25" s="64" t="s">
        <v>485</v>
      </c>
      <c r="AH25" s="71">
        <v>4.2042042042042045</v>
      </c>
      <c r="AI25" s="49"/>
      <c r="AJ25" s="50"/>
      <c r="AK25" s="51"/>
      <c r="AL25" s="51"/>
      <c r="AM25" s="51"/>
      <c r="AN25" s="51"/>
      <c r="AO25" s="51"/>
      <c r="AP25" s="52"/>
      <c r="AQ25" s="52"/>
      <c r="AR25" s="52"/>
      <c r="AS25" s="52"/>
      <c r="AT25" s="51"/>
      <c r="AU25" s="51"/>
      <c r="AV25" s="51"/>
      <c r="AW25" s="51"/>
      <c r="AX25" s="51"/>
      <c r="AY25" s="51"/>
    </row>
    <row r="26" spans="1:51" ht="15.75">
      <c r="A26" s="49"/>
      <c r="B26" s="70" t="s">
        <v>503</v>
      </c>
      <c r="C26" s="60">
        <v>12.257</v>
      </c>
      <c r="D26" s="60">
        <v>12.907999999999999</v>
      </c>
      <c r="E26" s="60">
        <v>9.7240000000000002</v>
      </c>
      <c r="F26" s="60">
        <v>2.0960000000000001</v>
      </c>
      <c r="G26" s="60">
        <v>1.0880000000000001</v>
      </c>
      <c r="H26" s="60">
        <v>3.1840000000000002</v>
      </c>
      <c r="I26" s="60">
        <v>10.137</v>
      </c>
      <c r="J26" s="61"/>
      <c r="K26" s="62" t="s">
        <v>485</v>
      </c>
      <c r="L26" s="63">
        <v>0.53900000000000003</v>
      </c>
      <c r="M26" s="62" t="s">
        <v>485</v>
      </c>
      <c r="N26" s="62" t="s">
        <v>485</v>
      </c>
      <c r="O26" s="62">
        <v>0.65100000000000002</v>
      </c>
      <c r="P26" s="63"/>
      <c r="Q26" s="63">
        <v>-1.4450000000000001</v>
      </c>
      <c r="R26" s="64"/>
      <c r="S26" s="65"/>
      <c r="T26" s="61">
        <v>0.32600000000000001</v>
      </c>
      <c r="U26" s="61">
        <v>0.91400000000000003</v>
      </c>
      <c r="V26" s="61">
        <v>0.98599999999999999</v>
      </c>
      <c r="W26" s="66"/>
      <c r="X26" s="66"/>
      <c r="Y26" s="66"/>
      <c r="Z26" s="66"/>
      <c r="AA26" s="61">
        <v>3.1E-2</v>
      </c>
      <c r="AB26" s="64" t="s">
        <v>485</v>
      </c>
      <c r="AC26" s="64" t="s">
        <v>485</v>
      </c>
      <c r="AD26" s="67"/>
      <c r="AE26" s="61">
        <v>34.854999999999997</v>
      </c>
      <c r="AF26" s="61">
        <v>36.161999999999999</v>
      </c>
      <c r="AG26" s="64" t="s">
        <v>485</v>
      </c>
      <c r="AH26" s="71">
        <v>4.3890043890043886</v>
      </c>
      <c r="AI26" s="49"/>
      <c r="AJ26" s="50"/>
      <c r="AK26" s="51"/>
      <c r="AL26" s="51"/>
      <c r="AM26" s="51"/>
      <c r="AN26" s="51"/>
      <c r="AO26" s="51"/>
      <c r="AP26" s="52"/>
      <c r="AQ26" s="52"/>
      <c r="AR26" s="52"/>
      <c r="AS26" s="52"/>
      <c r="AT26" s="51"/>
      <c r="AU26" s="51"/>
      <c r="AV26" s="51"/>
      <c r="AW26" s="51"/>
      <c r="AX26" s="51"/>
      <c r="AY26" s="51"/>
    </row>
    <row r="27" spans="1:51" ht="15.75">
      <c r="A27" s="72"/>
      <c r="B27" s="73" t="s">
        <v>504</v>
      </c>
      <c r="C27" s="60">
        <v>13.846</v>
      </c>
      <c r="D27" s="60">
        <v>14.417</v>
      </c>
      <c r="E27" s="60">
        <v>10.965999999999999</v>
      </c>
      <c r="F27" s="60">
        <v>2.2509999999999999</v>
      </c>
      <c r="G27" s="60">
        <v>1.2</v>
      </c>
      <c r="H27" s="60">
        <v>3.4510000000000001</v>
      </c>
      <c r="I27" s="60">
        <v>11.497999999999999</v>
      </c>
      <c r="J27" s="61"/>
      <c r="K27" s="62" t="s">
        <v>485</v>
      </c>
      <c r="L27" s="63">
        <v>0.66200000000000003</v>
      </c>
      <c r="M27" s="62" t="s">
        <v>485</v>
      </c>
      <c r="N27" s="62" t="s">
        <v>485</v>
      </c>
      <c r="O27" s="62">
        <v>0.57099999999999995</v>
      </c>
      <c r="P27" s="63"/>
      <c r="Q27" s="63">
        <v>-1.68</v>
      </c>
      <c r="R27" s="64"/>
      <c r="S27" s="61"/>
      <c r="T27" s="61">
        <v>0.46899999999999997</v>
      </c>
      <c r="U27" s="61">
        <v>0.92200000000000004</v>
      </c>
      <c r="V27" s="61">
        <v>1.014</v>
      </c>
      <c r="W27" s="60"/>
      <c r="X27" s="60"/>
      <c r="Y27" s="60"/>
      <c r="Z27" s="60"/>
      <c r="AA27" s="61">
        <v>0.45700000000000002</v>
      </c>
      <c r="AB27" s="64" t="s">
        <v>485</v>
      </c>
      <c r="AC27" s="64" t="s">
        <v>485</v>
      </c>
      <c r="AD27" s="67"/>
      <c r="AE27" s="61">
        <v>37.460999999999999</v>
      </c>
      <c r="AF27" s="61">
        <v>38.753999999999998</v>
      </c>
      <c r="AG27" s="64" t="s">
        <v>485</v>
      </c>
      <c r="AH27" s="71">
        <v>4.6200046200046208</v>
      </c>
      <c r="AI27" s="49"/>
      <c r="AJ27" s="74"/>
      <c r="AK27" s="51"/>
      <c r="AL27" s="51"/>
      <c r="AM27" s="75"/>
      <c r="AN27" s="75"/>
      <c r="AO27" s="75"/>
      <c r="AP27" s="76"/>
      <c r="AQ27" s="76"/>
      <c r="AR27" s="76"/>
      <c r="AS27" s="76"/>
      <c r="AT27" s="77"/>
      <c r="AU27" s="51"/>
      <c r="AV27" s="51"/>
      <c r="AW27" s="51"/>
      <c r="AX27" s="78"/>
      <c r="AY27" s="78"/>
    </row>
    <row r="28" spans="1:51" ht="15.75">
      <c r="A28" s="72"/>
      <c r="B28" s="73" t="s">
        <v>505</v>
      </c>
      <c r="C28" s="60">
        <v>15.037000000000001</v>
      </c>
      <c r="D28" s="60">
        <v>15.994</v>
      </c>
      <c r="E28" s="60">
        <v>11.958</v>
      </c>
      <c r="F28" s="60">
        <v>2.6970000000000001</v>
      </c>
      <c r="G28" s="60">
        <v>1.339</v>
      </c>
      <c r="H28" s="60">
        <v>4.0359999999999996</v>
      </c>
      <c r="I28" s="60">
        <v>12.541</v>
      </c>
      <c r="J28" s="61"/>
      <c r="K28" s="62" t="s">
        <v>485</v>
      </c>
      <c r="L28" s="63">
        <v>0.38</v>
      </c>
      <c r="M28" s="62" t="s">
        <v>485</v>
      </c>
      <c r="N28" s="62" t="s">
        <v>485</v>
      </c>
      <c r="O28" s="62">
        <v>0.95699999999999996</v>
      </c>
      <c r="P28" s="63"/>
      <c r="Q28" s="63">
        <v>-1.74</v>
      </c>
      <c r="R28" s="64"/>
      <c r="S28" s="61"/>
      <c r="T28" s="61">
        <v>0.74299999999999999</v>
      </c>
      <c r="U28" s="61">
        <v>1.1659999999999999</v>
      </c>
      <c r="V28" s="61">
        <v>1.115</v>
      </c>
      <c r="W28" s="60"/>
      <c r="X28" s="60"/>
      <c r="Y28" s="60"/>
      <c r="Z28" s="60"/>
      <c r="AA28" s="61">
        <v>3.2000000000000001E-2</v>
      </c>
      <c r="AB28" s="64" t="s">
        <v>485</v>
      </c>
      <c r="AC28" s="64" t="s">
        <v>485</v>
      </c>
      <c r="AD28" s="67"/>
      <c r="AE28" s="61">
        <v>39.948999999999998</v>
      </c>
      <c r="AF28" s="61">
        <v>41.146000000000001</v>
      </c>
      <c r="AG28" s="64" t="s">
        <v>485</v>
      </c>
      <c r="AH28" s="71">
        <v>4.8510048510048511</v>
      </c>
      <c r="AI28" s="49"/>
      <c r="AJ28" s="74"/>
      <c r="AK28" s="51"/>
      <c r="AL28" s="51"/>
      <c r="AM28" s="75"/>
      <c r="AN28" s="75"/>
      <c r="AO28" s="75"/>
      <c r="AP28" s="79"/>
      <c r="AQ28" s="79"/>
      <c r="AR28" s="79"/>
      <c r="AS28" s="79"/>
      <c r="AT28" s="77"/>
      <c r="AU28" s="51"/>
      <c r="AV28" s="51"/>
      <c r="AW28" s="51"/>
      <c r="AX28" s="78"/>
      <c r="AY28" s="78"/>
    </row>
    <row r="29" spans="1:51" ht="15.75">
      <c r="A29" s="72"/>
      <c r="B29" s="73" t="s">
        <v>506</v>
      </c>
      <c r="C29" s="60">
        <v>16.614999999999998</v>
      </c>
      <c r="D29" s="60">
        <v>18.251999999999999</v>
      </c>
      <c r="E29" s="60">
        <v>13.419</v>
      </c>
      <c r="F29" s="60">
        <v>3.3860000000000001</v>
      </c>
      <c r="G29" s="60">
        <v>1.4470000000000001</v>
      </c>
      <c r="H29" s="60">
        <v>4.8330000000000002</v>
      </c>
      <c r="I29" s="60">
        <v>13.861000000000001</v>
      </c>
      <c r="J29" s="61"/>
      <c r="K29" s="62" t="s">
        <v>485</v>
      </c>
      <c r="L29" s="63">
        <v>-7.8E-2</v>
      </c>
      <c r="M29" s="62" t="s">
        <v>485</v>
      </c>
      <c r="N29" s="62" t="s">
        <v>485</v>
      </c>
      <c r="O29" s="62">
        <v>1.637</v>
      </c>
      <c r="P29" s="63"/>
      <c r="Q29" s="63">
        <v>-1.7490000000000001</v>
      </c>
      <c r="R29" s="64"/>
      <c r="S29" s="61"/>
      <c r="T29" s="61">
        <v>1.3740000000000001</v>
      </c>
      <c r="U29" s="61">
        <v>2.0209999999999999</v>
      </c>
      <c r="V29" s="61">
        <v>1.224</v>
      </c>
      <c r="W29" s="60"/>
      <c r="X29" s="60"/>
      <c r="Y29" s="60"/>
      <c r="Z29" s="60"/>
      <c r="AA29" s="61">
        <v>0.63100000000000001</v>
      </c>
      <c r="AB29" s="64" t="s">
        <v>485</v>
      </c>
      <c r="AC29" s="64" t="s">
        <v>485</v>
      </c>
      <c r="AD29" s="67"/>
      <c r="AE29" s="61">
        <v>42.503999999999998</v>
      </c>
      <c r="AF29" s="61">
        <v>44.387</v>
      </c>
      <c r="AG29" s="64" t="s">
        <v>485</v>
      </c>
      <c r="AH29" s="71">
        <v>5.0127050127050135</v>
      </c>
      <c r="AI29" s="49"/>
      <c r="AJ29" s="74"/>
      <c r="AK29" s="51"/>
      <c r="AL29" s="51"/>
      <c r="AM29" s="75"/>
      <c r="AN29" s="75"/>
      <c r="AO29" s="75"/>
      <c r="AP29" s="79"/>
      <c r="AQ29" s="79"/>
      <c r="AR29" s="79"/>
      <c r="AS29" s="79"/>
      <c r="AT29" s="77"/>
      <c r="AU29" s="51"/>
      <c r="AV29" s="51"/>
      <c r="AW29" s="51"/>
      <c r="AX29" s="78"/>
      <c r="AY29" s="78"/>
    </row>
    <row r="30" spans="1:51" ht="15.75">
      <c r="A30" s="72"/>
      <c r="B30" s="73" t="s">
        <v>507</v>
      </c>
      <c r="C30" s="60">
        <v>19.082999999999998</v>
      </c>
      <c r="D30" s="60">
        <v>19.353000000000002</v>
      </c>
      <c r="E30" s="60">
        <v>14.465</v>
      </c>
      <c r="F30" s="60">
        <v>3.2320000000000002</v>
      </c>
      <c r="G30" s="60">
        <v>1.6559999999999999</v>
      </c>
      <c r="H30" s="60">
        <v>4.8879999999999999</v>
      </c>
      <c r="I30" s="60">
        <v>15.814</v>
      </c>
      <c r="J30" s="61"/>
      <c r="K30" s="62" t="s">
        <v>485</v>
      </c>
      <c r="L30" s="63">
        <v>1.3879999999999999</v>
      </c>
      <c r="M30" s="62" t="s">
        <v>485</v>
      </c>
      <c r="N30" s="62" t="s">
        <v>485</v>
      </c>
      <c r="O30" s="62">
        <v>0.27</v>
      </c>
      <c r="P30" s="63"/>
      <c r="Q30" s="63">
        <v>-2.9620000000000002</v>
      </c>
      <c r="R30" s="64"/>
      <c r="S30" s="61"/>
      <c r="T30" s="61">
        <v>-0.29199999999999998</v>
      </c>
      <c r="U30" s="61">
        <v>0.376</v>
      </c>
      <c r="V30" s="61">
        <v>1.302</v>
      </c>
      <c r="W30" s="60"/>
      <c r="X30" s="60"/>
      <c r="Y30" s="60"/>
      <c r="Z30" s="60"/>
      <c r="AA30" s="61">
        <v>-0.313</v>
      </c>
      <c r="AB30" s="64" t="s">
        <v>485</v>
      </c>
      <c r="AC30" s="64" t="s">
        <v>485</v>
      </c>
      <c r="AD30" s="67"/>
      <c r="AE30" s="61">
        <v>46.762999999999998</v>
      </c>
      <c r="AF30" s="61">
        <v>48.695</v>
      </c>
      <c r="AG30" s="64" t="s">
        <v>485</v>
      </c>
      <c r="AH30" s="71">
        <v>5.2206052206052211</v>
      </c>
      <c r="AI30" s="49"/>
      <c r="AJ30" s="74"/>
      <c r="AK30" s="51"/>
      <c r="AL30" s="51"/>
      <c r="AM30" s="75"/>
      <c r="AN30" s="75"/>
      <c r="AO30" s="75"/>
      <c r="AP30" s="79"/>
      <c r="AQ30" s="79"/>
      <c r="AR30" s="79"/>
      <c r="AS30" s="79"/>
      <c r="AT30" s="77"/>
      <c r="AU30" s="51"/>
      <c r="AV30" s="51"/>
      <c r="AW30" s="51"/>
      <c r="AX30" s="78"/>
      <c r="AY30" s="78"/>
    </row>
    <row r="31" spans="1:51" ht="15.75">
      <c r="A31" s="72"/>
      <c r="B31" s="73" t="s">
        <v>508</v>
      </c>
      <c r="C31" s="60">
        <v>21.279</v>
      </c>
      <c r="D31" s="60">
        <v>20.407</v>
      </c>
      <c r="E31" s="60">
        <v>15.404999999999999</v>
      </c>
      <c r="F31" s="60">
        <v>3.137</v>
      </c>
      <c r="G31" s="60">
        <v>1.865</v>
      </c>
      <c r="H31" s="60">
        <v>5.0019999999999998</v>
      </c>
      <c r="I31" s="60">
        <v>17.863</v>
      </c>
      <c r="J31" s="61"/>
      <c r="K31" s="62" t="s">
        <v>485</v>
      </c>
      <c r="L31" s="63">
        <v>2.6139999999999999</v>
      </c>
      <c r="M31" s="62" t="s">
        <v>485</v>
      </c>
      <c r="N31" s="62" t="s">
        <v>485</v>
      </c>
      <c r="O31" s="62">
        <v>-0.872</v>
      </c>
      <c r="P31" s="63"/>
      <c r="Q31" s="63">
        <v>-4.0090000000000003</v>
      </c>
      <c r="R31" s="64"/>
      <c r="S31" s="61"/>
      <c r="T31" s="61">
        <v>-1.081</v>
      </c>
      <c r="U31" s="61">
        <v>-0.76800000000000002</v>
      </c>
      <c r="V31" s="61">
        <v>1.3140000000000001</v>
      </c>
      <c r="W31" s="60"/>
      <c r="X31" s="60"/>
      <c r="Y31" s="60"/>
      <c r="Z31" s="60"/>
      <c r="AA31" s="61">
        <v>-0.189</v>
      </c>
      <c r="AB31" s="64" t="s">
        <v>485</v>
      </c>
      <c r="AC31" s="64" t="s">
        <v>485</v>
      </c>
      <c r="AD31" s="67"/>
      <c r="AE31" s="61">
        <v>50.843000000000004</v>
      </c>
      <c r="AF31" s="61">
        <v>54.093000000000004</v>
      </c>
      <c r="AG31" s="64" t="s">
        <v>485</v>
      </c>
      <c r="AH31" s="71">
        <v>5.6133056133056138</v>
      </c>
      <c r="AI31" s="49"/>
      <c r="AJ31" s="74"/>
      <c r="AK31" s="51"/>
      <c r="AL31" s="51"/>
      <c r="AM31" s="75"/>
      <c r="AN31" s="75"/>
      <c r="AO31" s="75"/>
      <c r="AP31" s="79"/>
      <c r="AQ31" s="79"/>
      <c r="AR31" s="79"/>
      <c r="AS31" s="79"/>
      <c r="AT31" s="77"/>
      <c r="AU31" s="51"/>
      <c r="AV31" s="51"/>
      <c r="AW31" s="51"/>
      <c r="AX31" s="78"/>
      <c r="AY31" s="78"/>
    </row>
    <row r="32" spans="1:51" ht="15.75">
      <c r="A32" s="80"/>
      <c r="B32" s="81" t="s">
        <v>509</v>
      </c>
      <c r="C32" s="60">
        <v>23.117000000000001</v>
      </c>
      <c r="D32" s="60">
        <v>22.794</v>
      </c>
      <c r="E32" s="60">
        <v>17.05</v>
      </c>
      <c r="F32" s="60">
        <v>3.6240000000000001</v>
      </c>
      <c r="G32" s="60">
        <v>2.12</v>
      </c>
      <c r="H32" s="60">
        <v>5.7439999999999998</v>
      </c>
      <c r="I32" s="60">
        <v>19.457000000000001</v>
      </c>
      <c r="J32" s="82"/>
      <c r="K32" s="62" t="s">
        <v>485</v>
      </c>
      <c r="L32" s="63">
        <v>2.1080000000000001</v>
      </c>
      <c r="M32" s="62" t="s">
        <v>485</v>
      </c>
      <c r="N32" s="62" t="s">
        <v>485</v>
      </c>
      <c r="O32" s="62">
        <v>-0.32300000000000001</v>
      </c>
      <c r="P32" s="63"/>
      <c r="Q32" s="63">
        <v>-3.9470000000000001</v>
      </c>
      <c r="R32" s="64"/>
      <c r="S32" s="83"/>
      <c r="T32" s="61">
        <v>-0.13300000000000001</v>
      </c>
      <c r="U32" s="61">
        <v>0.65500000000000003</v>
      </c>
      <c r="V32" s="61">
        <v>1.3440000000000001</v>
      </c>
      <c r="W32" s="84"/>
      <c r="X32" s="84"/>
      <c r="Y32" s="84"/>
      <c r="Z32" s="84"/>
      <c r="AA32" s="61">
        <v>-1.1080000000000001</v>
      </c>
      <c r="AB32" s="64" t="s">
        <v>485</v>
      </c>
      <c r="AC32" s="64" t="s">
        <v>485</v>
      </c>
      <c r="AD32" s="67"/>
      <c r="AE32" s="61">
        <v>57.722999999999999</v>
      </c>
      <c r="AF32" s="61">
        <v>61.161000000000001</v>
      </c>
      <c r="AG32" s="64" t="s">
        <v>485</v>
      </c>
      <c r="AH32" s="71">
        <v>6.1677061677061689</v>
      </c>
      <c r="AI32" s="8"/>
      <c r="AJ32" s="74"/>
      <c r="AK32" s="14"/>
      <c r="AL32" s="14"/>
      <c r="AM32" s="75"/>
      <c r="AN32" s="75"/>
      <c r="AO32" s="75"/>
      <c r="AP32" s="79"/>
      <c r="AQ32" s="79"/>
      <c r="AR32" s="79"/>
      <c r="AS32" s="79"/>
      <c r="AT32" s="77"/>
      <c r="AU32" s="14"/>
      <c r="AV32" s="14"/>
      <c r="AW32" s="14"/>
      <c r="AX32" s="14"/>
      <c r="AY32" s="14"/>
    </row>
    <row r="33" spans="1:51" ht="15.75">
      <c r="A33" s="80"/>
      <c r="B33" s="81" t="s">
        <v>510</v>
      </c>
      <c r="C33" s="60">
        <v>24.78</v>
      </c>
      <c r="D33" s="60">
        <v>25.414000000000001</v>
      </c>
      <c r="E33" s="60">
        <v>19.495000000000001</v>
      </c>
      <c r="F33" s="60">
        <v>3.47</v>
      </c>
      <c r="G33" s="60">
        <v>2.4489999999999998</v>
      </c>
      <c r="H33" s="60">
        <v>5.9189999999999996</v>
      </c>
      <c r="I33" s="60">
        <v>20.707999999999998</v>
      </c>
      <c r="J33" s="82"/>
      <c r="K33" s="62" t="s">
        <v>485</v>
      </c>
      <c r="L33" s="63">
        <v>1.276</v>
      </c>
      <c r="M33" s="62" t="s">
        <v>485</v>
      </c>
      <c r="N33" s="62" t="s">
        <v>485</v>
      </c>
      <c r="O33" s="62">
        <v>0.63400000000000001</v>
      </c>
      <c r="P33" s="63"/>
      <c r="Q33" s="63">
        <v>-2.8359999999999999</v>
      </c>
      <c r="R33" s="64"/>
      <c r="S33" s="63"/>
      <c r="T33" s="61">
        <v>0.48799999999999999</v>
      </c>
      <c r="U33" s="61">
        <v>0.85</v>
      </c>
      <c r="V33" s="61">
        <v>1.544</v>
      </c>
      <c r="W33" s="84"/>
      <c r="X33" s="84"/>
      <c r="Y33" s="84"/>
      <c r="Z33" s="84"/>
      <c r="AA33" s="61">
        <v>-0.40699999999999997</v>
      </c>
      <c r="AB33" s="64" t="s">
        <v>485</v>
      </c>
      <c r="AC33" s="64" t="s">
        <v>485</v>
      </c>
      <c r="AD33" s="67"/>
      <c r="AE33" s="61">
        <v>64.575000000000003</v>
      </c>
      <c r="AF33" s="61">
        <v>68.129000000000005</v>
      </c>
      <c r="AG33" s="64" t="s">
        <v>485</v>
      </c>
      <c r="AH33" s="71">
        <v>6.6297066297066305</v>
      </c>
      <c r="AI33" s="8"/>
      <c r="AJ33" s="74"/>
      <c r="AK33" s="14"/>
      <c r="AL33" s="14"/>
      <c r="AM33" s="75"/>
      <c r="AN33" s="75"/>
      <c r="AO33" s="75"/>
      <c r="AP33" s="79"/>
      <c r="AQ33" s="79"/>
      <c r="AR33" s="79"/>
      <c r="AS33" s="79"/>
      <c r="AT33" s="77"/>
      <c r="AU33" s="14"/>
      <c r="AV33" s="14"/>
      <c r="AW33" s="14"/>
      <c r="AX33" s="14"/>
      <c r="AY33" s="14"/>
    </row>
    <row r="34" spans="1:51" ht="15.75">
      <c r="A34" s="80"/>
      <c r="B34" s="81" t="s">
        <v>511</v>
      </c>
      <c r="C34" s="60">
        <v>26.524000000000001</v>
      </c>
      <c r="D34" s="60">
        <v>28.437000000000001</v>
      </c>
      <c r="E34" s="60">
        <v>22.036000000000001</v>
      </c>
      <c r="F34" s="60">
        <v>3.6339999999999999</v>
      </c>
      <c r="G34" s="60">
        <v>2.7669999999999999</v>
      </c>
      <c r="H34" s="60">
        <v>6.4009999999999998</v>
      </c>
      <c r="I34" s="60">
        <v>22.053000000000001</v>
      </c>
      <c r="J34" s="82"/>
      <c r="K34" s="62" t="s">
        <v>485</v>
      </c>
      <c r="L34" s="63">
        <v>0.11</v>
      </c>
      <c r="M34" s="62" t="s">
        <v>485</v>
      </c>
      <c r="N34" s="62" t="s">
        <v>485</v>
      </c>
      <c r="O34" s="62">
        <v>1.913</v>
      </c>
      <c r="P34" s="63"/>
      <c r="Q34" s="63">
        <v>-1.7210000000000001</v>
      </c>
      <c r="R34" s="64"/>
      <c r="S34" s="63"/>
      <c r="T34" s="61">
        <v>1.9079999999999999</v>
      </c>
      <c r="U34" s="61">
        <v>2.4489999999999998</v>
      </c>
      <c r="V34" s="61">
        <v>1.726</v>
      </c>
      <c r="W34" s="84"/>
      <c r="X34" s="84"/>
      <c r="Y34" s="84"/>
      <c r="Z34" s="84"/>
      <c r="AA34" s="61">
        <v>1.4530000000000001</v>
      </c>
      <c r="AB34" s="64" t="s">
        <v>485</v>
      </c>
      <c r="AC34" s="64" t="s">
        <v>485</v>
      </c>
      <c r="AD34" s="67"/>
      <c r="AE34" s="61">
        <v>73.924999999999997</v>
      </c>
      <c r="AF34" s="61">
        <v>79.218000000000004</v>
      </c>
      <c r="AG34" s="82">
        <v>2.5446863580414503</v>
      </c>
      <c r="AH34" s="71">
        <v>7.2072072072072082</v>
      </c>
      <c r="AI34" s="85"/>
      <c r="AJ34" s="74"/>
      <c r="AK34" s="14"/>
      <c r="AL34" s="14"/>
      <c r="AM34" s="75"/>
      <c r="AN34" s="75"/>
      <c r="AO34" s="75"/>
      <c r="AP34" s="79"/>
      <c r="AQ34" s="79"/>
      <c r="AR34" s="79"/>
      <c r="AS34" s="79"/>
      <c r="AT34" s="77"/>
      <c r="AU34" s="14"/>
      <c r="AV34" s="14"/>
      <c r="AW34" s="14"/>
      <c r="AX34" s="14"/>
      <c r="AY34" s="14"/>
    </row>
    <row r="35" spans="1:51" ht="15.75">
      <c r="A35" s="80"/>
      <c r="B35" s="81" t="s">
        <v>512</v>
      </c>
      <c r="C35" s="60">
        <v>29.974</v>
      </c>
      <c r="D35" s="60">
        <v>33.356999999999999</v>
      </c>
      <c r="E35" s="60">
        <v>25.684000000000001</v>
      </c>
      <c r="F35" s="60">
        <v>4.3449999999999998</v>
      </c>
      <c r="G35" s="60">
        <v>3.3279999999999998</v>
      </c>
      <c r="H35" s="60">
        <v>7.673</v>
      </c>
      <c r="I35" s="60">
        <v>24.687999999999999</v>
      </c>
      <c r="J35" s="82"/>
      <c r="K35" s="62" t="s">
        <v>485</v>
      </c>
      <c r="L35" s="63">
        <v>-0.871</v>
      </c>
      <c r="M35" s="62" t="s">
        <v>485</v>
      </c>
      <c r="N35" s="62" t="s">
        <v>485</v>
      </c>
      <c r="O35" s="62">
        <v>3.383</v>
      </c>
      <c r="P35" s="63"/>
      <c r="Q35" s="63">
        <v>-0.96199999999999997</v>
      </c>
      <c r="R35" s="64"/>
      <c r="S35" s="63"/>
      <c r="T35" s="61">
        <v>2.1349999999999998</v>
      </c>
      <c r="U35" s="61">
        <v>4.3710000000000004</v>
      </c>
      <c r="V35" s="61">
        <v>2.0169999999999999</v>
      </c>
      <c r="W35" s="84"/>
      <c r="X35" s="84"/>
      <c r="Y35" s="84"/>
      <c r="Z35" s="84"/>
      <c r="AA35" s="61">
        <v>3.0339999999999998</v>
      </c>
      <c r="AB35" s="64" t="s">
        <v>485</v>
      </c>
      <c r="AC35" s="64" t="s">
        <v>485</v>
      </c>
      <c r="AD35" s="67"/>
      <c r="AE35" s="61">
        <v>82.855000000000004</v>
      </c>
      <c r="AF35" s="61">
        <v>88.826999999999998</v>
      </c>
      <c r="AG35" s="82">
        <v>6.5394315949810444</v>
      </c>
      <c r="AH35" s="71">
        <v>7.8540078540078548</v>
      </c>
      <c r="AI35" s="85"/>
      <c r="AJ35" s="74"/>
      <c r="AK35" s="14"/>
      <c r="AL35" s="14"/>
      <c r="AM35" s="75"/>
      <c r="AN35" s="75"/>
      <c r="AO35" s="75"/>
      <c r="AP35" s="79"/>
      <c r="AQ35" s="79"/>
      <c r="AR35" s="79"/>
      <c r="AS35" s="79"/>
      <c r="AT35" s="77"/>
      <c r="AU35" s="14"/>
      <c r="AV35" s="14"/>
      <c r="AW35" s="14"/>
      <c r="AX35" s="14"/>
      <c r="AY35" s="14"/>
    </row>
    <row r="36" spans="1:51" ht="15.75">
      <c r="A36" s="8"/>
      <c r="B36" s="81" t="s">
        <v>513</v>
      </c>
      <c r="C36" s="60">
        <v>38.302999999999997</v>
      </c>
      <c r="D36" s="60">
        <v>43.895000000000003</v>
      </c>
      <c r="E36" s="60">
        <v>34.139000000000003</v>
      </c>
      <c r="F36" s="60">
        <v>5.4260000000000002</v>
      </c>
      <c r="G36" s="60">
        <v>4.33</v>
      </c>
      <c r="H36" s="60">
        <v>9.7560000000000002</v>
      </c>
      <c r="I36" s="60">
        <v>31.902000000000001</v>
      </c>
      <c r="J36" s="82"/>
      <c r="K36" s="62" t="s">
        <v>485</v>
      </c>
      <c r="L36" s="63">
        <v>-2.2549999999999999</v>
      </c>
      <c r="M36" s="62" t="s">
        <v>485</v>
      </c>
      <c r="N36" s="62" t="s">
        <v>485</v>
      </c>
      <c r="O36" s="62">
        <v>5.5919999999999996</v>
      </c>
      <c r="P36" s="86"/>
      <c r="Q36" s="63">
        <v>0.16600000000000001</v>
      </c>
      <c r="R36" s="64"/>
      <c r="S36" s="86"/>
      <c r="T36" s="61">
        <v>5.0940000000000003</v>
      </c>
      <c r="U36" s="61">
        <v>7.9870000000000001</v>
      </c>
      <c r="V36" s="61">
        <v>2.3719999999999999</v>
      </c>
      <c r="W36" s="84"/>
      <c r="X36" s="84">
        <v>52.1</v>
      </c>
      <c r="Y36" s="84"/>
      <c r="Z36" s="84"/>
      <c r="AA36" s="61">
        <v>3.371</v>
      </c>
      <c r="AB36" s="64" t="s">
        <v>485</v>
      </c>
      <c r="AC36" s="82">
        <v>53.67</v>
      </c>
      <c r="AD36" s="67"/>
      <c r="AE36" s="61">
        <v>98.182000000000002</v>
      </c>
      <c r="AF36" s="61">
        <v>109.11199999999999</v>
      </c>
      <c r="AG36" s="82">
        <v>3.1047807042479647</v>
      </c>
      <c r="AH36" s="71">
        <v>9.4248094248094247</v>
      </c>
      <c r="AI36" s="85"/>
      <c r="AJ36" s="74"/>
      <c r="AK36" s="14"/>
      <c r="AL36" s="14"/>
      <c r="AM36" s="75"/>
      <c r="AN36" s="75"/>
      <c r="AO36" s="75"/>
      <c r="AP36" s="79"/>
      <c r="AQ36" s="79"/>
      <c r="AR36" s="79"/>
      <c r="AS36" s="79"/>
      <c r="AT36" s="77"/>
      <c r="AU36" s="14"/>
      <c r="AV36" s="14"/>
      <c r="AW36" s="14"/>
      <c r="AX36" s="14"/>
      <c r="AY36" s="14"/>
    </row>
    <row r="37" spans="1:51" ht="15.75">
      <c r="A37" s="8"/>
      <c r="B37" s="81" t="s">
        <v>514</v>
      </c>
      <c r="C37" s="60">
        <v>48.481999999999999</v>
      </c>
      <c r="D37" s="60">
        <v>56.133000000000003</v>
      </c>
      <c r="E37" s="60">
        <v>43.92</v>
      </c>
      <c r="F37" s="60">
        <v>6.72</v>
      </c>
      <c r="G37" s="60">
        <v>5.4930000000000003</v>
      </c>
      <c r="H37" s="60">
        <v>12.212999999999999</v>
      </c>
      <c r="I37" s="60">
        <v>40.305999999999997</v>
      </c>
      <c r="J37" s="82"/>
      <c r="K37" s="63">
        <v>0.63181963913257</v>
      </c>
      <c r="L37" s="63">
        <v>-3.6219999999999999</v>
      </c>
      <c r="M37" s="63">
        <v>-3.3228196391325699</v>
      </c>
      <c r="N37" s="63">
        <v>7.3518196391325707</v>
      </c>
      <c r="O37" s="62">
        <v>7.6509999999999998</v>
      </c>
      <c r="P37" s="86"/>
      <c r="Q37" s="63">
        <v>0.93100000000000005</v>
      </c>
      <c r="R37" s="64"/>
      <c r="S37" s="86"/>
      <c r="T37" s="61">
        <v>8.7530000000000001</v>
      </c>
      <c r="U37" s="61">
        <v>10.281000000000001</v>
      </c>
      <c r="V37" s="61">
        <v>3.109</v>
      </c>
      <c r="W37" s="8"/>
      <c r="X37" s="84">
        <v>64.7</v>
      </c>
      <c r="Y37" s="84"/>
      <c r="Z37" s="84"/>
      <c r="AA37" s="61">
        <v>5.09</v>
      </c>
      <c r="AB37" s="82">
        <v>4.7908196391325699</v>
      </c>
      <c r="AC37" s="82">
        <v>65.638000000000005</v>
      </c>
      <c r="AD37" s="67"/>
      <c r="AE37" s="61">
        <v>120.84399999999999</v>
      </c>
      <c r="AF37" s="61">
        <v>131.16</v>
      </c>
      <c r="AG37" s="82">
        <v>-1.7370636518415679</v>
      </c>
      <c r="AH37" s="71">
        <v>11.711711711711711</v>
      </c>
      <c r="AI37" s="85"/>
      <c r="AJ37" s="74"/>
      <c r="AK37" s="14"/>
      <c r="AL37" s="14"/>
      <c r="AM37" s="75"/>
      <c r="AN37" s="75"/>
      <c r="AO37" s="75"/>
      <c r="AP37" s="79"/>
      <c r="AQ37" s="79"/>
      <c r="AR37" s="79"/>
      <c r="AS37" s="79"/>
      <c r="AT37" s="77"/>
      <c r="AU37" s="14"/>
      <c r="AV37" s="14"/>
      <c r="AW37" s="14"/>
      <c r="AX37" s="14"/>
      <c r="AY37" s="14"/>
    </row>
    <row r="38" spans="1:51" ht="15.75">
      <c r="A38" s="8"/>
      <c r="B38" s="81" t="s">
        <v>515</v>
      </c>
      <c r="C38" s="60">
        <v>57.128</v>
      </c>
      <c r="D38" s="60">
        <v>64.132000000000005</v>
      </c>
      <c r="E38" s="60">
        <v>51.265999999999998</v>
      </c>
      <c r="F38" s="60">
        <v>6.399</v>
      </c>
      <c r="G38" s="60">
        <v>6.4669999999999996</v>
      </c>
      <c r="H38" s="60">
        <v>12.866</v>
      </c>
      <c r="I38" s="60">
        <v>46.542999999999999</v>
      </c>
      <c r="J38" s="82"/>
      <c r="K38" s="63">
        <v>-0.34298570081674484</v>
      </c>
      <c r="L38" s="63">
        <v>-1.857</v>
      </c>
      <c r="M38" s="63">
        <v>-0.90901429918325516</v>
      </c>
      <c r="N38" s="63">
        <v>6.0560142991832535</v>
      </c>
      <c r="O38" s="62">
        <v>7.0039999999999996</v>
      </c>
      <c r="P38" s="63"/>
      <c r="Q38" s="63">
        <v>0.60499999999999998</v>
      </c>
      <c r="R38" s="64"/>
      <c r="S38" s="63"/>
      <c r="T38" s="61">
        <v>5.8390000000000004</v>
      </c>
      <c r="U38" s="61">
        <v>8.2460000000000004</v>
      </c>
      <c r="V38" s="61">
        <v>4.0789999999999997</v>
      </c>
      <c r="W38" s="84"/>
      <c r="X38" s="84">
        <v>73.599999999999994</v>
      </c>
      <c r="Y38" s="84"/>
      <c r="Z38" s="84"/>
      <c r="AA38" s="61">
        <v>5.14</v>
      </c>
      <c r="AB38" s="82">
        <v>4.1920142991832554</v>
      </c>
      <c r="AC38" s="82">
        <v>75.991</v>
      </c>
      <c r="AD38" s="67"/>
      <c r="AE38" s="61">
        <v>142.077</v>
      </c>
      <c r="AF38" s="61">
        <v>154.006</v>
      </c>
      <c r="AG38" s="82">
        <v>-0.63964204746912723</v>
      </c>
      <c r="AH38" s="71">
        <v>13.351813351813352</v>
      </c>
      <c r="AI38" s="85"/>
      <c r="AJ38" s="74"/>
      <c r="AK38" s="14"/>
      <c r="AL38" s="14"/>
      <c r="AM38" s="75"/>
      <c r="AN38" s="75"/>
      <c r="AO38" s="75"/>
      <c r="AP38" s="79"/>
      <c r="AQ38" s="79"/>
      <c r="AR38" s="79"/>
      <c r="AS38" s="79"/>
      <c r="AT38" s="77"/>
      <c r="AU38" s="14"/>
      <c r="AV38" s="14"/>
      <c r="AW38" s="14"/>
      <c r="AX38" s="14"/>
      <c r="AY38" s="14"/>
    </row>
    <row r="39" spans="1:51" ht="15.75">
      <c r="A39" s="8"/>
      <c r="B39" s="81" t="s">
        <v>516</v>
      </c>
      <c r="C39" s="60">
        <v>63.759</v>
      </c>
      <c r="D39" s="60">
        <v>70.183000000000007</v>
      </c>
      <c r="E39" s="60">
        <v>57.555</v>
      </c>
      <c r="F39" s="60">
        <v>5.2329999999999997</v>
      </c>
      <c r="G39" s="60">
        <v>7.3949999999999996</v>
      </c>
      <c r="H39" s="60">
        <v>12.628</v>
      </c>
      <c r="I39" s="60">
        <v>52.515999999999998</v>
      </c>
      <c r="J39" s="82"/>
      <c r="K39" s="63">
        <v>0.5889473076773295</v>
      </c>
      <c r="L39" s="63">
        <v>-0.53600000000000003</v>
      </c>
      <c r="M39" s="63">
        <v>6.6052692322670511E-2</v>
      </c>
      <c r="N39" s="63">
        <v>5.8219473076773296</v>
      </c>
      <c r="O39" s="62">
        <v>6.4240000000000004</v>
      </c>
      <c r="P39" s="63"/>
      <c r="Q39" s="63">
        <v>1.1910000000000001</v>
      </c>
      <c r="R39" s="64"/>
      <c r="S39" s="63"/>
      <c r="T39" s="61">
        <v>4.6779999999999999</v>
      </c>
      <c r="U39" s="61">
        <v>5.5679999999999996</v>
      </c>
      <c r="V39" s="61">
        <v>4.907</v>
      </c>
      <c r="W39" s="84"/>
      <c r="X39" s="84">
        <v>79.5</v>
      </c>
      <c r="Y39" s="84"/>
      <c r="Z39" s="84"/>
      <c r="AA39" s="61">
        <v>5.3490000000000002</v>
      </c>
      <c r="AB39" s="82">
        <v>4.7469473076773294</v>
      </c>
      <c r="AC39" s="82">
        <v>86.356999999999999</v>
      </c>
      <c r="AD39" s="67"/>
      <c r="AE39" s="61">
        <v>166.1</v>
      </c>
      <c r="AF39" s="61">
        <v>179.374</v>
      </c>
      <c r="AG39" s="82">
        <v>-0.46907116695174766</v>
      </c>
      <c r="AH39" s="71">
        <v>15.1998151998152</v>
      </c>
      <c r="AI39" s="85"/>
      <c r="AJ39" s="74"/>
      <c r="AK39" s="14"/>
      <c r="AL39" s="14"/>
      <c r="AM39" s="75"/>
      <c r="AN39" s="75"/>
      <c r="AO39" s="75"/>
      <c r="AP39" s="79"/>
      <c r="AQ39" s="79"/>
      <c r="AR39" s="79"/>
      <c r="AS39" s="79"/>
      <c r="AT39" s="77"/>
      <c r="AU39" s="14"/>
      <c r="AV39" s="14"/>
      <c r="AW39" s="14"/>
      <c r="AX39" s="14"/>
      <c r="AY39" s="14"/>
    </row>
    <row r="40" spans="1:51" ht="15.75">
      <c r="A40" s="8"/>
      <c r="B40" s="81" t="s">
        <v>517</v>
      </c>
      <c r="C40" s="60">
        <v>70.983999999999995</v>
      </c>
      <c r="D40" s="60">
        <v>79.668999999999997</v>
      </c>
      <c r="E40" s="60">
        <v>66.070999999999998</v>
      </c>
      <c r="F40" s="60">
        <v>5.2430000000000003</v>
      </c>
      <c r="G40" s="60">
        <v>8.3550000000000004</v>
      </c>
      <c r="H40" s="60">
        <v>13.598000000000001</v>
      </c>
      <c r="I40" s="60">
        <v>58.432000000000002</v>
      </c>
      <c r="J40" s="82"/>
      <c r="K40" s="63">
        <v>4.7632098349537904</v>
      </c>
      <c r="L40" s="63">
        <v>-2.0270000000000001</v>
      </c>
      <c r="M40" s="63">
        <v>-3.348209834953789</v>
      </c>
      <c r="N40" s="63">
        <v>10.006209834953788</v>
      </c>
      <c r="O40" s="62">
        <v>8.6850000000000005</v>
      </c>
      <c r="P40" s="63"/>
      <c r="Q40" s="63">
        <v>3.4420000000000002</v>
      </c>
      <c r="R40" s="64"/>
      <c r="S40" s="63"/>
      <c r="T40" s="61">
        <v>7.7549999999999999</v>
      </c>
      <c r="U40" s="61">
        <v>9.0289999999999999</v>
      </c>
      <c r="V40" s="61">
        <v>5.8559999999999999</v>
      </c>
      <c r="W40" s="84"/>
      <c r="X40" s="84">
        <v>88.6</v>
      </c>
      <c r="Y40" s="84"/>
      <c r="Z40" s="84"/>
      <c r="AA40" s="61">
        <v>7.24</v>
      </c>
      <c r="AB40" s="82">
        <v>8.5612098349537895</v>
      </c>
      <c r="AC40" s="82">
        <v>96.730999999999995</v>
      </c>
      <c r="AD40" s="67"/>
      <c r="AE40" s="61">
        <v>192.358</v>
      </c>
      <c r="AF40" s="61">
        <v>210.054</v>
      </c>
      <c r="AG40" s="82">
        <v>1.561327335508581</v>
      </c>
      <c r="AH40" s="71">
        <v>16.932316932316933</v>
      </c>
      <c r="AI40" s="85"/>
      <c r="AJ40" s="74"/>
      <c r="AK40" s="14"/>
      <c r="AL40" s="14"/>
      <c r="AM40" s="75"/>
      <c r="AN40" s="75"/>
      <c r="AO40" s="75"/>
      <c r="AP40" s="79"/>
      <c r="AQ40" s="79"/>
      <c r="AR40" s="79"/>
      <c r="AS40" s="79"/>
      <c r="AT40" s="77"/>
      <c r="AU40" s="14"/>
      <c r="AV40" s="14"/>
      <c r="AW40" s="14"/>
      <c r="AX40" s="14"/>
      <c r="AY40" s="14"/>
    </row>
    <row r="41" spans="1:51" ht="15.75">
      <c r="A41" s="8"/>
      <c r="B41" s="81" t="s">
        <v>518</v>
      </c>
      <c r="C41" s="60">
        <v>86.677000000000007</v>
      </c>
      <c r="D41" s="60">
        <v>95.222999999999999</v>
      </c>
      <c r="E41" s="60">
        <v>79.491</v>
      </c>
      <c r="F41" s="60">
        <v>5.8760000000000003</v>
      </c>
      <c r="G41" s="60">
        <v>9.8559999999999999</v>
      </c>
      <c r="H41" s="60">
        <v>15.731999999999999</v>
      </c>
      <c r="I41" s="60">
        <v>72.543000000000006</v>
      </c>
      <c r="J41" s="82"/>
      <c r="K41" s="63">
        <v>3.282375581157698</v>
      </c>
      <c r="L41" s="63">
        <v>-0.16200000000000001</v>
      </c>
      <c r="M41" s="63">
        <v>-0.774375581157698</v>
      </c>
      <c r="N41" s="63">
        <v>9.1583755811576992</v>
      </c>
      <c r="O41" s="62">
        <v>8.5459999999999994</v>
      </c>
      <c r="P41" s="63"/>
      <c r="Q41" s="63">
        <v>2.67</v>
      </c>
      <c r="R41" s="64"/>
      <c r="S41" s="63"/>
      <c r="T41" s="61">
        <v>8.0640000000000001</v>
      </c>
      <c r="U41" s="61">
        <v>9.7230000000000008</v>
      </c>
      <c r="V41" s="61">
        <v>7.5869999999999997</v>
      </c>
      <c r="W41" s="84"/>
      <c r="X41" s="84">
        <v>98.2</v>
      </c>
      <c r="Y41" s="84"/>
      <c r="Z41" s="84"/>
      <c r="AA41" s="61">
        <v>6.0720000000000001</v>
      </c>
      <c r="AB41" s="82">
        <v>6.6843755811576973</v>
      </c>
      <c r="AC41" s="82">
        <v>107.499</v>
      </c>
      <c r="AD41" s="67"/>
      <c r="AE41" s="61">
        <v>232.59200000000001</v>
      </c>
      <c r="AF41" s="61">
        <v>251.309</v>
      </c>
      <c r="AG41" s="82">
        <v>-9.7964602465713146E-2</v>
      </c>
      <c r="AH41" s="71">
        <v>19.796719796719799</v>
      </c>
      <c r="AI41" s="85"/>
      <c r="AJ41" s="74"/>
      <c r="AK41" s="14"/>
      <c r="AL41" s="14"/>
      <c r="AM41" s="75"/>
      <c r="AN41" s="75"/>
      <c r="AO41" s="75"/>
      <c r="AP41" s="79"/>
      <c r="AQ41" s="79"/>
      <c r="AR41" s="79"/>
      <c r="AS41" s="79"/>
      <c r="AT41" s="77"/>
      <c r="AU41" s="14"/>
      <c r="AV41" s="14"/>
      <c r="AW41" s="14"/>
      <c r="AX41" s="14"/>
      <c r="AY41" s="14"/>
    </row>
    <row r="42" spans="1:51" ht="15.75">
      <c r="A42" s="8"/>
      <c r="B42" s="81" t="s">
        <v>519</v>
      </c>
      <c r="C42" s="60">
        <v>102.98399999999999</v>
      </c>
      <c r="D42" s="60">
        <v>114.521</v>
      </c>
      <c r="E42" s="60">
        <v>96.635999999999996</v>
      </c>
      <c r="F42" s="60">
        <v>6.0179999999999998</v>
      </c>
      <c r="G42" s="60">
        <v>11.867000000000001</v>
      </c>
      <c r="H42" s="60">
        <v>17.885000000000002</v>
      </c>
      <c r="I42" s="60">
        <v>85.908000000000001</v>
      </c>
      <c r="J42" s="82"/>
      <c r="K42" s="63">
        <v>1.6991211564798319</v>
      </c>
      <c r="L42" s="63">
        <v>-1.4890000000000001</v>
      </c>
      <c r="M42" s="63">
        <v>2.3308788435201686</v>
      </c>
      <c r="N42" s="63">
        <v>7.7171211564798314</v>
      </c>
      <c r="O42" s="62">
        <v>11.537000000000001</v>
      </c>
      <c r="P42" s="63"/>
      <c r="Q42" s="63">
        <v>5.5190000000000001</v>
      </c>
      <c r="R42" s="64"/>
      <c r="S42" s="63"/>
      <c r="T42" s="61">
        <v>12.497</v>
      </c>
      <c r="U42" s="61">
        <v>12.266999999999999</v>
      </c>
      <c r="V42" s="61">
        <v>9.1630000000000003</v>
      </c>
      <c r="W42" s="84"/>
      <c r="X42" s="84">
        <v>113.8</v>
      </c>
      <c r="Y42" s="84"/>
      <c r="Z42" s="84"/>
      <c r="AA42" s="61">
        <v>8.9529999999999994</v>
      </c>
      <c r="AB42" s="82">
        <v>5.1331211564798318</v>
      </c>
      <c r="AC42" s="82">
        <v>126.22199999999999</v>
      </c>
      <c r="AD42" s="67"/>
      <c r="AE42" s="61">
        <v>267.51799999999997</v>
      </c>
      <c r="AF42" s="61">
        <v>282.161</v>
      </c>
      <c r="AG42" s="82">
        <v>-2.8166061756407594</v>
      </c>
      <c r="AH42" s="71">
        <v>23.562023562023562</v>
      </c>
      <c r="AI42" s="85"/>
      <c r="AJ42" s="74"/>
      <c r="AK42" s="14"/>
      <c r="AL42" s="14"/>
      <c r="AM42" s="75"/>
      <c r="AN42" s="75"/>
      <c r="AO42" s="75"/>
      <c r="AP42" s="79"/>
      <c r="AQ42" s="79"/>
      <c r="AR42" s="79"/>
      <c r="AS42" s="79"/>
      <c r="AT42" s="77"/>
      <c r="AU42" s="14"/>
      <c r="AV42" s="14"/>
      <c r="AW42" s="14"/>
      <c r="AX42" s="14"/>
      <c r="AY42" s="14"/>
    </row>
    <row r="43" spans="1:51" ht="15.75">
      <c r="A43" s="8"/>
      <c r="B43" s="81" t="s">
        <v>520</v>
      </c>
      <c r="C43" s="60">
        <v>121.922</v>
      </c>
      <c r="D43" s="60">
        <v>127.92100000000001</v>
      </c>
      <c r="E43" s="60">
        <v>110.587</v>
      </c>
      <c r="F43" s="60">
        <v>4.3680000000000003</v>
      </c>
      <c r="G43" s="60">
        <v>12.965999999999999</v>
      </c>
      <c r="H43" s="60">
        <v>17.334</v>
      </c>
      <c r="I43" s="60">
        <v>101.48</v>
      </c>
      <c r="J43" s="82"/>
      <c r="K43" s="63">
        <v>-4.7661804696550165</v>
      </c>
      <c r="L43" s="63">
        <v>5.7460000000000004</v>
      </c>
      <c r="M43" s="63">
        <v>12.143180469655015</v>
      </c>
      <c r="N43" s="63">
        <v>-0.39818046965501558</v>
      </c>
      <c r="O43" s="62">
        <v>5.9989999999999997</v>
      </c>
      <c r="P43" s="63"/>
      <c r="Q43" s="63">
        <v>1.631</v>
      </c>
      <c r="R43" s="64"/>
      <c r="S43" s="63"/>
      <c r="T43" s="61">
        <v>7.6349999999999998</v>
      </c>
      <c r="U43" s="61">
        <v>8.6720000000000006</v>
      </c>
      <c r="V43" s="61">
        <v>11.231999999999999</v>
      </c>
      <c r="W43" s="84"/>
      <c r="X43" s="84">
        <v>125.2</v>
      </c>
      <c r="Y43" s="84"/>
      <c r="Z43" s="84"/>
      <c r="AA43" s="61">
        <v>8.3179999999999996</v>
      </c>
      <c r="AB43" s="82">
        <v>1.9208195303449842</v>
      </c>
      <c r="AC43" s="82">
        <v>133.648</v>
      </c>
      <c r="AD43" s="67"/>
      <c r="AE43" s="61">
        <v>298.26100000000002</v>
      </c>
      <c r="AF43" s="61">
        <v>312.83999999999997</v>
      </c>
      <c r="AG43" s="82">
        <v>-3.1630101961365638</v>
      </c>
      <c r="AH43" s="71">
        <v>26.033726033726033</v>
      </c>
      <c r="AI43" s="85"/>
      <c r="AJ43" s="74"/>
      <c r="AK43" s="14"/>
      <c r="AL43" s="14"/>
      <c r="AM43" s="75"/>
      <c r="AN43" s="75"/>
      <c r="AO43" s="75"/>
      <c r="AP43" s="79"/>
      <c r="AQ43" s="79"/>
      <c r="AR43" s="79"/>
      <c r="AS43" s="79"/>
      <c r="AT43" s="77"/>
      <c r="AU43" s="14"/>
      <c r="AV43" s="14"/>
      <c r="AW43" s="14"/>
      <c r="AX43" s="14"/>
      <c r="AY43" s="14"/>
    </row>
    <row r="44" spans="1:51" ht="15.75">
      <c r="A44" s="8"/>
      <c r="B44" s="81" t="s">
        <v>521</v>
      </c>
      <c r="C44" s="60">
        <v>132.87899999999999</v>
      </c>
      <c r="D44" s="60">
        <v>141.42099999999999</v>
      </c>
      <c r="E44" s="60">
        <v>121.43600000000001</v>
      </c>
      <c r="F44" s="60">
        <v>6.3369999999999997</v>
      </c>
      <c r="G44" s="60">
        <v>13.648</v>
      </c>
      <c r="H44" s="60">
        <v>19.984999999999999</v>
      </c>
      <c r="I44" s="60">
        <v>110.42100000000001</v>
      </c>
      <c r="J44" s="82"/>
      <c r="K44" s="63">
        <v>-4.3070356011365973</v>
      </c>
      <c r="L44" s="63">
        <v>3.3660000000000001</v>
      </c>
      <c r="M44" s="63">
        <v>9.8780356011365971</v>
      </c>
      <c r="N44" s="63">
        <v>2.0299643988634024</v>
      </c>
      <c r="O44" s="62">
        <v>8.5419999999999998</v>
      </c>
      <c r="P44" s="63"/>
      <c r="Q44" s="63">
        <v>2.2050000000000001</v>
      </c>
      <c r="R44" s="64"/>
      <c r="S44" s="63"/>
      <c r="T44" s="61">
        <v>12.819000000000001</v>
      </c>
      <c r="U44" s="61">
        <v>8.9979999999999993</v>
      </c>
      <c r="V44" s="61">
        <v>12.087</v>
      </c>
      <c r="W44" s="84"/>
      <c r="X44" s="84">
        <v>132.5</v>
      </c>
      <c r="Y44" s="84"/>
      <c r="Z44" s="84"/>
      <c r="AA44" s="61">
        <v>8.7050000000000001</v>
      </c>
      <c r="AB44" s="82">
        <v>2.1929643988634027</v>
      </c>
      <c r="AC44" s="82">
        <v>142.88900000000001</v>
      </c>
      <c r="AD44" s="67"/>
      <c r="AE44" s="61">
        <v>327.44900000000001</v>
      </c>
      <c r="AF44" s="61">
        <v>342.72199999999998</v>
      </c>
      <c r="AG44" s="82">
        <v>-2.7122309426549811</v>
      </c>
      <c r="AH44" s="71">
        <v>27.951027951027953</v>
      </c>
      <c r="AI44" s="85"/>
      <c r="AJ44" s="74"/>
      <c r="AK44" s="14"/>
      <c r="AL44" s="14"/>
      <c r="AM44" s="75"/>
      <c r="AN44" s="75"/>
      <c r="AO44" s="75"/>
      <c r="AP44" s="79"/>
      <c r="AQ44" s="79"/>
      <c r="AR44" s="79"/>
      <c r="AS44" s="79"/>
      <c r="AT44" s="77"/>
      <c r="AU44" s="14"/>
      <c r="AV44" s="14"/>
      <c r="AW44" s="14"/>
      <c r="AX44" s="14"/>
      <c r="AY44" s="14"/>
    </row>
    <row r="45" spans="1:51" ht="15.75">
      <c r="A45" s="8"/>
      <c r="B45" s="81" t="s">
        <v>522</v>
      </c>
      <c r="C45" s="60">
        <v>141.36099999999999</v>
      </c>
      <c r="D45" s="60">
        <v>153.16300000000001</v>
      </c>
      <c r="E45" s="60">
        <v>131.02699999999999</v>
      </c>
      <c r="F45" s="60">
        <v>7.83</v>
      </c>
      <c r="G45" s="60">
        <v>14.305999999999999</v>
      </c>
      <c r="H45" s="60">
        <v>22.135999999999999</v>
      </c>
      <c r="I45" s="60">
        <v>118.31</v>
      </c>
      <c r="J45" s="82"/>
      <c r="K45" s="63">
        <v>-0.63471513094460463</v>
      </c>
      <c r="L45" s="63">
        <v>0.58099999999999996</v>
      </c>
      <c r="M45" s="63">
        <v>5.1877151309446043</v>
      </c>
      <c r="N45" s="63">
        <v>7.1952848690553957</v>
      </c>
      <c r="O45" s="62">
        <v>11.802</v>
      </c>
      <c r="P45" s="63"/>
      <c r="Q45" s="63">
        <v>3.972</v>
      </c>
      <c r="R45" s="64"/>
      <c r="S45" s="63"/>
      <c r="T45" s="61">
        <v>12.288</v>
      </c>
      <c r="U45" s="61">
        <v>9.7949999999999999</v>
      </c>
      <c r="V45" s="61">
        <v>13.225</v>
      </c>
      <c r="W45" s="84"/>
      <c r="X45" s="84">
        <v>143.6</v>
      </c>
      <c r="Y45" s="84"/>
      <c r="Z45" s="84"/>
      <c r="AA45" s="61">
        <v>11.76</v>
      </c>
      <c r="AB45" s="82">
        <v>7.1532848690553941</v>
      </c>
      <c r="AC45" s="82">
        <v>155.148</v>
      </c>
      <c r="AD45" s="67"/>
      <c r="AE45" s="61">
        <v>358.06200000000001</v>
      </c>
      <c r="AF45" s="61">
        <v>369.88799999999998</v>
      </c>
      <c r="AG45" s="82">
        <v>-1.4882458676803174</v>
      </c>
      <c r="AH45" s="71">
        <v>29.267729267729266</v>
      </c>
      <c r="AI45" s="85"/>
      <c r="AJ45" s="74"/>
      <c r="AK45" s="14"/>
      <c r="AL45" s="14"/>
      <c r="AM45" s="75"/>
      <c r="AN45" s="75"/>
      <c r="AO45" s="75"/>
      <c r="AP45" s="79"/>
      <c r="AQ45" s="79"/>
      <c r="AR45" s="79"/>
      <c r="AS45" s="79"/>
      <c r="AT45" s="77"/>
      <c r="AU45" s="14"/>
      <c r="AV45" s="14"/>
      <c r="AW45" s="14"/>
      <c r="AX45" s="14"/>
      <c r="AY45" s="14"/>
    </row>
    <row r="46" spans="1:51" ht="15.75">
      <c r="A46" s="8"/>
      <c r="B46" s="81" t="s">
        <v>523</v>
      </c>
      <c r="C46" s="60">
        <v>151.36500000000001</v>
      </c>
      <c r="D46" s="60">
        <v>163.9</v>
      </c>
      <c r="E46" s="60">
        <v>141.81899999999999</v>
      </c>
      <c r="F46" s="60">
        <v>7.468</v>
      </c>
      <c r="G46" s="60">
        <v>14.613</v>
      </c>
      <c r="H46" s="60">
        <v>22.081</v>
      </c>
      <c r="I46" s="60">
        <v>129.74700000000001</v>
      </c>
      <c r="J46" s="82"/>
      <c r="K46" s="63">
        <v>3.199171993363247</v>
      </c>
      <c r="L46" s="63">
        <v>1.42</v>
      </c>
      <c r="M46" s="63">
        <v>3.2878280066367527</v>
      </c>
      <c r="N46" s="63">
        <v>10.667171993363247</v>
      </c>
      <c r="O46" s="62">
        <v>12.535</v>
      </c>
      <c r="P46" s="63"/>
      <c r="Q46" s="63">
        <v>5.0670000000000002</v>
      </c>
      <c r="R46" s="64"/>
      <c r="S46" s="63"/>
      <c r="T46" s="61">
        <v>10.273999999999999</v>
      </c>
      <c r="U46" s="61">
        <v>10.259</v>
      </c>
      <c r="V46" s="61">
        <v>14.72</v>
      </c>
      <c r="W46" s="84"/>
      <c r="X46" s="84">
        <v>157</v>
      </c>
      <c r="Y46" s="84"/>
      <c r="Z46" s="84"/>
      <c r="AA46" s="61">
        <v>11.057</v>
      </c>
      <c r="AB46" s="82">
        <v>9.1891719933632459</v>
      </c>
      <c r="AC46" s="82">
        <v>166.482</v>
      </c>
      <c r="AD46" s="67"/>
      <c r="AE46" s="61">
        <v>385.97899999999998</v>
      </c>
      <c r="AF46" s="61">
        <v>405.78800000000001</v>
      </c>
      <c r="AG46" s="82">
        <v>-0.37254083932752319</v>
      </c>
      <c r="AH46" s="71">
        <v>31.000231000231</v>
      </c>
      <c r="AI46" s="85"/>
      <c r="AJ46" s="74"/>
      <c r="AK46" s="14"/>
      <c r="AL46" s="14"/>
      <c r="AM46" s="75"/>
      <c r="AN46" s="75"/>
      <c r="AO46" s="75"/>
      <c r="AP46" s="79"/>
      <c r="AQ46" s="79"/>
      <c r="AR46" s="79"/>
      <c r="AS46" s="79"/>
      <c r="AT46" s="77"/>
      <c r="AU46" s="14"/>
      <c r="AV46" s="14"/>
      <c r="AW46" s="14"/>
      <c r="AX46" s="14"/>
      <c r="AY46" s="14"/>
    </row>
    <row r="47" spans="1:51" ht="15.75">
      <c r="A47" s="8"/>
      <c r="B47" s="81" t="s">
        <v>524</v>
      </c>
      <c r="C47" s="60">
        <v>162.245</v>
      </c>
      <c r="D47" s="60">
        <v>171.279</v>
      </c>
      <c r="E47" s="60">
        <v>150.56100000000001</v>
      </c>
      <c r="F47" s="60">
        <v>6.3310000000000004</v>
      </c>
      <c r="G47" s="60">
        <v>14.387</v>
      </c>
      <c r="H47" s="60">
        <v>20.718</v>
      </c>
      <c r="I47" s="60">
        <v>138.577</v>
      </c>
      <c r="J47" s="82"/>
      <c r="K47" s="63">
        <v>2.6348978924479245</v>
      </c>
      <c r="L47" s="63">
        <v>5.5510000000000002</v>
      </c>
      <c r="M47" s="63">
        <v>5.6191021075520746</v>
      </c>
      <c r="N47" s="63">
        <v>8.9658978924479218</v>
      </c>
      <c r="O47" s="62">
        <v>9.0340000000000007</v>
      </c>
      <c r="P47" s="63"/>
      <c r="Q47" s="63">
        <v>2.7029999999999998</v>
      </c>
      <c r="R47" s="64"/>
      <c r="S47" s="63"/>
      <c r="T47" s="61">
        <v>11.114000000000001</v>
      </c>
      <c r="U47" s="61">
        <v>5.7389999999999999</v>
      </c>
      <c r="V47" s="61">
        <v>16.600999999999999</v>
      </c>
      <c r="W47" s="84"/>
      <c r="X47" s="84">
        <v>162.5</v>
      </c>
      <c r="Y47" s="84"/>
      <c r="Z47" s="84"/>
      <c r="AA47" s="61">
        <v>9.6489999999999991</v>
      </c>
      <c r="AB47" s="82">
        <v>9.5808978924479238</v>
      </c>
      <c r="AC47" s="82">
        <v>179.28299999999999</v>
      </c>
      <c r="AD47" s="67"/>
      <c r="AE47" s="61">
        <v>423.72399999999999</v>
      </c>
      <c r="AF47" s="61">
        <v>438.21699999999998</v>
      </c>
      <c r="AG47" s="82">
        <v>0.1168717758042289</v>
      </c>
      <c r="AH47" s="71">
        <v>32.663432663432665</v>
      </c>
      <c r="AI47" s="85"/>
      <c r="AJ47" s="74"/>
      <c r="AK47" s="14"/>
      <c r="AL47" s="14"/>
      <c r="AM47" s="75"/>
      <c r="AN47" s="75"/>
      <c r="AO47" s="75"/>
      <c r="AP47" s="79"/>
      <c r="AQ47" s="79"/>
      <c r="AR47" s="79"/>
      <c r="AS47" s="79"/>
      <c r="AT47" s="77"/>
      <c r="AU47" s="14"/>
      <c r="AV47" s="14"/>
      <c r="AW47" s="14"/>
      <c r="AX47" s="14"/>
      <c r="AY47" s="14"/>
    </row>
    <row r="48" spans="1:51" ht="15.75">
      <c r="A48" s="8"/>
      <c r="B48" s="81" t="s">
        <v>525</v>
      </c>
      <c r="C48" s="60">
        <v>170.25700000000001</v>
      </c>
      <c r="D48" s="60">
        <v>178.99700000000001</v>
      </c>
      <c r="E48" s="60">
        <v>158.88999999999999</v>
      </c>
      <c r="F48" s="60">
        <v>4.2469999999999999</v>
      </c>
      <c r="G48" s="60">
        <v>15.86</v>
      </c>
      <c r="H48" s="60">
        <v>20.106999999999999</v>
      </c>
      <c r="I48" s="60">
        <v>147.97900000000001</v>
      </c>
      <c r="J48" s="82"/>
      <c r="K48" s="63">
        <v>5.1903783360815829</v>
      </c>
      <c r="L48" s="63">
        <v>6.1790000000000003</v>
      </c>
      <c r="M48" s="63">
        <v>5.4816216639184185</v>
      </c>
      <c r="N48" s="63">
        <v>9.4373783360815828</v>
      </c>
      <c r="O48" s="62">
        <v>8.74</v>
      </c>
      <c r="P48" s="63"/>
      <c r="Q48" s="63">
        <v>4.4930000000000003</v>
      </c>
      <c r="R48" s="64"/>
      <c r="S48" s="63"/>
      <c r="T48" s="61">
        <v>10.433</v>
      </c>
      <c r="U48" s="61">
        <v>3.6869999999999998</v>
      </c>
      <c r="V48" s="61">
        <v>17.36</v>
      </c>
      <c r="W48" s="84"/>
      <c r="X48" s="84">
        <v>167.8</v>
      </c>
      <c r="Y48" s="84"/>
      <c r="Z48" s="84"/>
      <c r="AA48" s="61">
        <v>9.7140000000000004</v>
      </c>
      <c r="AB48" s="82">
        <v>10.411378336081583</v>
      </c>
      <c r="AC48" s="82">
        <v>190.684</v>
      </c>
      <c r="AD48" s="67"/>
      <c r="AE48" s="61">
        <v>455.18299999999999</v>
      </c>
      <c r="AF48" s="61">
        <v>481.30200000000002</v>
      </c>
      <c r="AG48" s="82">
        <v>0.25966797750785497</v>
      </c>
      <c r="AH48" s="71">
        <v>33.980133980133978</v>
      </c>
      <c r="AI48" s="85"/>
      <c r="AJ48" s="74"/>
      <c r="AK48" s="14"/>
      <c r="AL48" s="14"/>
      <c r="AM48" s="75"/>
      <c r="AN48" s="75"/>
      <c r="AO48" s="75"/>
      <c r="AP48" s="79"/>
      <c r="AQ48" s="79"/>
      <c r="AR48" s="79"/>
      <c r="AS48" s="79"/>
      <c r="AT48" s="77"/>
      <c r="AU48" s="14"/>
      <c r="AV48" s="14"/>
      <c r="AW48" s="14"/>
      <c r="AX48" s="14"/>
      <c r="AY48" s="14"/>
    </row>
    <row r="49" spans="2:51" ht="15.75">
      <c r="B49" s="81" t="s">
        <v>526</v>
      </c>
      <c r="C49" s="60">
        <v>185.06800000000001</v>
      </c>
      <c r="D49" s="60">
        <v>190.142</v>
      </c>
      <c r="E49" s="60">
        <v>170.15899999999999</v>
      </c>
      <c r="F49" s="60">
        <v>1.4970000000000001</v>
      </c>
      <c r="G49" s="60">
        <v>18.486000000000001</v>
      </c>
      <c r="H49" s="60">
        <v>19.983000000000001</v>
      </c>
      <c r="I49" s="60">
        <v>161.99700000000001</v>
      </c>
      <c r="J49" s="82"/>
      <c r="K49" s="63">
        <v>9.5046211520947956</v>
      </c>
      <c r="L49" s="63">
        <v>10.189</v>
      </c>
      <c r="M49" s="63">
        <v>4.2613788479052044</v>
      </c>
      <c r="N49" s="63">
        <v>11.001621152094796</v>
      </c>
      <c r="O49" s="62">
        <v>5.0739999999999998</v>
      </c>
      <c r="P49" s="63"/>
      <c r="Q49" s="63">
        <v>3.577</v>
      </c>
      <c r="R49" s="64"/>
      <c r="S49" s="63"/>
      <c r="T49" s="61">
        <v>1.1990000000000001</v>
      </c>
      <c r="U49" s="61">
        <v>-3.2309999999999999</v>
      </c>
      <c r="V49" s="61">
        <v>18.605</v>
      </c>
      <c r="W49" s="84"/>
      <c r="X49" s="84">
        <v>167.4</v>
      </c>
      <c r="Y49" s="84"/>
      <c r="Z49" s="84"/>
      <c r="AA49" s="61">
        <v>6.2880000000000003</v>
      </c>
      <c r="AB49" s="82">
        <v>12.215621152094792</v>
      </c>
      <c r="AC49" s="82">
        <v>200.91499999999999</v>
      </c>
      <c r="AD49" s="67"/>
      <c r="AE49" s="61">
        <v>511.512</v>
      </c>
      <c r="AF49" s="61">
        <v>540.447</v>
      </c>
      <c r="AG49" s="82">
        <v>2.2138188660570233</v>
      </c>
      <c r="AH49" s="71">
        <v>35.966735966735975</v>
      </c>
      <c r="AI49" s="85"/>
      <c r="AJ49" s="74"/>
      <c r="AK49" s="14"/>
      <c r="AL49" s="14"/>
      <c r="AM49" s="75"/>
      <c r="AN49" s="75"/>
      <c r="AO49" s="75"/>
      <c r="AP49" s="79"/>
      <c r="AQ49" s="79"/>
      <c r="AR49" s="79"/>
      <c r="AS49" s="79"/>
      <c r="AT49" s="77"/>
      <c r="AU49" s="14"/>
      <c r="AV49" s="14"/>
      <c r="AW49" s="14"/>
      <c r="AX49" s="14"/>
      <c r="AY49" s="14"/>
    </row>
    <row r="50" spans="2:51" ht="15.75">
      <c r="B50" s="81" t="s">
        <v>527</v>
      </c>
      <c r="C50" s="60">
        <v>202.685</v>
      </c>
      <c r="D50" s="60">
        <v>197.155</v>
      </c>
      <c r="E50" s="60">
        <v>177.05099999999999</v>
      </c>
      <c r="F50" s="60">
        <v>0.315</v>
      </c>
      <c r="G50" s="60">
        <v>19.789000000000001</v>
      </c>
      <c r="H50" s="60">
        <v>20.103999999999999</v>
      </c>
      <c r="I50" s="60">
        <v>177.70099999999999</v>
      </c>
      <c r="J50" s="82"/>
      <c r="K50" s="63">
        <v>6.0079326299430464</v>
      </c>
      <c r="L50" s="63">
        <v>20.646999999999998</v>
      </c>
      <c r="M50" s="63">
        <v>8.794067370056954</v>
      </c>
      <c r="N50" s="63">
        <v>6.3229326299430468</v>
      </c>
      <c r="O50" s="62">
        <v>-5.53</v>
      </c>
      <c r="P50" s="63"/>
      <c r="Q50" s="63">
        <v>-5.8449999999999998</v>
      </c>
      <c r="R50" s="64"/>
      <c r="S50" s="63"/>
      <c r="T50" s="61">
        <v>-6.9589999999999996</v>
      </c>
      <c r="U50" s="61">
        <v>-14.504</v>
      </c>
      <c r="V50" s="61">
        <v>19.170000000000002</v>
      </c>
      <c r="W50" s="84"/>
      <c r="X50" s="84">
        <v>153.69999999999999</v>
      </c>
      <c r="Y50" s="84"/>
      <c r="Z50" s="84"/>
      <c r="AA50" s="61">
        <v>-3.3730000000000002</v>
      </c>
      <c r="AB50" s="82">
        <v>8.4799326299430469</v>
      </c>
      <c r="AC50" s="82">
        <v>195.244</v>
      </c>
      <c r="AD50" s="67"/>
      <c r="AE50" s="61">
        <v>570.33000000000004</v>
      </c>
      <c r="AF50" s="61">
        <v>599.09400000000005</v>
      </c>
      <c r="AG50" s="82">
        <v>3.2709897786146414</v>
      </c>
      <c r="AH50" s="71">
        <v>38.438438438438446</v>
      </c>
      <c r="AI50" s="85"/>
      <c r="AJ50" s="74"/>
      <c r="AK50" s="14"/>
      <c r="AL50" s="14"/>
      <c r="AM50" s="75"/>
      <c r="AN50" s="75"/>
      <c r="AO50" s="75"/>
      <c r="AP50" s="79"/>
      <c r="AQ50" s="79"/>
      <c r="AR50" s="79"/>
      <c r="AS50" s="79"/>
      <c r="AT50" s="77"/>
      <c r="AU50" s="14"/>
      <c r="AV50" s="14"/>
      <c r="AW50" s="14"/>
      <c r="AX50" s="14"/>
      <c r="AY50" s="14"/>
    </row>
    <row r="51" spans="2:51" ht="15.75">
      <c r="B51" s="81" t="s">
        <v>528</v>
      </c>
      <c r="C51" s="60">
        <v>218.63</v>
      </c>
      <c r="D51" s="60">
        <v>218.75399999999999</v>
      </c>
      <c r="E51" s="60">
        <v>192.22300000000001</v>
      </c>
      <c r="F51" s="60">
        <v>4.9089999999999998</v>
      </c>
      <c r="G51" s="60">
        <v>21.622</v>
      </c>
      <c r="H51" s="60">
        <v>26.530999999999999</v>
      </c>
      <c r="I51" s="60">
        <v>193.24299999999999</v>
      </c>
      <c r="J51" s="82"/>
      <c r="K51" s="63">
        <v>3.8134403691465311</v>
      </c>
      <c r="L51" s="63">
        <v>14.349</v>
      </c>
      <c r="M51" s="63">
        <v>5.7505596308534681</v>
      </c>
      <c r="N51" s="63">
        <v>8.7224403691465309</v>
      </c>
      <c r="O51" s="62">
        <v>0.124</v>
      </c>
      <c r="P51" s="63"/>
      <c r="Q51" s="63">
        <v>-4.7850000000000001</v>
      </c>
      <c r="R51" s="64"/>
      <c r="S51" s="63"/>
      <c r="T51" s="61">
        <v>-4.5750000000000002</v>
      </c>
      <c r="U51" s="61">
        <v>-6.99</v>
      </c>
      <c r="V51" s="61">
        <v>20.021000000000001</v>
      </c>
      <c r="W51" s="84"/>
      <c r="X51" s="84">
        <v>151.9</v>
      </c>
      <c r="Y51" s="84"/>
      <c r="Z51" s="84"/>
      <c r="AA51" s="61">
        <v>2.9569999999999999</v>
      </c>
      <c r="AB51" s="82">
        <v>11.555440369146533</v>
      </c>
      <c r="AC51" s="82">
        <v>186.65799999999999</v>
      </c>
      <c r="AD51" s="67"/>
      <c r="AE51" s="61">
        <v>629.55899999999997</v>
      </c>
      <c r="AF51" s="61">
        <v>658.27300000000002</v>
      </c>
      <c r="AG51" s="82">
        <v>1.4231798008055865</v>
      </c>
      <c r="AH51" s="71">
        <v>41.510741510741511</v>
      </c>
      <c r="AI51" s="85"/>
      <c r="AJ51" s="74"/>
      <c r="AK51" s="14"/>
      <c r="AL51" s="14"/>
      <c r="AM51" s="75"/>
      <c r="AN51" s="75"/>
      <c r="AO51" s="75"/>
      <c r="AP51" s="79"/>
      <c r="AQ51" s="79"/>
      <c r="AR51" s="79"/>
      <c r="AS51" s="79"/>
      <c r="AT51" s="77"/>
      <c r="AU51" s="14"/>
      <c r="AV51" s="14"/>
      <c r="AW51" s="14"/>
      <c r="AX51" s="14"/>
      <c r="AY51" s="14"/>
    </row>
    <row r="52" spans="2:51" ht="15.75">
      <c r="B52" s="81" t="s">
        <v>529</v>
      </c>
      <c r="C52" s="60">
        <v>230.37700000000001</v>
      </c>
      <c r="D52" s="60">
        <v>237.69200000000001</v>
      </c>
      <c r="E52" s="60">
        <v>209.589</v>
      </c>
      <c r="F52" s="60">
        <v>6.6740000000000004</v>
      </c>
      <c r="G52" s="60">
        <v>21.428999999999998</v>
      </c>
      <c r="H52" s="60">
        <v>28.103000000000002</v>
      </c>
      <c r="I52" s="60">
        <v>206.55799999999999</v>
      </c>
      <c r="J52" s="82"/>
      <c r="K52" s="63">
        <v>-0.88659837760153548</v>
      </c>
      <c r="L52" s="63">
        <v>6.8419999999999996</v>
      </c>
      <c r="M52" s="63">
        <v>8.3695983776015357</v>
      </c>
      <c r="N52" s="63">
        <v>5.7874016223984626</v>
      </c>
      <c r="O52" s="62">
        <v>7.3150000000000004</v>
      </c>
      <c r="P52" s="63"/>
      <c r="Q52" s="63">
        <v>0.64100000000000001</v>
      </c>
      <c r="R52" s="64"/>
      <c r="S52" s="63"/>
      <c r="T52" s="61">
        <v>-2.6349999999999998</v>
      </c>
      <c r="U52" s="61">
        <v>-0.85099999999999998</v>
      </c>
      <c r="V52" s="61">
        <v>19.79</v>
      </c>
      <c r="W52" s="84"/>
      <c r="X52" s="84">
        <v>151.1</v>
      </c>
      <c r="Y52" s="84"/>
      <c r="Z52" s="84"/>
      <c r="AA52" s="61">
        <v>9.4380000000000006</v>
      </c>
      <c r="AB52" s="82">
        <v>7.9104016223984646</v>
      </c>
      <c r="AC52" s="82">
        <v>188.31899999999999</v>
      </c>
      <c r="AD52" s="67"/>
      <c r="AE52" s="61">
        <v>679.27</v>
      </c>
      <c r="AF52" s="61">
        <v>697.95399999999995</v>
      </c>
      <c r="AG52" s="82">
        <v>-1.019048409082679</v>
      </c>
      <c r="AH52" s="71">
        <v>44.998844998845009</v>
      </c>
      <c r="AI52" s="85"/>
      <c r="AJ52" s="74"/>
      <c r="AK52" s="14"/>
      <c r="AL52" s="14"/>
      <c r="AM52" s="75"/>
      <c r="AN52" s="75"/>
      <c r="AO52" s="75"/>
      <c r="AP52" s="79"/>
      <c r="AQ52" s="79"/>
      <c r="AR52" s="79"/>
      <c r="AS52" s="79"/>
      <c r="AT52" s="77"/>
      <c r="AU52" s="14"/>
      <c r="AV52" s="14"/>
      <c r="AW52" s="14"/>
      <c r="AX52" s="14"/>
      <c r="AY52" s="14"/>
    </row>
    <row r="53" spans="2:51" ht="15.75">
      <c r="B53" s="81" t="s">
        <v>530</v>
      </c>
      <c r="C53" s="60">
        <v>239.63300000000001</v>
      </c>
      <c r="D53" s="60">
        <v>263.39699999999999</v>
      </c>
      <c r="E53" s="60">
        <v>233.67500000000001</v>
      </c>
      <c r="F53" s="60">
        <v>9.0660000000000007</v>
      </c>
      <c r="G53" s="60">
        <v>20.655999999999999</v>
      </c>
      <c r="H53" s="60">
        <v>29.722000000000001</v>
      </c>
      <c r="I53" s="60">
        <v>216.75</v>
      </c>
      <c r="J53" s="82"/>
      <c r="K53" s="63">
        <v>4.8057970083218686</v>
      </c>
      <c r="L53" s="63">
        <v>-10.999000000000001</v>
      </c>
      <c r="M53" s="63">
        <v>-1.1067970083218686</v>
      </c>
      <c r="N53" s="63">
        <v>13.87179700832187</v>
      </c>
      <c r="O53" s="62">
        <v>23.763999999999999</v>
      </c>
      <c r="P53" s="63"/>
      <c r="Q53" s="63">
        <v>14.698</v>
      </c>
      <c r="R53" s="64"/>
      <c r="S53" s="63"/>
      <c r="T53" s="61">
        <v>13.02</v>
      </c>
      <c r="U53" s="61">
        <v>13.753</v>
      </c>
      <c r="V53" s="61">
        <v>17.954000000000001</v>
      </c>
      <c r="W53" s="84"/>
      <c r="X53" s="84">
        <v>165.8</v>
      </c>
      <c r="Y53" s="84"/>
      <c r="Z53" s="84"/>
      <c r="AA53" s="61">
        <v>23.641999999999999</v>
      </c>
      <c r="AB53" s="82">
        <v>13.74979700832187</v>
      </c>
      <c r="AC53" s="82">
        <v>204.68299999999999</v>
      </c>
      <c r="AD53" s="67"/>
      <c r="AE53" s="61">
        <v>714.36300000000006</v>
      </c>
      <c r="AF53" s="61">
        <v>725.30499999999995</v>
      </c>
      <c r="AG53" s="82">
        <v>-2.3618978122783716</v>
      </c>
      <c r="AH53" s="71">
        <v>47.747747747747752</v>
      </c>
      <c r="AI53" s="85"/>
      <c r="AJ53" s="74"/>
      <c r="AK53" s="14"/>
      <c r="AL53" s="14"/>
      <c r="AM53" s="75"/>
      <c r="AN53" s="75"/>
      <c r="AO53" s="75"/>
      <c r="AP53" s="79"/>
      <c r="AQ53" s="79"/>
      <c r="AR53" s="79"/>
      <c r="AS53" s="79"/>
      <c r="AT53" s="77"/>
      <c r="AU53" s="14"/>
      <c r="AV53" s="14"/>
      <c r="AW53" s="14"/>
      <c r="AX53" s="14"/>
      <c r="AY53" s="14"/>
    </row>
    <row r="54" spans="2:51" ht="15.75">
      <c r="B54" s="81" t="s">
        <v>531</v>
      </c>
      <c r="C54" s="60">
        <v>236.905</v>
      </c>
      <c r="D54" s="60">
        <v>283.25200000000001</v>
      </c>
      <c r="E54" s="60">
        <v>254.584</v>
      </c>
      <c r="F54" s="60">
        <v>7.819</v>
      </c>
      <c r="G54" s="60">
        <v>20.849</v>
      </c>
      <c r="H54" s="60">
        <v>28.667999999999999</v>
      </c>
      <c r="I54" s="60">
        <v>214.79599999999999</v>
      </c>
      <c r="J54" s="82"/>
      <c r="K54" s="63">
        <v>26.376443315799033</v>
      </c>
      <c r="L54" s="63">
        <v>-31.83</v>
      </c>
      <c r="M54" s="63">
        <v>-19.678443315799036</v>
      </c>
      <c r="N54" s="63">
        <v>34.195443315799025</v>
      </c>
      <c r="O54" s="62">
        <v>46.347000000000001</v>
      </c>
      <c r="P54" s="63"/>
      <c r="Q54" s="63">
        <v>38.527999999999999</v>
      </c>
      <c r="R54" s="64"/>
      <c r="S54" s="63"/>
      <c r="T54" s="61">
        <v>36.201000000000001</v>
      </c>
      <c r="U54" s="61">
        <v>36.152999999999999</v>
      </c>
      <c r="V54" s="61">
        <v>18.879000000000001</v>
      </c>
      <c r="W54" s="84"/>
      <c r="X54" s="84">
        <v>201.9</v>
      </c>
      <c r="Y54" s="84"/>
      <c r="Z54" s="84"/>
      <c r="AA54" s="61">
        <v>45.783000000000001</v>
      </c>
      <c r="AB54" s="82">
        <v>33.631443315799025</v>
      </c>
      <c r="AC54" s="82">
        <v>248.64599999999999</v>
      </c>
      <c r="AD54" s="67"/>
      <c r="AE54" s="61">
        <v>738.80700000000002</v>
      </c>
      <c r="AF54" s="61">
        <v>756.94200000000001</v>
      </c>
      <c r="AG54" s="82">
        <v>-2.3447486042252104</v>
      </c>
      <c r="AH54" s="71">
        <v>49.064449064449065</v>
      </c>
      <c r="AI54" s="85"/>
      <c r="AJ54" s="74"/>
      <c r="AK54" s="14"/>
      <c r="AL54" s="14"/>
      <c r="AM54" s="75"/>
      <c r="AN54" s="75"/>
      <c r="AO54" s="75"/>
      <c r="AP54" s="79"/>
      <c r="AQ54" s="79"/>
      <c r="AR54" s="79"/>
      <c r="AS54" s="79"/>
      <c r="AT54" s="77"/>
      <c r="AU54" s="14"/>
      <c r="AV54" s="14"/>
      <c r="AW54" s="14"/>
      <c r="AX54" s="14"/>
      <c r="AY54" s="14"/>
    </row>
    <row r="55" spans="2:51" ht="15.75">
      <c r="B55" s="81" t="s">
        <v>532</v>
      </c>
      <c r="C55" s="60">
        <v>244.708</v>
      </c>
      <c r="D55" s="60">
        <v>296.05</v>
      </c>
      <c r="E55" s="60">
        <v>268.66000000000003</v>
      </c>
      <c r="F55" s="60">
        <v>6.1529999999999996</v>
      </c>
      <c r="G55" s="60">
        <v>21.236999999999998</v>
      </c>
      <c r="H55" s="60">
        <v>27.39</v>
      </c>
      <c r="I55" s="60">
        <v>221.792</v>
      </c>
      <c r="J55" s="82"/>
      <c r="K55" s="63">
        <v>35.038215105181756</v>
      </c>
      <c r="L55" s="63">
        <v>-34.418999999999997</v>
      </c>
      <c r="M55" s="63">
        <v>-24.268215105181749</v>
      </c>
      <c r="N55" s="63">
        <v>41.191215105181755</v>
      </c>
      <c r="O55" s="62">
        <v>51.341999999999999</v>
      </c>
      <c r="P55" s="63"/>
      <c r="Q55" s="63">
        <v>45.189</v>
      </c>
      <c r="R55" s="64"/>
      <c r="S55" s="63"/>
      <c r="T55" s="61">
        <v>49.62</v>
      </c>
      <c r="U55" s="61">
        <v>46.107999999999997</v>
      </c>
      <c r="V55" s="61">
        <v>20.562000000000001</v>
      </c>
      <c r="W55" s="84"/>
      <c r="X55" s="84">
        <v>249.8</v>
      </c>
      <c r="Y55" s="84"/>
      <c r="Z55" s="84"/>
      <c r="AA55" s="61">
        <v>51.267000000000003</v>
      </c>
      <c r="AB55" s="82">
        <v>41.116215105181766</v>
      </c>
      <c r="AC55" s="82">
        <v>298.71499999999997</v>
      </c>
      <c r="AD55" s="67"/>
      <c r="AE55" s="61">
        <v>780.64</v>
      </c>
      <c r="AF55" s="61">
        <v>801.96</v>
      </c>
      <c r="AG55" s="82">
        <v>-1.6627320644633916</v>
      </c>
      <c r="AH55" s="71">
        <v>50.450450450450447</v>
      </c>
      <c r="AI55" s="85"/>
      <c r="AJ55" s="74"/>
      <c r="AK55" s="14"/>
      <c r="AL55" s="14"/>
      <c r="AM55" s="75"/>
      <c r="AN55" s="75"/>
      <c r="AO55" s="75"/>
      <c r="AP55" s="79"/>
      <c r="AQ55" s="79"/>
      <c r="AR55" s="79"/>
      <c r="AS55" s="79"/>
      <c r="AT55" s="77"/>
      <c r="AU55" s="14"/>
      <c r="AV55" s="14"/>
      <c r="AW55" s="14"/>
      <c r="AX55" s="14"/>
      <c r="AY55" s="14"/>
    </row>
    <row r="56" spans="2:51" ht="15.75">
      <c r="B56" s="87" t="s">
        <v>533</v>
      </c>
      <c r="C56" s="60">
        <v>264.553</v>
      </c>
      <c r="D56" s="60">
        <v>308.47699999999998</v>
      </c>
      <c r="E56" s="60">
        <v>280.35599999999999</v>
      </c>
      <c r="F56" s="60">
        <v>6.72</v>
      </c>
      <c r="G56" s="60">
        <v>21.401</v>
      </c>
      <c r="H56" s="60">
        <v>28.120999999999999</v>
      </c>
      <c r="I56" s="60">
        <v>240.98</v>
      </c>
      <c r="J56" s="88"/>
      <c r="K56" s="63">
        <v>32.613326856018858</v>
      </c>
      <c r="L56" s="63">
        <v>-24.140999999999998</v>
      </c>
      <c r="M56" s="63">
        <v>-19.550326856018849</v>
      </c>
      <c r="N56" s="63">
        <v>39.33332685601885</v>
      </c>
      <c r="O56" s="62">
        <v>43.923999999999999</v>
      </c>
      <c r="P56" s="89"/>
      <c r="Q56" s="63">
        <v>37.204000000000001</v>
      </c>
      <c r="R56" s="64"/>
      <c r="S56" s="89"/>
      <c r="T56" s="61">
        <v>39.026000000000003</v>
      </c>
      <c r="U56" s="61">
        <v>36.743000000000002</v>
      </c>
      <c r="V56" s="61">
        <v>23.177</v>
      </c>
      <c r="W56" s="90"/>
      <c r="X56" s="84">
        <v>290</v>
      </c>
      <c r="Y56" s="84"/>
      <c r="Z56" s="84"/>
      <c r="AA56" s="61">
        <v>45.823999999999998</v>
      </c>
      <c r="AB56" s="82">
        <v>41.233326856018849</v>
      </c>
      <c r="AC56" s="82">
        <v>339.93099999999998</v>
      </c>
      <c r="AD56" s="91"/>
      <c r="AE56" s="61">
        <v>820.88199999999995</v>
      </c>
      <c r="AF56" s="61">
        <v>839.38699999999994</v>
      </c>
      <c r="AG56" s="82">
        <v>-0.45338050996354412</v>
      </c>
      <c r="AH56" s="71">
        <v>51.282051282051292</v>
      </c>
      <c r="AI56" s="92"/>
      <c r="AJ56" s="93"/>
      <c r="AK56" s="94"/>
      <c r="AL56" s="94"/>
      <c r="AM56" s="95"/>
      <c r="AN56" s="95"/>
      <c r="AO56" s="95"/>
      <c r="AP56" s="96"/>
      <c r="AQ56" s="96"/>
      <c r="AR56" s="96"/>
      <c r="AS56" s="96"/>
      <c r="AT56" s="97"/>
      <c r="AU56" s="94"/>
      <c r="AV56" s="94"/>
      <c r="AW56" s="94"/>
      <c r="AX56" s="94"/>
      <c r="AY56" s="94"/>
    </row>
    <row r="57" spans="2:51" ht="15.75">
      <c r="B57" s="87" t="s">
        <v>534</v>
      </c>
      <c r="C57" s="60">
        <v>287.3</v>
      </c>
      <c r="D57" s="60">
        <v>322.83499999999998</v>
      </c>
      <c r="E57" s="60">
        <v>294.28899999999999</v>
      </c>
      <c r="F57" s="60">
        <v>6.61</v>
      </c>
      <c r="G57" s="60">
        <v>21.936</v>
      </c>
      <c r="H57" s="60">
        <v>28.545999999999999</v>
      </c>
      <c r="I57" s="60">
        <v>260.55799999999999</v>
      </c>
      <c r="J57" s="88"/>
      <c r="K57" s="63">
        <v>25.027430462613633</v>
      </c>
      <c r="L57" s="63">
        <v>-12.762</v>
      </c>
      <c r="M57" s="63">
        <v>-8.8644304626136297</v>
      </c>
      <c r="N57" s="63">
        <v>31.637430462613633</v>
      </c>
      <c r="O57" s="62">
        <v>35.534999999999997</v>
      </c>
      <c r="P57" s="89"/>
      <c r="Q57" s="63">
        <v>28.925000000000001</v>
      </c>
      <c r="R57" s="64"/>
      <c r="S57" s="89"/>
      <c r="T57" s="61">
        <v>35.338000000000001</v>
      </c>
      <c r="U57" s="61">
        <v>31.538</v>
      </c>
      <c r="V57" s="61">
        <v>26.530999999999999</v>
      </c>
      <c r="W57" s="90"/>
      <c r="X57" s="84">
        <v>322.10000000000002</v>
      </c>
      <c r="Y57" s="84"/>
      <c r="Z57" s="84"/>
      <c r="AA57" s="61">
        <v>37.363</v>
      </c>
      <c r="AB57" s="82">
        <v>33.465430462613632</v>
      </c>
      <c r="AC57" s="82">
        <v>377.35500000000002</v>
      </c>
      <c r="AD57" s="91"/>
      <c r="AE57" s="61">
        <v>863.06200000000001</v>
      </c>
      <c r="AF57" s="61">
        <v>893.44299999999998</v>
      </c>
      <c r="AG57" s="82">
        <v>-0.72184351947045644</v>
      </c>
      <c r="AH57" s="71">
        <v>52.922152922152918</v>
      </c>
      <c r="AI57" s="92"/>
      <c r="AJ57" s="93"/>
      <c r="AK57" s="94"/>
      <c r="AL57" s="94"/>
      <c r="AM57" s="95"/>
      <c r="AN57" s="95"/>
      <c r="AO57" s="95"/>
      <c r="AP57" s="96"/>
      <c r="AQ57" s="96"/>
      <c r="AR57" s="96"/>
      <c r="AS57" s="96"/>
      <c r="AT57" s="97"/>
      <c r="AU57" s="94"/>
      <c r="AV57" s="94"/>
      <c r="AW57" s="94"/>
      <c r="AX57" s="94"/>
      <c r="AY57" s="94"/>
    </row>
    <row r="58" spans="2:51" ht="15.75">
      <c r="B58" s="87" t="s">
        <v>535</v>
      </c>
      <c r="C58" s="60">
        <v>299.51100000000002</v>
      </c>
      <c r="D58" s="60">
        <v>328.435</v>
      </c>
      <c r="E58" s="60">
        <v>303.46699999999998</v>
      </c>
      <c r="F58" s="60">
        <v>3.2989999999999999</v>
      </c>
      <c r="G58" s="60">
        <v>21.669</v>
      </c>
      <c r="H58" s="60">
        <v>24.968</v>
      </c>
      <c r="I58" s="60">
        <v>273.89299999999997</v>
      </c>
      <c r="J58" s="88"/>
      <c r="K58" s="63">
        <v>23.426554905298318</v>
      </c>
      <c r="L58" s="63">
        <v>-4.718</v>
      </c>
      <c r="M58" s="63">
        <v>-2.5195549052983184</v>
      </c>
      <c r="N58" s="63">
        <v>26.725554905298328</v>
      </c>
      <c r="O58" s="62">
        <v>28.923999999999999</v>
      </c>
      <c r="P58" s="89"/>
      <c r="Q58" s="63">
        <v>25.625</v>
      </c>
      <c r="R58" s="64"/>
      <c r="S58" s="89"/>
      <c r="T58" s="61">
        <v>25.105</v>
      </c>
      <c r="U58" s="61">
        <v>22.620999999999999</v>
      </c>
      <c r="V58" s="61">
        <v>27.991</v>
      </c>
      <c r="W58" s="90"/>
      <c r="X58" s="84">
        <v>347</v>
      </c>
      <c r="Y58" s="84"/>
      <c r="Z58" s="84"/>
      <c r="AA58" s="61">
        <v>30.835000000000001</v>
      </c>
      <c r="AB58" s="82">
        <v>28.636554905298318</v>
      </c>
      <c r="AC58" s="82">
        <v>408.60899999999998</v>
      </c>
      <c r="AD58" s="91"/>
      <c r="AE58" s="61">
        <v>923</v>
      </c>
      <c r="AF58" s="61">
        <v>948.86599999999999</v>
      </c>
      <c r="AG58" s="82">
        <v>-0.18763206018617951</v>
      </c>
      <c r="AH58" s="71">
        <v>54.700854700854705</v>
      </c>
      <c r="AI58" s="92"/>
      <c r="AJ58" s="93"/>
      <c r="AK58" s="94"/>
      <c r="AL58" s="94"/>
      <c r="AM58" s="95"/>
      <c r="AN58" s="95"/>
      <c r="AO58" s="95"/>
      <c r="AP58" s="96"/>
      <c r="AQ58" s="96"/>
      <c r="AR58" s="96"/>
      <c r="AS58" s="96"/>
      <c r="AT58" s="97"/>
      <c r="AU58" s="94"/>
      <c r="AV58" s="94"/>
      <c r="AW58" s="94"/>
      <c r="AX58" s="94"/>
      <c r="AY58" s="94"/>
    </row>
    <row r="59" spans="2:51" ht="15.75">
      <c r="B59" s="87" t="s">
        <v>536</v>
      </c>
      <c r="C59" s="60">
        <v>334.06700000000001</v>
      </c>
      <c r="D59" s="60">
        <v>344.36599999999999</v>
      </c>
      <c r="E59" s="60">
        <v>317.214</v>
      </c>
      <c r="F59" s="60">
        <v>4.8049999999999997</v>
      </c>
      <c r="G59" s="60">
        <v>22.347000000000001</v>
      </c>
      <c r="H59" s="60">
        <v>27.152000000000001</v>
      </c>
      <c r="I59" s="60">
        <v>301.03899999999999</v>
      </c>
      <c r="J59" s="88"/>
      <c r="K59" s="63">
        <v>10.972333517752748</v>
      </c>
      <c r="L59" s="63">
        <v>15.192</v>
      </c>
      <c r="M59" s="63">
        <v>9.7136664822472483</v>
      </c>
      <c r="N59" s="63">
        <v>15.777333517752751</v>
      </c>
      <c r="O59" s="62">
        <v>10.298999999999999</v>
      </c>
      <c r="P59" s="89"/>
      <c r="Q59" s="63">
        <v>5.4939999999999998</v>
      </c>
      <c r="R59" s="64"/>
      <c r="S59" s="89"/>
      <c r="T59" s="61">
        <v>3.5430000000000001</v>
      </c>
      <c r="U59" s="61">
        <v>0.90100000000000002</v>
      </c>
      <c r="V59" s="61">
        <v>29.82</v>
      </c>
      <c r="W59" s="90"/>
      <c r="X59" s="84">
        <v>360.4</v>
      </c>
      <c r="Y59" s="84">
        <v>361.2</v>
      </c>
      <c r="Z59" s="84"/>
      <c r="AA59" s="61">
        <v>9.5960000000000001</v>
      </c>
      <c r="AB59" s="82">
        <v>15.074333517752748</v>
      </c>
      <c r="AC59" s="82">
        <v>412.27800000000002</v>
      </c>
      <c r="AD59" s="91"/>
      <c r="AE59" s="61">
        <v>964.68299999999999</v>
      </c>
      <c r="AF59" s="61">
        <v>983.43200000000002</v>
      </c>
      <c r="AG59" s="82">
        <v>1.2108318349521903</v>
      </c>
      <c r="AH59" s="71">
        <v>54.723954723954726</v>
      </c>
      <c r="AI59" s="92"/>
      <c r="AJ59" s="93"/>
      <c r="AK59" s="94"/>
      <c r="AL59" s="94"/>
      <c r="AM59" s="95"/>
      <c r="AN59" s="95"/>
      <c r="AO59" s="95"/>
      <c r="AP59" s="96"/>
      <c r="AQ59" s="96"/>
      <c r="AR59" s="96"/>
      <c r="AS59" s="96"/>
      <c r="AT59" s="97"/>
      <c r="AU59" s="94"/>
      <c r="AV59" s="94"/>
      <c r="AW59" s="94"/>
      <c r="AX59" s="94"/>
      <c r="AY59" s="94"/>
    </row>
    <row r="60" spans="2:51" ht="15.75">
      <c r="B60" s="87" t="s">
        <v>537</v>
      </c>
      <c r="C60" s="60">
        <v>355.10899999999998</v>
      </c>
      <c r="D60" s="60">
        <v>355.06700000000001</v>
      </c>
      <c r="E60" s="60">
        <v>326.88299999999998</v>
      </c>
      <c r="F60" s="60">
        <v>5.173</v>
      </c>
      <c r="G60" s="60">
        <v>23.010999999999999</v>
      </c>
      <c r="H60" s="60">
        <v>28.184000000000001</v>
      </c>
      <c r="I60" s="60">
        <v>321.166</v>
      </c>
      <c r="J60" s="88"/>
      <c r="K60" s="63">
        <v>1.8891027193487344</v>
      </c>
      <c r="L60" s="63">
        <v>25.071999999999999</v>
      </c>
      <c r="M60" s="63">
        <v>17.967897280651265</v>
      </c>
      <c r="N60" s="63">
        <v>7.0621027193487347</v>
      </c>
      <c r="O60" s="62">
        <v>-4.2000000000000003E-2</v>
      </c>
      <c r="P60" s="89"/>
      <c r="Q60" s="63">
        <v>-5.2149999999999999</v>
      </c>
      <c r="R60" s="64"/>
      <c r="S60" s="89"/>
      <c r="T60" s="61">
        <v>-4.5449999999999999</v>
      </c>
      <c r="U60" s="61">
        <v>-7.6879999999999997</v>
      </c>
      <c r="V60" s="61">
        <v>29.442</v>
      </c>
      <c r="W60" s="90"/>
      <c r="X60" s="84">
        <v>363.1</v>
      </c>
      <c r="Y60" s="84">
        <v>364</v>
      </c>
      <c r="Z60" s="84"/>
      <c r="AA60" s="61">
        <v>-1.226</v>
      </c>
      <c r="AB60" s="82">
        <v>5.8781027193487345</v>
      </c>
      <c r="AC60" s="82">
        <v>415.12099999999998</v>
      </c>
      <c r="AD60" s="91"/>
      <c r="AE60" s="61">
        <v>1010.045</v>
      </c>
      <c r="AF60" s="61">
        <v>1033.4169999999999</v>
      </c>
      <c r="AG60" s="82">
        <v>0.92235760542949352</v>
      </c>
      <c r="AH60" s="71">
        <v>55.463155463155466</v>
      </c>
      <c r="AI60" s="92"/>
      <c r="AJ60" s="93"/>
      <c r="AK60" s="94"/>
      <c r="AL60" s="94"/>
      <c r="AM60" s="95"/>
      <c r="AN60" s="95"/>
      <c r="AO60" s="95"/>
      <c r="AP60" s="96"/>
      <c r="AQ60" s="96"/>
      <c r="AR60" s="96"/>
      <c r="AS60" s="96"/>
      <c r="AT60" s="97"/>
      <c r="AU60" s="94"/>
      <c r="AV60" s="94"/>
      <c r="AW60" s="94"/>
      <c r="AX60" s="94"/>
      <c r="AY60" s="94"/>
    </row>
    <row r="61" spans="2:51" ht="15.75">
      <c r="B61" s="87" t="s">
        <v>538</v>
      </c>
      <c r="C61" s="60">
        <v>379.03</v>
      </c>
      <c r="D61" s="60">
        <v>367.70100000000002</v>
      </c>
      <c r="E61" s="60">
        <v>338.59800000000001</v>
      </c>
      <c r="F61" s="60">
        <v>4.9119999999999999</v>
      </c>
      <c r="G61" s="60">
        <v>24.190999999999999</v>
      </c>
      <c r="H61" s="60">
        <v>29.103000000000002</v>
      </c>
      <c r="I61" s="60">
        <v>344.32299999999998</v>
      </c>
      <c r="J61" s="88"/>
      <c r="K61" s="63">
        <v>-9.6630907674224016</v>
      </c>
      <c r="L61" s="63">
        <v>33.438000000000002</v>
      </c>
      <c r="M61" s="63">
        <v>26.860090767422403</v>
      </c>
      <c r="N61" s="63">
        <v>-4.7510907674224025</v>
      </c>
      <c r="O61" s="62">
        <v>-11.329000000000001</v>
      </c>
      <c r="P61" s="89"/>
      <c r="Q61" s="63">
        <v>-16.241</v>
      </c>
      <c r="R61" s="99">
        <v>299.65899999999999</v>
      </c>
      <c r="S61" s="89"/>
      <c r="T61" s="61">
        <v>-9.1370000000000005</v>
      </c>
      <c r="U61" s="61">
        <v>-8.76</v>
      </c>
      <c r="V61" s="61">
        <v>25.899000000000001</v>
      </c>
      <c r="W61" s="90"/>
      <c r="X61" s="84">
        <v>353.3</v>
      </c>
      <c r="Y61" s="84">
        <v>354.4</v>
      </c>
      <c r="Z61" s="84">
        <v>357.32600000000002</v>
      </c>
      <c r="AA61" s="61">
        <v>-11.237</v>
      </c>
      <c r="AB61" s="82">
        <v>-4.6590907674224011</v>
      </c>
      <c r="AC61" s="82">
        <v>408.327</v>
      </c>
      <c r="AD61" s="91"/>
      <c r="AE61" s="61">
        <v>1058.018</v>
      </c>
      <c r="AF61" s="61">
        <v>1087.3520000000001</v>
      </c>
      <c r="AG61" s="82">
        <v>0.87449690546190983</v>
      </c>
      <c r="AH61" s="71">
        <v>56.202356202356206</v>
      </c>
      <c r="AI61" s="92"/>
      <c r="AJ61" s="93"/>
      <c r="AK61" s="94"/>
      <c r="AL61" s="94"/>
      <c r="AM61" s="95"/>
      <c r="AN61" s="95"/>
      <c r="AO61" s="95"/>
      <c r="AP61" s="96"/>
      <c r="AQ61" s="96"/>
      <c r="AR61" s="96"/>
      <c r="AS61" s="96"/>
      <c r="AT61" s="97"/>
      <c r="AU61" s="94"/>
      <c r="AV61" s="94"/>
      <c r="AW61" s="94"/>
      <c r="AX61" s="94"/>
      <c r="AY61" s="94"/>
    </row>
    <row r="62" spans="2:51" ht="15.75">
      <c r="B62" s="87" t="s">
        <v>391</v>
      </c>
      <c r="C62" s="60">
        <v>406.98</v>
      </c>
      <c r="D62" s="60">
        <v>390.76299999999998</v>
      </c>
      <c r="E62" s="60">
        <v>361.06599999999997</v>
      </c>
      <c r="F62" s="60">
        <v>4.5110000000000001</v>
      </c>
      <c r="G62" s="60">
        <v>25.186</v>
      </c>
      <c r="H62" s="60">
        <v>29.696999999999999</v>
      </c>
      <c r="I62" s="60">
        <v>368.48399999999998</v>
      </c>
      <c r="J62" s="88"/>
      <c r="K62" s="63">
        <v>-11.697983908879767</v>
      </c>
      <c r="L62" s="63">
        <v>37.487000000000002</v>
      </c>
      <c r="M62" s="63">
        <v>28.456983908879767</v>
      </c>
      <c r="N62" s="63">
        <v>-7.1869839088797631</v>
      </c>
      <c r="O62" s="62">
        <v>-16.216999999999999</v>
      </c>
      <c r="P62" s="89"/>
      <c r="Q62" s="63">
        <v>-20.728000000000002</v>
      </c>
      <c r="R62" s="99">
        <v>306.70100000000002</v>
      </c>
      <c r="S62" s="89"/>
      <c r="T62" s="61">
        <v>-35.569000000000003</v>
      </c>
      <c r="U62" s="61">
        <v>-38.027999999999999</v>
      </c>
      <c r="V62" s="61">
        <v>26.890999999999998</v>
      </c>
      <c r="W62" s="90"/>
      <c r="X62" s="84">
        <v>322</v>
      </c>
      <c r="Y62" s="84">
        <v>323.2</v>
      </c>
      <c r="Z62" s="84">
        <v>375.24200000000002</v>
      </c>
      <c r="AA62" s="61">
        <v>-15.45</v>
      </c>
      <c r="AB62" s="82">
        <v>-6.4199839088797663</v>
      </c>
      <c r="AC62" s="82">
        <v>398.36500000000001</v>
      </c>
      <c r="AD62" s="91"/>
      <c r="AE62" s="61">
        <v>1114.6880000000001</v>
      </c>
      <c r="AF62" s="61">
        <v>1138.8</v>
      </c>
      <c r="AG62" s="82">
        <v>1.2703884276154733</v>
      </c>
      <c r="AH62" s="71">
        <v>56.756756756756758</v>
      </c>
      <c r="AI62" s="92"/>
      <c r="AJ62" s="93"/>
      <c r="AK62" s="94"/>
      <c r="AL62" s="94"/>
      <c r="AM62" s="95"/>
      <c r="AN62" s="95"/>
      <c r="AO62" s="95"/>
      <c r="AP62" s="96"/>
      <c r="AQ62" s="96"/>
      <c r="AR62" s="96"/>
      <c r="AS62" s="96"/>
      <c r="AT62" s="97"/>
      <c r="AU62" s="94"/>
      <c r="AV62" s="94"/>
      <c r="AW62" s="94"/>
      <c r="AX62" s="94"/>
      <c r="AY62" s="94"/>
    </row>
    <row r="63" spans="2:51" ht="15.75">
      <c r="B63" s="87" t="s">
        <v>392</v>
      </c>
      <c r="C63" s="60">
        <v>412.89499999999998</v>
      </c>
      <c r="D63" s="60">
        <v>418.68599999999998</v>
      </c>
      <c r="E63" s="60">
        <v>379.71499999999997</v>
      </c>
      <c r="F63" s="60">
        <v>12.641</v>
      </c>
      <c r="G63" s="60">
        <v>26.33</v>
      </c>
      <c r="H63" s="60">
        <v>38.970999999999997</v>
      </c>
      <c r="I63" s="60">
        <v>374.52699999999999</v>
      </c>
      <c r="J63" s="88"/>
      <c r="K63" s="63">
        <v>0.10580179476258252</v>
      </c>
      <c r="L63" s="63">
        <v>13.8</v>
      </c>
      <c r="M63" s="63">
        <v>6.8441982052374186</v>
      </c>
      <c r="N63" s="63">
        <v>12.746801794762581</v>
      </c>
      <c r="O63" s="62">
        <v>5.7910000000000004</v>
      </c>
      <c r="P63" s="89"/>
      <c r="Q63" s="63">
        <v>-6.85</v>
      </c>
      <c r="R63" s="99">
        <v>333.73899999999998</v>
      </c>
      <c r="S63" s="89"/>
      <c r="T63" s="61">
        <v>2.7709999999999999</v>
      </c>
      <c r="U63" s="61">
        <v>3.9950000000000001</v>
      </c>
      <c r="V63" s="61">
        <v>23.015000000000001</v>
      </c>
      <c r="W63" s="90"/>
      <c r="X63" s="84">
        <v>330.6</v>
      </c>
      <c r="Y63" s="84">
        <v>331.8</v>
      </c>
      <c r="Z63" s="84">
        <v>407.63099999999997</v>
      </c>
      <c r="AA63" s="61">
        <v>5</v>
      </c>
      <c r="AB63" s="82">
        <v>11.955801794762584</v>
      </c>
      <c r="AC63" s="82">
        <v>397.654</v>
      </c>
      <c r="AD63" s="91"/>
      <c r="AE63" s="61">
        <v>1152.3630000000001</v>
      </c>
      <c r="AF63" s="61">
        <v>1176</v>
      </c>
      <c r="AG63" s="82">
        <v>0.69906870587446535</v>
      </c>
      <c r="AH63" s="71">
        <v>57.726957726957728</v>
      </c>
      <c r="AI63" s="92"/>
      <c r="AJ63" s="93"/>
      <c r="AK63" s="94"/>
      <c r="AL63" s="94"/>
      <c r="AM63" s="95"/>
      <c r="AN63" s="95"/>
      <c r="AO63" s="95"/>
      <c r="AP63" s="96"/>
      <c r="AQ63" s="96"/>
      <c r="AR63" s="96"/>
      <c r="AS63" s="96"/>
      <c r="AT63" s="97"/>
      <c r="AU63" s="94"/>
      <c r="AV63" s="94"/>
      <c r="AW63" s="94"/>
      <c r="AX63" s="94"/>
      <c r="AY63" s="94"/>
    </row>
    <row r="64" spans="2:51" ht="15.75">
      <c r="B64" s="87" t="s">
        <v>393</v>
      </c>
      <c r="C64" s="60">
        <v>418.72899999999998</v>
      </c>
      <c r="D64" s="60">
        <v>454.01100000000002</v>
      </c>
      <c r="E64" s="60">
        <v>408.35300000000001</v>
      </c>
      <c r="F64" s="60">
        <v>17.466000000000001</v>
      </c>
      <c r="G64" s="60">
        <v>28.192</v>
      </c>
      <c r="H64" s="60">
        <v>45.658000000000001</v>
      </c>
      <c r="I64" s="60">
        <v>380.16399999999999</v>
      </c>
      <c r="J64" s="88"/>
      <c r="K64" s="63">
        <v>19.950776716373287</v>
      </c>
      <c r="L64" s="63">
        <v>-15.326000000000001</v>
      </c>
      <c r="M64" s="63">
        <v>-17.460776716373285</v>
      </c>
      <c r="N64" s="63">
        <v>37.416776716373285</v>
      </c>
      <c r="O64" s="62">
        <v>35.281999999999996</v>
      </c>
      <c r="P64" s="89"/>
      <c r="Q64" s="63">
        <v>17.815999999999999</v>
      </c>
      <c r="R64" s="99">
        <v>388.404</v>
      </c>
      <c r="S64" s="89"/>
      <c r="T64" s="61">
        <v>21.751000000000001</v>
      </c>
      <c r="U64" s="61">
        <v>23.382000000000001</v>
      </c>
      <c r="V64" s="61">
        <v>21.748000000000001</v>
      </c>
      <c r="W64" s="90"/>
      <c r="X64" s="84">
        <v>369.2</v>
      </c>
      <c r="Y64" s="84">
        <v>370.3</v>
      </c>
      <c r="Z64" s="84">
        <v>459.57499999999999</v>
      </c>
      <c r="AA64" s="61">
        <v>30.498000000000001</v>
      </c>
      <c r="AB64" s="82">
        <v>32.632776716373293</v>
      </c>
      <c r="AC64" s="82">
        <v>422.005</v>
      </c>
      <c r="AD64" s="91"/>
      <c r="AE64" s="61">
        <v>1208.8630000000001</v>
      </c>
      <c r="AF64" s="61">
        <v>1239.0719999999999</v>
      </c>
      <c r="AG64" s="82">
        <v>7.3560052775912529E-2</v>
      </c>
      <c r="AH64" s="71">
        <v>59.020559020559027</v>
      </c>
      <c r="AI64" s="92"/>
      <c r="AJ64" s="93"/>
      <c r="AK64" s="94"/>
      <c r="AL64" s="94"/>
      <c r="AM64" s="95"/>
      <c r="AN64" s="95"/>
      <c r="AO64" s="95"/>
      <c r="AP64" s="96"/>
      <c r="AQ64" s="96"/>
      <c r="AR64" s="96"/>
      <c r="AS64" s="96"/>
      <c r="AT64" s="97"/>
      <c r="AU64" s="94"/>
      <c r="AV64" s="94"/>
      <c r="AW64" s="94"/>
      <c r="AX64" s="94"/>
      <c r="AY64" s="94"/>
    </row>
    <row r="65" spans="1:51" ht="15.75">
      <c r="A65" s="98"/>
      <c r="B65" s="87" t="s">
        <v>394</v>
      </c>
      <c r="C65" s="60">
        <v>451.34300000000002</v>
      </c>
      <c r="D65" s="60">
        <v>495.286</v>
      </c>
      <c r="E65" s="60">
        <v>445.37599999999998</v>
      </c>
      <c r="F65" s="60">
        <v>21.535</v>
      </c>
      <c r="G65" s="60">
        <v>28.375</v>
      </c>
      <c r="H65" s="60">
        <v>49.91</v>
      </c>
      <c r="I65" s="60">
        <v>411.702</v>
      </c>
      <c r="J65" s="88"/>
      <c r="K65" s="63">
        <v>25.037594449616599</v>
      </c>
      <c r="L65" s="63">
        <v>-21.545999999999999</v>
      </c>
      <c r="M65" s="63">
        <v>-24.17559444961659</v>
      </c>
      <c r="N65" s="63">
        <v>46.572594449616588</v>
      </c>
      <c r="O65" s="62">
        <v>43.942999999999998</v>
      </c>
      <c r="P65" s="89"/>
      <c r="Q65" s="63">
        <v>22.408000000000001</v>
      </c>
      <c r="R65" s="99">
        <v>409.01400000000001</v>
      </c>
      <c r="S65" s="89"/>
      <c r="T65" s="61">
        <v>39.390999999999998</v>
      </c>
      <c r="U65" s="61">
        <v>39.984999999999999</v>
      </c>
      <c r="V65" s="61">
        <v>23.221</v>
      </c>
      <c r="W65" s="90"/>
      <c r="X65" s="84">
        <v>404.5</v>
      </c>
      <c r="Y65" s="84">
        <v>405.9</v>
      </c>
      <c r="Z65" s="84">
        <v>494.28800000000001</v>
      </c>
      <c r="AA65" s="61">
        <v>37.652000000000001</v>
      </c>
      <c r="AB65" s="82">
        <v>40.281594449616591</v>
      </c>
      <c r="AC65" s="82">
        <v>467.67500000000001</v>
      </c>
      <c r="AD65" s="91"/>
      <c r="AE65" s="61">
        <v>1272.6020000000001</v>
      </c>
      <c r="AF65" s="61">
        <v>1307.5989999999999</v>
      </c>
      <c r="AG65" s="82">
        <v>0.38383864068281015</v>
      </c>
      <c r="AH65" s="71">
        <v>60.360360360360367</v>
      </c>
      <c r="AI65" s="92"/>
      <c r="AJ65" s="93"/>
      <c r="AK65" s="94"/>
      <c r="AL65" s="94"/>
      <c r="AM65" s="95"/>
      <c r="AN65" s="95"/>
      <c r="AO65" s="95"/>
      <c r="AP65" s="96"/>
      <c r="AQ65" s="96"/>
      <c r="AR65" s="96"/>
      <c r="AS65" s="96"/>
      <c r="AT65" s="97"/>
      <c r="AU65" s="94"/>
      <c r="AV65" s="94"/>
      <c r="AW65" s="94"/>
      <c r="AX65" s="94"/>
      <c r="AY65" s="94"/>
    </row>
    <row r="66" spans="1:51" ht="15.75">
      <c r="A66" s="98"/>
      <c r="B66" s="87" t="s">
        <v>395</v>
      </c>
      <c r="C66" s="60">
        <v>483.76600000000002</v>
      </c>
      <c r="D66" s="60">
        <v>535.93100000000004</v>
      </c>
      <c r="E66" s="60">
        <v>478.62700000000001</v>
      </c>
      <c r="F66" s="60">
        <v>27.46</v>
      </c>
      <c r="G66" s="60">
        <v>29.844000000000001</v>
      </c>
      <c r="H66" s="60">
        <v>57.304000000000002</v>
      </c>
      <c r="I66" s="60">
        <v>442.16500000000002</v>
      </c>
      <c r="J66" s="88"/>
      <c r="K66" s="63">
        <v>28.975574775969697</v>
      </c>
      <c r="L66" s="63">
        <v>-27.969000000000001</v>
      </c>
      <c r="M66" s="63">
        <v>-32.239574775969693</v>
      </c>
      <c r="N66" s="63">
        <v>56.435574775969705</v>
      </c>
      <c r="O66" s="62">
        <v>52.164999999999999</v>
      </c>
      <c r="P66" s="89"/>
      <c r="Q66" s="63">
        <v>24.704999999999998</v>
      </c>
      <c r="R66" s="99">
        <v>459.69499999999999</v>
      </c>
      <c r="S66" s="89"/>
      <c r="T66" s="61">
        <v>41.110999999999997</v>
      </c>
      <c r="U66" s="61">
        <v>42.363999999999997</v>
      </c>
      <c r="V66" s="61">
        <v>25.885000000000002</v>
      </c>
      <c r="W66" s="90"/>
      <c r="X66" s="84">
        <v>460.9</v>
      </c>
      <c r="Y66" s="84">
        <v>462.4</v>
      </c>
      <c r="Z66" s="84">
        <v>517.89599999999996</v>
      </c>
      <c r="AA66" s="61">
        <v>44.683</v>
      </c>
      <c r="AB66" s="82">
        <v>48.953574775969699</v>
      </c>
      <c r="AC66" s="82">
        <v>525.61800000000005</v>
      </c>
      <c r="AD66" s="91"/>
      <c r="AE66" s="61">
        <v>1342.153</v>
      </c>
      <c r="AF66" s="61">
        <v>1377.3340000000001</v>
      </c>
      <c r="AG66" s="82">
        <v>0.48284128705937113</v>
      </c>
      <c r="AH66" s="71">
        <v>62.162162162162168</v>
      </c>
      <c r="AI66" s="92"/>
      <c r="AJ66" s="93"/>
      <c r="AK66" s="94"/>
      <c r="AL66" s="94"/>
      <c r="AM66" s="95"/>
      <c r="AN66" s="95"/>
      <c r="AO66" s="95"/>
      <c r="AP66" s="96"/>
      <c r="AQ66" s="96"/>
      <c r="AR66" s="96"/>
      <c r="AS66" s="96"/>
      <c r="AT66" s="97"/>
      <c r="AU66" s="94"/>
      <c r="AV66" s="94"/>
      <c r="AW66" s="94"/>
      <c r="AX66" s="94"/>
      <c r="AY66" s="94"/>
    </row>
    <row r="67" spans="1:51" ht="15.75">
      <c r="A67" s="98"/>
      <c r="B67" s="87" t="s">
        <v>396</v>
      </c>
      <c r="C67" s="60">
        <v>520.53399999999999</v>
      </c>
      <c r="D67" s="60">
        <v>566.48199999999997</v>
      </c>
      <c r="E67" s="60">
        <v>508.00799999999998</v>
      </c>
      <c r="F67" s="60">
        <v>26.271000000000001</v>
      </c>
      <c r="G67" s="60">
        <v>32.203000000000003</v>
      </c>
      <c r="H67" s="60">
        <v>58.473999999999997</v>
      </c>
      <c r="I67" s="60">
        <v>473.17</v>
      </c>
      <c r="J67" s="88"/>
      <c r="K67" s="63">
        <v>23.301616701883319</v>
      </c>
      <c r="L67" s="63">
        <v>-20.558</v>
      </c>
      <c r="M67" s="63">
        <v>-24.182616701883319</v>
      </c>
      <c r="N67" s="63">
        <v>49.572616701883319</v>
      </c>
      <c r="O67" s="62">
        <v>45.948</v>
      </c>
      <c r="P67" s="89"/>
      <c r="Q67" s="63">
        <v>19.677</v>
      </c>
      <c r="R67" s="99">
        <v>471.42099999999999</v>
      </c>
      <c r="S67" s="89"/>
      <c r="T67" s="61">
        <v>43.04</v>
      </c>
      <c r="U67" s="61">
        <v>43.04</v>
      </c>
      <c r="V67" s="61">
        <v>27.797000000000001</v>
      </c>
      <c r="W67" s="88"/>
      <c r="X67" s="84">
        <v>499.4</v>
      </c>
      <c r="Y67" s="84">
        <v>501.6</v>
      </c>
      <c r="Z67" s="84">
        <v>514.23199999999997</v>
      </c>
      <c r="AA67" s="61">
        <v>42.091999999999999</v>
      </c>
      <c r="AB67" s="82">
        <v>45.716616701883325</v>
      </c>
      <c r="AC67" s="82">
        <v>574.74400000000003</v>
      </c>
      <c r="AD67" s="91"/>
      <c r="AE67" s="61">
        <v>1418.4169999999999</v>
      </c>
      <c r="AF67" s="61">
        <v>1455.5</v>
      </c>
      <c r="AG67" s="82">
        <v>0.31794262507422538</v>
      </c>
      <c r="AH67" s="71">
        <v>63.871563871563872</v>
      </c>
      <c r="AI67" s="92"/>
      <c r="AJ67" s="93"/>
      <c r="AK67" s="94"/>
      <c r="AL67" s="94"/>
      <c r="AM67" s="95"/>
      <c r="AN67" s="95"/>
      <c r="AO67" s="95"/>
      <c r="AP67" s="96"/>
      <c r="AQ67" s="96"/>
      <c r="AR67" s="96"/>
      <c r="AS67" s="96"/>
      <c r="AT67" s="97"/>
      <c r="AU67" s="94"/>
      <c r="AV67" s="94"/>
      <c r="AW67" s="94"/>
      <c r="AX67" s="94"/>
      <c r="AY67" s="94"/>
    </row>
    <row r="68" spans="1:51" ht="15.75">
      <c r="A68" s="98"/>
      <c r="B68" s="87" t="s">
        <v>397</v>
      </c>
      <c r="C68" s="60">
        <v>552.42499999999995</v>
      </c>
      <c r="D68" s="60">
        <v>594.02700000000004</v>
      </c>
      <c r="E68" s="60">
        <v>532.822</v>
      </c>
      <c r="F68" s="60">
        <v>26.995999999999999</v>
      </c>
      <c r="G68" s="60">
        <v>34.209000000000003</v>
      </c>
      <c r="H68" s="60">
        <v>61.204999999999998</v>
      </c>
      <c r="I68" s="60">
        <v>502.32499999999999</v>
      </c>
      <c r="J68" s="88"/>
      <c r="K68" s="63">
        <v>15.609434255264548</v>
      </c>
      <c r="L68" s="63">
        <v>-13.651</v>
      </c>
      <c r="M68" s="63">
        <v>-14.654434255264544</v>
      </c>
      <c r="N68" s="63">
        <v>42.605434255264541</v>
      </c>
      <c r="O68" s="62">
        <v>41.601999999999997</v>
      </c>
      <c r="P68" s="89"/>
      <c r="Q68" s="63">
        <v>14.606</v>
      </c>
      <c r="R68" s="99">
        <v>494.65199999999999</v>
      </c>
      <c r="S68" s="89"/>
      <c r="T68" s="61">
        <v>37.442</v>
      </c>
      <c r="U68" s="61">
        <v>35.755000000000003</v>
      </c>
      <c r="V68" s="61">
        <v>30.763000000000002</v>
      </c>
      <c r="W68" s="88"/>
      <c r="X68" s="84">
        <v>535.20000000000005</v>
      </c>
      <c r="Y68" s="84">
        <v>537.20000000000005</v>
      </c>
      <c r="Z68" s="84">
        <v>539.23099999999999</v>
      </c>
      <c r="AA68" s="61">
        <v>38.695</v>
      </c>
      <c r="AB68" s="82">
        <v>39.698434255264537</v>
      </c>
      <c r="AC68" s="82">
        <v>618.02099999999996</v>
      </c>
      <c r="AD68" s="91"/>
      <c r="AE68" s="61">
        <v>1486.2539999999999</v>
      </c>
      <c r="AF68" s="61">
        <v>1523.82</v>
      </c>
      <c r="AG68" s="82">
        <v>7.8515864301000604E-3</v>
      </c>
      <c r="AH68" s="71">
        <v>65.580965580965582</v>
      </c>
      <c r="AI68" s="92"/>
      <c r="AJ68" s="93"/>
      <c r="AK68" s="94"/>
      <c r="AL68" s="94"/>
      <c r="AM68" s="95"/>
      <c r="AN68" s="95"/>
      <c r="AO68" s="95"/>
      <c r="AP68" s="96"/>
      <c r="AQ68" s="96"/>
      <c r="AR68" s="96"/>
      <c r="AS68" s="96"/>
      <c r="AT68" s="97"/>
      <c r="AU68" s="94"/>
      <c r="AV68" s="94"/>
      <c r="AW68" s="94"/>
      <c r="AX68" s="94"/>
      <c r="AY68" s="94"/>
    </row>
    <row r="69" spans="1:51" ht="15.75">
      <c r="A69" s="98"/>
      <c r="B69" s="87" t="s">
        <v>398</v>
      </c>
      <c r="C69" s="60">
        <v>585.58799999999997</v>
      </c>
      <c r="D69" s="60">
        <v>631.279</v>
      </c>
      <c r="E69" s="60">
        <v>566.70299999999997</v>
      </c>
      <c r="F69" s="60">
        <v>28.067</v>
      </c>
      <c r="G69" s="60">
        <v>36.509</v>
      </c>
      <c r="H69" s="60">
        <v>64.575999999999993</v>
      </c>
      <c r="I69" s="60">
        <v>528.84400000000005</v>
      </c>
      <c r="J69" s="88"/>
      <c r="K69" s="63">
        <v>23.003042236806806</v>
      </c>
      <c r="L69" s="63">
        <v>-17.823</v>
      </c>
      <c r="M69" s="63">
        <v>-23.202042236806804</v>
      </c>
      <c r="N69" s="63">
        <v>51.070042236806806</v>
      </c>
      <c r="O69" s="62">
        <v>45.691000000000003</v>
      </c>
      <c r="P69" s="89"/>
      <c r="Q69" s="63">
        <v>17.623999999999999</v>
      </c>
      <c r="R69" s="99">
        <v>544.84299999999996</v>
      </c>
      <c r="S69" s="89"/>
      <c r="T69" s="61">
        <v>33.262999999999998</v>
      </c>
      <c r="U69" s="61">
        <v>29.123000000000001</v>
      </c>
      <c r="V69" s="61">
        <v>33.698999999999998</v>
      </c>
      <c r="W69" s="88"/>
      <c r="X69" s="84">
        <v>567.20000000000005</v>
      </c>
      <c r="Y69" s="84">
        <v>569.29999999999995</v>
      </c>
      <c r="Z69" s="84">
        <v>604.00599999999997</v>
      </c>
      <c r="AA69" s="61">
        <v>45.389000000000003</v>
      </c>
      <c r="AB69" s="82">
        <v>50.768042236806806</v>
      </c>
      <c r="AC69" s="82">
        <v>661.92600000000004</v>
      </c>
      <c r="AD69" s="91"/>
      <c r="AE69" s="61">
        <v>1565.8230000000001</v>
      </c>
      <c r="AF69" s="61">
        <v>1592.385</v>
      </c>
      <c r="AG69" s="82">
        <v>0.68391559551358327</v>
      </c>
      <c r="AH69" s="71">
        <v>67.174867174867188</v>
      </c>
      <c r="AI69" s="92"/>
      <c r="AJ69" s="93"/>
      <c r="AK69" s="94"/>
      <c r="AL69" s="94"/>
      <c r="AM69" s="95"/>
      <c r="AN69" s="95"/>
      <c r="AO69" s="95"/>
      <c r="AP69" s="96"/>
      <c r="AQ69" s="96"/>
      <c r="AR69" s="96"/>
      <c r="AS69" s="96"/>
      <c r="AT69" s="97"/>
      <c r="AU69" s="94"/>
      <c r="AV69" s="94"/>
      <c r="AW69" s="94"/>
      <c r="AX69" s="94"/>
      <c r="AY69" s="94"/>
    </row>
    <row r="70" spans="1:51" ht="15.75">
      <c r="A70" s="98"/>
      <c r="B70" s="87" t="s">
        <v>399</v>
      </c>
      <c r="C70" s="60">
        <v>571.39200000000005</v>
      </c>
      <c r="D70" s="60">
        <v>688.36400000000003</v>
      </c>
      <c r="E70" s="60">
        <v>600.85900000000004</v>
      </c>
      <c r="F70" s="60">
        <v>47.573999999999998</v>
      </c>
      <c r="G70" s="60">
        <v>39.930999999999997</v>
      </c>
      <c r="H70" s="60">
        <v>87.504999999999995</v>
      </c>
      <c r="I70" s="60">
        <v>510.197</v>
      </c>
      <c r="J70" s="89"/>
      <c r="K70" s="63">
        <v>63.929668280077237</v>
      </c>
      <c r="L70" s="63">
        <v>-86.355000000000004</v>
      </c>
      <c r="M70" s="63">
        <v>-80.886668280077259</v>
      </c>
      <c r="N70" s="63">
        <v>111.50366828007724</v>
      </c>
      <c r="O70" s="62">
        <v>116.97199999999999</v>
      </c>
      <c r="P70" s="89"/>
      <c r="Q70" s="63">
        <v>69.397999999999996</v>
      </c>
      <c r="R70" s="99">
        <v>739.66</v>
      </c>
      <c r="S70" s="89"/>
      <c r="T70" s="61">
        <v>163.82900000000001</v>
      </c>
      <c r="U70" s="61">
        <v>173.91</v>
      </c>
      <c r="V70" s="61">
        <v>33.518000000000001</v>
      </c>
      <c r="W70" s="88"/>
      <c r="X70" s="84">
        <v>787.2</v>
      </c>
      <c r="Y70" s="84">
        <v>787.7</v>
      </c>
      <c r="Z70" s="84">
        <v>759.98699999999997</v>
      </c>
      <c r="AA70" s="61">
        <v>107.114</v>
      </c>
      <c r="AB70" s="82">
        <v>101.64566828007726</v>
      </c>
      <c r="AC70" s="82">
        <v>847.40700000000004</v>
      </c>
      <c r="AD70" s="91"/>
      <c r="AE70" s="61">
        <v>1582.979</v>
      </c>
      <c r="AF70" s="61">
        <v>1555.682</v>
      </c>
      <c r="AG70" s="82">
        <v>-0.96445749070123332</v>
      </c>
      <c r="AH70" s="71">
        <v>69.600369600369604</v>
      </c>
      <c r="AI70" s="92"/>
      <c r="AJ70" s="93"/>
      <c r="AK70" s="100"/>
      <c r="AL70" s="94"/>
      <c r="AM70" s="95"/>
      <c r="AN70" s="95"/>
      <c r="AO70" s="95"/>
      <c r="AP70" s="96"/>
      <c r="AQ70" s="96"/>
      <c r="AR70" s="96"/>
      <c r="AS70" s="96"/>
      <c r="AT70" s="97"/>
      <c r="AU70" s="94"/>
      <c r="AV70" s="94"/>
      <c r="AW70" s="94"/>
      <c r="AX70" s="94"/>
      <c r="AY70" s="94"/>
    </row>
    <row r="71" spans="1:51" ht="15.75">
      <c r="A71" s="98"/>
      <c r="B71" s="87" t="s">
        <v>400</v>
      </c>
      <c r="C71" s="60">
        <v>562.68200000000002</v>
      </c>
      <c r="D71" s="60">
        <v>723.09799999999996</v>
      </c>
      <c r="E71" s="60">
        <v>634.58600000000001</v>
      </c>
      <c r="F71" s="60">
        <v>46.756</v>
      </c>
      <c r="G71" s="60">
        <v>41.756</v>
      </c>
      <c r="H71" s="60">
        <v>88.512</v>
      </c>
      <c r="I71" s="60">
        <v>503.858</v>
      </c>
      <c r="J71" s="89"/>
      <c r="K71" s="63">
        <v>86.426111297008333</v>
      </c>
      <c r="L71" s="63">
        <v>-129.09100000000001</v>
      </c>
      <c r="M71" s="63">
        <v>-101.85711129700832</v>
      </c>
      <c r="N71" s="63">
        <v>133.18211129700833</v>
      </c>
      <c r="O71" s="62">
        <v>160.416</v>
      </c>
      <c r="P71" s="89"/>
      <c r="Q71" s="63">
        <v>113.66</v>
      </c>
      <c r="R71" s="99">
        <v>867.40599999999995</v>
      </c>
      <c r="S71" s="89"/>
      <c r="T71" s="61">
        <v>198.59200000000001</v>
      </c>
      <c r="U71" s="61">
        <v>200.77699999999999</v>
      </c>
      <c r="V71" s="61">
        <v>28.059000000000001</v>
      </c>
      <c r="W71" s="88"/>
      <c r="X71" s="84">
        <v>1027.9000000000001</v>
      </c>
      <c r="Y71" s="84">
        <v>1015.4</v>
      </c>
      <c r="Z71" s="84">
        <v>883.63400000000001</v>
      </c>
      <c r="AA71" s="61">
        <v>156.46600000000001</v>
      </c>
      <c r="AB71" s="82">
        <v>129.23211129700834</v>
      </c>
      <c r="AC71" s="82">
        <v>1102.32</v>
      </c>
      <c r="AD71" s="91"/>
      <c r="AE71" s="61">
        <v>1557.029</v>
      </c>
      <c r="AF71" s="61">
        <v>1588.231</v>
      </c>
      <c r="AG71" s="82">
        <v>-3.1124034476446587</v>
      </c>
      <c r="AH71" s="71">
        <v>70.547470547470553</v>
      </c>
      <c r="AI71" s="101"/>
      <c r="AJ71" s="93"/>
      <c r="AK71" s="94"/>
      <c r="AL71" s="94"/>
      <c r="AM71" s="95"/>
      <c r="AN71" s="95"/>
      <c r="AO71" s="95"/>
      <c r="AP71" s="96"/>
      <c r="AQ71" s="96"/>
      <c r="AR71" s="96"/>
      <c r="AS71" s="96"/>
      <c r="AT71" s="97"/>
      <c r="AU71" s="94"/>
      <c r="AV71" s="94"/>
      <c r="AW71" s="94"/>
      <c r="AX71" s="94"/>
      <c r="AY71" s="94"/>
    </row>
    <row r="72" spans="1:51" ht="15.75">
      <c r="A72" s="98"/>
      <c r="B72" s="102" t="s">
        <v>401</v>
      </c>
      <c r="C72" s="103">
        <v>602.71100000000001</v>
      </c>
      <c r="D72" s="60">
        <v>744.2</v>
      </c>
      <c r="E72" s="60">
        <v>662.24</v>
      </c>
      <c r="F72" s="60">
        <v>39.793999999999997</v>
      </c>
      <c r="G72" s="60">
        <v>42.165999999999997</v>
      </c>
      <c r="H72" s="60">
        <v>81.96</v>
      </c>
      <c r="I72" s="60">
        <v>540.76800000000003</v>
      </c>
      <c r="J72" s="89"/>
      <c r="K72" s="63">
        <v>72.142116306735488</v>
      </c>
      <c r="L72" s="63">
        <v>-99.552000000000007</v>
      </c>
      <c r="M72" s="63">
        <v>-69.999116306735459</v>
      </c>
      <c r="N72" s="63">
        <v>111.93611630673553</v>
      </c>
      <c r="O72" s="62">
        <v>141.489</v>
      </c>
      <c r="P72" s="89"/>
      <c r="Q72" s="63">
        <v>101.69499999999999</v>
      </c>
      <c r="R72" s="99">
        <v>971.66099999999994</v>
      </c>
      <c r="S72" s="89"/>
      <c r="T72" s="61">
        <v>134.01300000000001</v>
      </c>
      <c r="U72" s="61">
        <v>126.04300000000001</v>
      </c>
      <c r="V72" s="61">
        <v>41.003999999999998</v>
      </c>
      <c r="W72" s="88"/>
      <c r="X72" s="84">
        <v>1168.7</v>
      </c>
      <c r="Y72" s="84">
        <v>1164.0999999999999</v>
      </c>
      <c r="Z72" s="84">
        <v>825.73099999999999</v>
      </c>
      <c r="AA72" s="61">
        <v>142.18600000000001</v>
      </c>
      <c r="AB72" s="82">
        <v>112.63311630673547</v>
      </c>
      <c r="AC72" s="82">
        <v>1240.6379999999999</v>
      </c>
      <c r="AD72" s="91"/>
      <c r="AE72" s="61">
        <v>1627.8230000000001</v>
      </c>
      <c r="AF72" s="61">
        <v>1649.0170000000001</v>
      </c>
      <c r="AG72" s="82">
        <v>-2.3860087808753123</v>
      </c>
      <c r="AH72" s="71">
        <v>71.864171864171851</v>
      </c>
      <c r="AI72" s="92"/>
      <c r="AJ72" s="104"/>
      <c r="AK72" s="94"/>
      <c r="AL72" s="94"/>
      <c r="AM72" s="95"/>
      <c r="AN72" s="95"/>
      <c r="AO72" s="95"/>
      <c r="AP72" s="96"/>
      <c r="AQ72" s="96"/>
      <c r="AR72" s="96"/>
      <c r="AS72" s="96"/>
      <c r="AT72" s="97"/>
      <c r="AU72" s="94"/>
      <c r="AV72" s="94"/>
      <c r="AW72" s="94"/>
      <c r="AX72" s="94"/>
      <c r="AY72" s="94"/>
    </row>
    <row r="73" spans="1:51" ht="15.75">
      <c r="A73" s="98"/>
      <c r="B73" s="102" t="s">
        <v>402</v>
      </c>
      <c r="C73" s="103">
        <v>624.82399999999996</v>
      </c>
      <c r="D73" s="60">
        <v>745.48699999999997</v>
      </c>
      <c r="E73" s="60">
        <v>671.16099999999994</v>
      </c>
      <c r="F73" s="60">
        <v>30.823</v>
      </c>
      <c r="G73" s="60">
        <v>43.503</v>
      </c>
      <c r="H73" s="60">
        <v>74.325999999999993</v>
      </c>
      <c r="I73" s="60">
        <v>559.85599999999999</v>
      </c>
      <c r="J73" s="89"/>
      <c r="K73" s="63">
        <v>60.938336062182508</v>
      </c>
      <c r="L73" s="63">
        <v>-77.238</v>
      </c>
      <c r="M73" s="63">
        <v>-48.336336062182511</v>
      </c>
      <c r="N73" s="63">
        <v>91.761336062182494</v>
      </c>
      <c r="O73" s="62">
        <v>120.663</v>
      </c>
      <c r="P73" s="89"/>
      <c r="Q73" s="63">
        <v>89.84</v>
      </c>
      <c r="R73" s="99">
        <v>1103.625</v>
      </c>
      <c r="S73" s="89"/>
      <c r="T73" s="61">
        <v>117.672</v>
      </c>
      <c r="U73" s="61">
        <v>107.806</v>
      </c>
      <c r="V73" s="61">
        <v>43.466999999999999</v>
      </c>
      <c r="W73" s="88"/>
      <c r="X73" s="84">
        <v>1261.2</v>
      </c>
      <c r="Y73" s="84">
        <v>1266.5999999999999</v>
      </c>
      <c r="Z73" s="84">
        <v>935.77800000000002</v>
      </c>
      <c r="AA73" s="61">
        <v>122.855</v>
      </c>
      <c r="AB73" s="82">
        <v>93.953336062182501</v>
      </c>
      <c r="AC73" s="82">
        <v>1374.1220000000001</v>
      </c>
      <c r="AD73" s="91"/>
      <c r="AE73" s="61">
        <v>1673.2429999999999</v>
      </c>
      <c r="AF73" s="61">
        <v>1698.23</v>
      </c>
      <c r="AG73" s="82">
        <v>-2.5001651232655617</v>
      </c>
      <c r="AH73" s="71">
        <v>73.180873180873192</v>
      </c>
      <c r="AI73" s="101"/>
      <c r="AJ73" s="105"/>
      <c r="AK73" s="94"/>
      <c r="AL73" s="94"/>
      <c r="AM73" s="106"/>
      <c r="AN73" s="106"/>
      <c r="AO73" s="106"/>
      <c r="AP73" s="107"/>
      <c r="AQ73" s="107"/>
      <c r="AR73" s="107"/>
      <c r="AS73" s="107"/>
      <c r="AT73" s="97"/>
      <c r="AU73" s="94"/>
      <c r="AV73" s="94"/>
      <c r="AW73" s="94"/>
      <c r="AX73" s="94"/>
      <c r="AY73" s="94"/>
    </row>
    <row r="74" spans="1:51" ht="15.75">
      <c r="A74" s="108"/>
      <c r="B74" s="102" t="s">
        <v>403</v>
      </c>
      <c r="C74" s="103">
        <v>636.14099999999996</v>
      </c>
      <c r="D74" s="60">
        <v>759.95</v>
      </c>
      <c r="E74" s="60">
        <v>682.81100000000004</v>
      </c>
      <c r="F74" s="60">
        <v>32.433999999999997</v>
      </c>
      <c r="G74" s="60">
        <v>44.704999999999998</v>
      </c>
      <c r="H74" s="60">
        <v>77.138999999999996</v>
      </c>
      <c r="I74" s="60">
        <v>566.04600000000005</v>
      </c>
      <c r="J74" s="89"/>
      <c r="K74" s="63">
        <v>64.147428146485439</v>
      </c>
      <c r="L74" s="63">
        <v>-84.795000000000002</v>
      </c>
      <c r="M74" s="63">
        <v>-57.567428146485433</v>
      </c>
      <c r="N74" s="63">
        <v>96.581428146485422</v>
      </c>
      <c r="O74" s="62">
        <v>123.809</v>
      </c>
      <c r="P74" s="109"/>
      <c r="Q74" s="63">
        <v>91.375</v>
      </c>
      <c r="R74" s="99">
        <v>1229.1279999999999</v>
      </c>
      <c r="S74" s="89"/>
      <c r="T74" s="61">
        <v>95.861999999999995</v>
      </c>
      <c r="U74" s="61">
        <v>86.884</v>
      </c>
      <c r="V74" s="61">
        <v>38.637</v>
      </c>
      <c r="W74" s="88"/>
      <c r="X74" s="84">
        <v>1366.2</v>
      </c>
      <c r="Y74" s="84">
        <v>1343.8</v>
      </c>
      <c r="Z74" s="84">
        <v>1044.4190000000001</v>
      </c>
      <c r="AA74" s="61">
        <v>124.249</v>
      </c>
      <c r="AB74" s="82">
        <v>97.021428146485434</v>
      </c>
      <c r="AC74" s="110">
        <v>1448.047</v>
      </c>
      <c r="AD74" s="111"/>
      <c r="AE74" s="61">
        <v>1725.3389999999999</v>
      </c>
      <c r="AF74" s="61">
        <v>1763.4860000000001</v>
      </c>
      <c r="AG74" s="112">
        <v>-2.156133613892087</v>
      </c>
      <c r="AH74" s="71">
        <v>74.497574497574504</v>
      </c>
      <c r="AI74" s="101"/>
      <c r="AJ74" s="113"/>
      <c r="AK74" s="94"/>
      <c r="AL74" s="94"/>
      <c r="AM74" s="114"/>
      <c r="AN74" s="115"/>
      <c r="AO74" s="115"/>
      <c r="AP74" s="116"/>
      <c r="AQ74" s="116"/>
      <c r="AR74" s="116"/>
      <c r="AS74" s="116"/>
      <c r="AT74" s="101"/>
      <c r="AU74" s="94"/>
      <c r="AV74" s="94"/>
      <c r="AW74" s="94"/>
      <c r="AX74" s="94"/>
      <c r="AY74" s="94"/>
    </row>
    <row r="75" spans="1:51" ht="15.75">
      <c r="A75" s="98"/>
      <c r="B75" s="102" t="s">
        <v>404</v>
      </c>
      <c r="C75" s="103">
        <v>663.07500000000005</v>
      </c>
      <c r="D75" s="60">
        <v>766.55200000000002</v>
      </c>
      <c r="E75" s="60">
        <v>694.41700000000003</v>
      </c>
      <c r="F75" s="60">
        <v>26.204000000000001</v>
      </c>
      <c r="G75" s="60">
        <v>45.930999999999997</v>
      </c>
      <c r="H75" s="60">
        <v>72.135000000000005</v>
      </c>
      <c r="I75" s="60">
        <v>589.94299999999998</v>
      </c>
      <c r="J75" s="89"/>
      <c r="K75" s="63">
        <v>55.338464700823707</v>
      </c>
      <c r="L75" s="63">
        <v>-65.656999999999996</v>
      </c>
      <c r="M75" s="63">
        <v>-43.722464700823707</v>
      </c>
      <c r="N75" s="63">
        <v>81.542464700823729</v>
      </c>
      <c r="O75" s="62">
        <v>103.477</v>
      </c>
      <c r="P75" s="89"/>
      <c r="Q75" s="63">
        <v>77.272999999999996</v>
      </c>
      <c r="R75" s="99">
        <v>1304.6289999999999</v>
      </c>
      <c r="S75" s="89"/>
      <c r="T75" s="61">
        <v>78.433000000000007</v>
      </c>
      <c r="U75" s="61">
        <v>64.603999999999999</v>
      </c>
      <c r="V75" s="61">
        <v>37.814</v>
      </c>
      <c r="W75" s="88"/>
      <c r="X75" s="84">
        <v>1461.1</v>
      </c>
      <c r="Y75" s="84">
        <v>1419.4</v>
      </c>
      <c r="Z75" s="84">
        <v>1046.9369999999999</v>
      </c>
      <c r="AA75" s="61">
        <v>100.345</v>
      </c>
      <c r="AB75" s="82">
        <v>78.410464700823695</v>
      </c>
      <c r="AC75" s="110">
        <v>1539.787</v>
      </c>
      <c r="AD75" s="117"/>
      <c r="AE75" s="61">
        <v>1803.854</v>
      </c>
      <c r="AF75" s="61">
        <v>1844.41</v>
      </c>
      <c r="AG75" s="112">
        <v>-1.5695100392014991</v>
      </c>
      <c r="AH75" s="71">
        <v>75.929775929775943</v>
      </c>
      <c r="AI75" s="92"/>
      <c r="AJ75" s="113"/>
      <c r="AK75" s="94"/>
      <c r="AL75" s="94"/>
      <c r="AM75" s="114"/>
      <c r="AN75" s="115"/>
      <c r="AO75" s="115"/>
      <c r="AP75" s="116"/>
      <c r="AQ75" s="116"/>
      <c r="AR75" s="116"/>
      <c r="AS75" s="116"/>
      <c r="AT75" s="101"/>
      <c r="AU75" s="94"/>
      <c r="AV75" s="94"/>
      <c r="AW75" s="94"/>
      <c r="AX75" s="94"/>
      <c r="AY75" s="94"/>
    </row>
    <row r="76" spans="1:51" ht="15.75">
      <c r="A76" s="98"/>
      <c r="B76" s="102" t="s">
        <v>405</v>
      </c>
      <c r="C76" s="118">
        <v>689.83699999999999</v>
      </c>
      <c r="D76" s="63">
        <v>788.21100000000001</v>
      </c>
      <c r="E76" s="63">
        <v>704.96699999999998</v>
      </c>
      <c r="F76" s="60">
        <v>36.179000000000002</v>
      </c>
      <c r="G76" s="63">
        <v>47.064999999999998</v>
      </c>
      <c r="H76" s="63">
        <v>83.244</v>
      </c>
      <c r="I76" s="109">
        <v>612.01</v>
      </c>
      <c r="J76" s="109"/>
      <c r="K76" s="60">
        <v>50.256905146527139</v>
      </c>
      <c r="L76" s="109">
        <v>-64.275000000000006</v>
      </c>
      <c r="M76" s="109">
        <v>-52.336905146527144</v>
      </c>
      <c r="N76" s="63">
        <v>86.435905146527148</v>
      </c>
      <c r="O76" s="62">
        <v>98.373999999999995</v>
      </c>
      <c r="P76" s="109"/>
      <c r="Q76" s="63">
        <v>62.195</v>
      </c>
      <c r="R76" s="99">
        <v>1386.3230000000001</v>
      </c>
      <c r="S76" s="89"/>
      <c r="T76" s="60">
        <v>84.54</v>
      </c>
      <c r="U76" s="60">
        <v>81.867999999999995</v>
      </c>
      <c r="V76" s="109">
        <v>34.164999999999999</v>
      </c>
      <c r="W76" s="88"/>
      <c r="X76" s="84">
        <v>1551.8</v>
      </c>
      <c r="Y76" s="84">
        <v>1506.5</v>
      </c>
      <c r="Z76" s="84">
        <v>1021.522</v>
      </c>
      <c r="AA76" s="60">
        <v>94.081999999999994</v>
      </c>
      <c r="AB76" s="60">
        <v>82.143905146527146</v>
      </c>
      <c r="AC76" s="119">
        <v>1621.4090000000001</v>
      </c>
      <c r="AD76" s="117"/>
      <c r="AE76" s="120">
        <v>1875.402</v>
      </c>
      <c r="AF76" s="89">
        <v>1902.4960000000001</v>
      </c>
      <c r="AG76" s="112">
        <v>-0.64531981094141067</v>
      </c>
      <c r="AH76" s="71">
        <v>76.853776853776864</v>
      </c>
      <c r="AI76" s="101"/>
      <c r="AJ76" s="113"/>
      <c r="AK76" s="94"/>
      <c r="AL76" s="94"/>
      <c r="AM76" s="114"/>
      <c r="AN76" s="115"/>
      <c r="AO76" s="115"/>
      <c r="AP76" s="116"/>
      <c r="AQ76" s="116"/>
      <c r="AR76" s="116"/>
      <c r="AS76" s="116"/>
      <c r="AT76" s="101"/>
      <c r="AU76" s="94"/>
      <c r="AV76" s="94"/>
      <c r="AW76" s="94"/>
      <c r="AX76" s="94"/>
      <c r="AY76" s="94"/>
    </row>
    <row r="77" spans="1:51" ht="15.75">
      <c r="A77" s="98"/>
      <c r="B77" s="102" t="s">
        <v>406</v>
      </c>
      <c r="C77" s="118">
        <v>714.31799999999998</v>
      </c>
      <c r="D77" s="63">
        <v>795.93799999999999</v>
      </c>
      <c r="E77" s="63">
        <v>715.61</v>
      </c>
      <c r="F77" s="89">
        <v>32.250999999999998</v>
      </c>
      <c r="G77" s="63">
        <v>48.076999999999998</v>
      </c>
      <c r="H77" s="63">
        <v>80.328000000000003</v>
      </c>
      <c r="I77" s="109">
        <v>634.072</v>
      </c>
      <c r="J77" s="89"/>
      <c r="K77" s="89">
        <v>45.949071743816894</v>
      </c>
      <c r="L77" s="109">
        <v>-47.640999999999998</v>
      </c>
      <c r="M77" s="89">
        <v>-44.2210717438169</v>
      </c>
      <c r="N77" s="63">
        <v>78.200071743816906</v>
      </c>
      <c r="O77" s="62">
        <v>81.62</v>
      </c>
      <c r="P77" s="89"/>
      <c r="Q77" s="63">
        <v>49.369</v>
      </c>
      <c r="R77" s="99">
        <v>1450.741</v>
      </c>
      <c r="S77" s="89"/>
      <c r="T77" s="89">
        <v>60.747999999999998</v>
      </c>
      <c r="U77" s="89">
        <v>50.156999999999996</v>
      </c>
      <c r="V77" s="109">
        <v>34.470999999999997</v>
      </c>
      <c r="W77" s="88"/>
      <c r="X77" s="84">
        <v>1595</v>
      </c>
      <c r="Y77" s="84">
        <v>1551.9</v>
      </c>
      <c r="Z77" s="84">
        <v>1020.348</v>
      </c>
      <c r="AA77" s="89">
        <v>84.019000000000005</v>
      </c>
      <c r="AB77" s="89">
        <v>80.599071743816907</v>
      </c>
      <c r="AC77" s="121">
        <v>1670.2360000000001</v>
      </c>
      <c r="AD77" s="117"/>
      <c r="AE77" s="120">
        <v>1932.1</v>
      </c>
      <c r="AF77" s="88">
        <v>1966.9760000000001</v>
      </c>
      <c r="AG77" s="112">
        <v>-9.5883592230557452E-2</v>
      </c>
      <c r="AH77" s="71">
        <v>77.385077385077395</v>
      </c>
      <c r="AI77" s="101"/>
      <c r="AJ77" s="113"/>
      <c r="AK77" s="94"/>
      <c r="AL77" s="94"/>
      <c r="AM77" s="114"/>
      <c r="AN77" s="115"/>
      <c r="AO77" s="115"/>
      <c r="AP77" s="116"/>
      <c r="AQ77" s="116"/>
      <c r="AR77" s="116"/>
      <c r="AS77" s="116"/>
      <c r="AT77" s="101"/>
      <c r="AU77" s="94"/>
      <c r="AV77" s="94"/>
      <c r="AW77" s="94"/>
      <c r="AX77" s="94"/>
      <c r="AY77" s="94"/>
    </row>
    <row r="78" spans="1:51" ht="15.75">
      <c r="A78" s="98"/>
      <c r="B78" s="122" t="s">
        <v>407</v>
      </c>
      <c r="C78" s="118">
        <v>755.56500000000005</v>
      </c>
      <c r="D78" s="63">
        <v>813.226</v>
      </c>
      <c r="E78" s="63">
        <v>727.17700000000002</v>
      </c>
      <c r="F78" s="89">
        <v>36.448999999999998</v>
      </c>
      <c r="G78" s="63">
        <v>49.6</v>
      </c>
      <c r="H78" s="63">
        <v>86.049000000000007</v>
      </c>
      <c r="I78" s="109">
        <v>676.803</v>
      </c>
      <c r="J78" s="123"/>
      <c r="K78" s="89">
        <v>19.020449160961796</v>
      </c>
      <c r="L78" s="109">
        <v>-18.515000000000001</v>
      </c>
      <c r="M78" s="89">
        <v>-16.323449160961797</v>
      </c>
      <c r="N78" s="63">
        <v>55.469449160961801</v>
      </c>
      <c r="O78" s="62">
        <v>57.661000000000001</v>
      </c>
      <c r="P78" s="123"/>
      <c r="Q78" s="63">
        <v>21.212</v>
      </c>
      <c r="R78" s="99">
        <v>1522.145</v>
      </c>
      <c r="S78" s="89"/>
      <c r="T78" s="89">
        <v>66.960999999999999</v>
      </c>
      <c r="U78" s="89">
        <v>101.289</v>
      </c>
      <c r="V78" s="109">
        <v>36.749000000000002</v>
      </c>
      <c r="W78" s="88"/>
      <c r="X78" s="84">
        <v>1714.5</v>
      </c>
      <c r="Y78" s="84">
        <v>1592.9</v>
      </c>
      <c r="Z78" s="84">
        <v>1260.4559999999999</v>
      </c>
      <c r="AA78" s="89">
        <v>54.341999999999999</v>
      </c>
      <c r="AB78" s="89">
        <v>52.150449160961799</v>
      </c>
      <c r="AC78" s="121">
        <v>1737.66</v>
      </c>
      <c r="AD78" s="117"/>
      <c r="AE78" s="120">
        <v>2013.606</v>
      </c>
      <c r="AF78" s="88">
        <v>2057.364</v>
      </c>
      <c r="AG78" s="112">
        <v>-0.17932080911600343</v>
      </c>
      <c r="AH78" s="71">
        <v>79.140679140679154</v>
      </c>
      <c r="AI78" s="101"/>
      <c r="AJ78" s="113"/>
      <c r="AK78" s="94"/>
      <c r="AL78" s="94"/>
      <c r="AM78" s="114"/>
      <c r="AN78" s="115"/>
      <c r="AO78" s="115"/>
      <c r="AP78" s="116"/>
      <c r="AQ78" s="116"/>
      <c r="AR78" s="116"/>
      <c r="AS78" s="116"/>
      <c r="AT78" s="101"/>
      <c r="AU78" s="94"/>
      <c r="AV78" s="94"/>
      <c r="AW78" s="94"/>
      <c r="AX78" s="94"/>
      <c r="AY78" s="94"/>
    </row>
    <row r="79" spans="1:51" ht="15.75">
      <c r="A79" s="98"/>
      <c r="B79" s="102" t="s">
        <v>408</v>
      </c>
      <c r="C79" s="118">
        <v>780.51499999999999</v>
      </c>
      <c r="D79" s="63">
        <v>840.26900000000001</v>
      </c>
      <c r="E79" s="63">
        <v>743.53300000000002</v>
      </c>
      <c r="F79" s="89">
        <v>46.360999999999997</v>
      </c>
      <c r="G79" s="63">
        <v>50.375</v>
      </c>
      <c r="H79" s="63">
        <v>96.736000000000004</v>
      </c>
      <c r="I79" s="109">
        <v>700.798</v>
      </c>
      <c r="J79" s="123"/>
      <c r="K79" s="89">
        <v>13.44411390349466</v>
      </c>
      <c r="L79" s="109">
        <v>-18.689</v>
      </c>
      <c r="M79" s="89">
        <v>-18.74011390349466</v>
      </c>
      <c r="N79" s="63">
        <v>59.80511390349465</v>
      </c>
      <c r="O79" s="62">
        <v>59.753999999999998</v>
      </c>
      <c r="P79" s="89"/>
      <c r="Q79" s="63">
        <v>13.393000000000001</v>
      </c>
      <c r="R79" s="99">
        <v>1497.819</v>
      </c>
      <c r="S79" s="89"/>
      <c r="T79" s="89">
        <v>38.615000000000002</v>
      </c>
      <c r="U79" s="89">
        <v>81.02</v>
      </c>
      <c r="V79" s="109">
        <v>42.850999999999999</v>
      </c>
      <c r="W79" s="88"/>
      <c r="X79" s="84">
        <v>1757.7</v>
      </c>
      <c r="Y79" s="84">
        <v>1574.9</v>
      </c>
      <c r="Z79" s="84">
        <v>1339.221</v>
      </c>
      <c r="AA79" s="89">
        <v>59.110999999999997</v>
      </c>
      <c r="AB79" s="89">
        <v>59.162113903494664</v>
      </c>
      <c r="AC79" s="121">
        <v>1784.098</v>
      </c>
      <c r="AD79" s="117"/>
      <c r="AE79" s="120">
        <v>2098.8090000000002</v>
      </c>
      <c r="AF79" s="88">
        <v>2135.877</v>
      </c>
      <c r="AG79" s="112">
        <v>7.6599076868315269E-2</v>
      </c>
      <c r="AH79" s="71">
        <v>80.388080388080397</v>
      </c>
      <c r="AI79" s="92"/>
      <c r="AJ79" s="113"/>
      <c r="AK79" s="94"/>
      <c r="AL79" s="94"/>
      <c r="AM79" s="114"/>
      <c r="AN79" s="115"/>
      <c r="AO79" s="115"/>
      <c r="AP79" s="116"/>
      <c r="AQ79" s="116"/>
      <c r="AR79" s="116"/>
      <c r="AS79" s="116"/>
      <c r="AT79" s="101"/>
      <c r="AU79" s="94"/>
      <c r="AV79" s="94"/>
      <c r="AW79" s="94"/>
      <c r="AX79" s="94"/>
      <c r="AY79" s="94"/>
    </row>
    <row r="80" spans="1:51" ht="15.75">
      <c r="A80" s="98"/>
      <c r="B80" s="102" t="s">
        <v>409</v>
      </c>
      <c r="C80" s="118">
        <v>812.73400000000004</v>
      </c>
      <c r="D80" s="63">
        <v>857.62199999999996</v>
      </c>
      <c r="E80" s="63">
        <v>760.97199999999998</v>
      </c>
      <c r="F80" s="89">
        <v>45.65</v>
      </c>
      <c r="G80" s="63">
        <v>51</v>
      </c>
      <c r="H80" s="63">
        <v>96.65</v>
      </c>
      <c r="I80" s="109">
        <v>734.947</v>
      </c>
      <c r="J80" s="123"/>
      <c r="K80" s="89">
        <v>3.6901080317388359</v>
      </c>
      <c r="L80" s="109">
        <v>-10.012</v>
      </c>
      <c r="M80" s="89">
        <v>-14.464108031738835</v>
      </c>
      <c r="N80" s="63">
        <v>49.340108031738843</v>
      </c>
      <c r="O80" s="62">
        <v>44.887999999999998</v>
      </c>
      <c r="P80" s="89"/>
      <c r="Q80" s="63">
        <v>-0.76200000000000001</v>
      </c>
      <c r="R80" s="99">
        <v>1481.173</v>
      </c>
      <c r="S80" s="89"/>
      <c r="T80" s="89">
        <v>34.814</v>
      </c>
      <c r="U80" s="89">
        <v>16.983000000000001</v>
      </c>
      <c r="V80" s="109">
        <v>39.061</v>
      </c>
      <c r="W80" s="88"/>
      <c r="X80" s="84">
        <v>1775.9</v>
      </c>
      <c r="Y80" s="84">
        <v>1600.5</v>
      </c>
      <c r="Z80" s="84">
        <v>1295.104</v>
      </c>
      <c r="AA80" s="89">
        <v>40.473999999999997</v>
      </c>
      <c r="AB80" s="89">
        <v>44.926108031738842</v>
      </c>
      <c r="AC80" s="121">
        <v>1842.2139999999999</v>
      </c>
      <c r="AD80" s="117"/>
      <c r="AE80" s="120">
        <v>2173.6660000000002</v>
      </c>
      <c r="AF80" s="88">
        <v>2213.0810000000001</v>
      </c>
      <c r="AG80" s="112">
        <v>0.37900085971798331</v>
      </c>
      <c r="AH80" s="71">
        <v>82.074382074382086</v>
      </c>
      <c r="AI80" s="124"/>
      <c r="AJ80" s="113"/>
      <c r="AK80" s="94"/>
      <c r="AL80" s="94"/>
      <c r="AM80" s="114"/>
      <c r="AN80" s="115"/>
      <c r="AO80" s="115"/>
      <c r="AP80" s="116"/>
      <c r="AQ80" s="116"/>
      <c r="AR80" s="116"/>
      <c r="AS80" s="116"/>
      <c r="AT80" s="101"/>
      <c r="AU80" s="94"/>
      <c r="AV80" s="94"/>
      <c r="AW80" s="94"/>
      <c r="AX80" s="94"/>
      <c r="AY80" s="94"/>
    </row>
    <row r="81" spans="1:51" ht="15.75">
      <c r="A81" s="125"/>
      <c r="B81" s="126" t="s">
        <v>410</v>
      </c>
      <c r="C81" s="63">
        <v>827.91399999999999</v>
      </c>
      <c r="D81" s="63">
        <v>888.69</v>
      </c>
      <c r="E81" s="63">
        <v>793.61599999999999</v>
      </c>
      <c r="F81" s="63">
        <v>42.505000000000003</v>
      </c>
      <c r="G81" s="63">
        <v>52.569000000000003</v>
      </c>
      <c r="H81" s="63">
        <v>95.073999999999998</v>
      </c>
      <c r="I81" s="63">
        <v>743.79100000000005</v>
      </c>
      <c r="J81" s="63"/>
      <c r="K81" s="89">
        <v>26.161760630056577</v>
      </c>
      <c r="L81" s="109">
        <v>-29.774999999999999</v>
      </c>
      <c r="M81" s="89">
        <v>-37.665760630056582</v>
      </c>
      <c r="N81" s="63">
        <v>68.666760630056586</v>
      </c>
      <c r="O81" s="62">
        <v>60.776000000000003</v>
      </c>
      <c r="P81" s="123"/>
      <c r="Q81" s="63">
        <v>18.271000000000001</v>
      </c>
      <c r="R81" s="99">
        <v>1589.29</v>
      </c>
      <c r="S81" s="89"/>
      <c r="T81" s="63">
        <v>56.076000000000001</v>
      </c>
      <c r="U81" s="127">
        <v>27.018999999999998</v>
      </c>
      <c r="V81" s="109">
        <v>39.185000000000002</v>
      </c>
      <c r="W81" s="88"/>
      <c r="X81" s="84">
        <v>1815.7</v>
      </c>
      <c r="Y81" s="84">
        <v>1643.3</v>
      </c>
      <c r="Z81" s="84">
        <v>1421.624</v>
      </c>
      <c r="AA81" s="127">
        <v>66.358000000000004</v>
      </c>
      <c r="AB81" s="89">
        <v>74.24876063005658</v>
      </c>
      <c r="AC81" s="128">
        <v>1898.8789999999999</v>
      </c>
      <c r="AD81" s="129"/>
      <c r="AE81" s="89">
        <v>2241.8040000000001</v>
      </c>
      <c r="AF81" s="88">
        <v>2125.85</v>
      </c>
      <c r="AG81" s="112">
        <v>0.55236491177802816</v>
      </c>
      <c r="AH81" s="71">
        <v>84.037884037884041</v>
      </c>
      <c r="AI81" s="98"/>
      <c r="AJ81" s="113"/>
      <c r="AK81" s="94"/>
      <c r="AL81" s="94"/>
      <c r="AM81" s="114"/>
      <c r="AN81" s="115"/>
      <c r="AO81" s="115"/>
      <c r="AP81" s="116"/>
      <c r="AQ81" s="116"/>
      <c r="AR81" s="116"/>
      <c r="AS81" s="116"/>
      <c r="AT81" s="101"/>
      <c r="AU81" s="94"/>
      <c r="AV81" s="94"/>
      <c r="AW81" s="94"/>
      <c r="AX81" s="94"/>
      <c r="AY81" s="94"/>
    </row>
    <row r="82" spans="1:51" ht="15.75">
      <c r="A82" s="125"/>
      <c r="B82" s="130" t="s">
        <v>411</v>
      </c>
      <c r="C82" s="63">
        <v>792.59500000000003</v>
      </c>
      <c r="D82" s="63">
        <v>1106.962</v>
      </c>
      <c r="E82" s="63">
        <v>981.59199999999998</v>
      </c>
      <c r="F82" s="63">
        <v>71.727000000000004</v>
      </c>
      <c r="G82" s="63">
        <v>53.643000000000001</v>
      </c>
      <c r="H82" s="63">
        <v>125.37</v>
      </c>
      <c r="I82" s="63">
        <v>710.96</v>
      </c>
      <c r="J82" s="63"/>
      <c r="K82" s="89">
        <v>241.78939892788162</v>
      </c>
      <c r="L82" s="109">
        <v>-293.22800000000001</v>
      </c>
      <c r="M82" s="89">
        <v>-292.37739892788153</v>
      </c>
      <c r="N82" s="63">
        <v>313.51639892788154</v>
      </c>
      <c r="O82" s="62">
        <v>314.36700000000002</v>
      </c>
      <c r="P82" s="123"/>
      <c r="Q82" s="63">
        <v>242.64</v>
      </c>
      <c r="R82" s="99">
        <v>1854.326</v>
      </c>
      <c r="S82" s="89"/>
      <c r="T82" s="63">
        <v>337.983</v>
      </c>
      <c r="U82" s="127">
        <v>331.70100000000002</v>
      </c>
      <c r="V82" s="109">
        <v>25.202000000000002</v>
      </c>
      <c r="W82" s="88"/>
      <c r="X82" s="84">
        <v>2154.9</v>
      </c>
      <c r="Y82" s="84">
        <v>1930.1</v>
      </c>
      <c r="Z82" s="84">
        <v>1634.723</v>
      </c>
      <c r="AA82" s="127">
        <v>319.40300000000002</v>
      </c>
      <c r="AB82" s="89">
        <v>318.5523989278816</v>
      </c>
      <c r="AC82" s="128">
        <v>2244.3440000000001</v>
      </c>
      <c r="AD82" s="129"/>
      <c r="AE82" s="131">
        <v>2087.4</v>
      </c>
      <c r="AF82" s="88">
        <v>2231.1480000000001</v>
      </c>
      <c r="AG82" s="112">
        <v>-0.30244458233298133</v>
      </c>
      <c r="AH82" s="71">
        <v>88.542388542388551</v>
      </c>
      <c r="AI82" s="132"/>
      <c r="AJ82" s="113"/>
      <c r="AK82" s="94"/>
      <c r="AL82" s="94"/>
      <c r="AM82" s="114"/>
      <c r="AN82" s="115"/>
      <c r="AO82" s="115"/>
      <c r="AP82" s="116"/>
      <c r="AQ82" s="116"/>
      <c r="AR82" s="116"/>
      <c r="AS82" s="116"/>
      <c r="AT82" s="101"/>
      <c r="AU82" s="94"/>
      <c r="AV82" s="94"/>
      <c r="AW82" s="94"/>
      <c r="AX82" s="94"/>
      <c r="AY82" s="94"/>
    </row>
    <row r="83" spans="1:51" ht="15.75">
      <c r="A83" s="125"/>
      <c r="B83" s="126" t="s">
        <v>412</v>
      </c>
      <c r="C83" s="63">
        <v>921.47699999999998</v>
      </c>
      <c r="D83" s="63">
        <v>1043.675</v>
      </c>
      <c r="E83" s="63">
        <v>935.12300000000005</v>
      </c>
      <c r="F83" s="63">
        <v>53.243000000000002</v>
      </c>
      <c r="G83" s="63">
        <v>55.308999999999997</v>
      </c>
      <c r="H83" s="63">
        <v>108.55200000000001</v>
      </c>
      <c r="I83" s="63">
        <v>832.21900000000005</v>
      </c>
      <c r="J83" s="63"/>
      <c r="K83" s="89">
        <v>88.554133002020293</v>
      </c>
      <c r="L83" s="109">
        <v>-73.459000000000003</v>
      </c>
      <c r="M83" s="89">
        <v>-93.058133002020284</v>
      </c>
      <c r="N83" s="63">
        <v>141.7971330020203</v>
      </c>
      <c r="O83" s="62">
        <v>122.19799999999999</v>
      </c>
      <c r="P83" s="123"/>
      <c r="Q83" s="63">
        <v>68.954999999999998</v>
      </c>
      <c r="R83" s="99">
        <v>1987.2860000000001</v>
      </c>
      <c r="S83" s="89"/>
      <c r="T83" s="63">
        <v>128.81</v>
      </c>
      <c r="U83" s="127">
        <v>86.358000000000004</v>
      </c>
      <c r="V83" s="109">
        <v>55.356000000000002</v>
      </c>
      <c r="W83" s="88"/>
      <c r="X83" s="84">
        <v>2380.9</v>
      </c>
      <c r="Y83" s="84">
        <v>2050.4</v>
      </c>
      <c r="Z83" s="84">
        <v>1651.05</v>
      </c>
      <c r="AA83" s="127">
        <v>136.43199999999999</v>
      </c>
      <c r="AB83" s="89">
        <v>156.03113300202028</v>
      </c>
      <c r="AC83" s="128">
        <v>2385.3220000000001</v>
      </c>
      <c r="AD83" s="129"/>
      <c r="AE83" s="131">
        <v>2356.8829999999998</v>
      </c>
      <c r="AF83" s="89">
        <v>2471.0410000000002</v>
      </c>
      <c r="AG83" s="112">
        <v>1.7841179210937241</v>
      </c>
      <c r="AH83" s="71">
        <v>88.011088011088006</v>
      </c>
      <c r="AI83" s="132"/>
      <c r="AJ83" s="113"/>
      <c r="AK83" s="133"/>
      <c r="AL83" s="133"/>
      <c r="AM83" s="133"/>
      <c r="AN83" s="133"/>
      <c r="AO83" s="133"/>
      <c r="AP83" s="133"/>
      <c r="AQ83" s="116"/>
      <c r="AR83" s="116"/>
      <c r="AS83" s="116"/>
      <c r="AT83" s="101"/>
      <c r="AU83" s="94"/>
      <c r="AV83" s="94"/>
      <c r="AW83" s="94"/>
      <c r="AX83" s="94"/>
      <c r="AY83" s="94"/>
    </row>
    <row r="84" spans="1:51" ht="15.75">
      <c r="A84" s="98"/>
      <c r="B84" s="134" t="s">
        <v>413</v>
      </c>
      <c r="C84" s="63">
        <v>1035.588</v>
      </c>
      <c r="D84" s="63">
        <v>1158.856</v>
      </c>
      <c r="E84" s="63">
        <v>1052.6420000000001</v>
      </c>
      <c r="F84" s="63">
        <v>45.91</v>
      </c>
      <c r="G84" s="63">
        <v>60.304000000000002</v>
      </c>
      <c r="H84" s="63">
        <v>106.214</v>
      </c>
      <c r="I84" s="63">
        <v>928.77499999999998</v>
      </c>
      <c r="J84" s="63"/>
      <c r="K84" s="89">
        <v>99.850323210557505</v>
      </c>
      <c r="L84" s="109">
        <v>-26.670999999999999</v>
      </c>
      <c r="M84" s="89">
        <v>-49.1633232105575</v>
      </c>
      <c r="N84" s="63">
        <v>145.76032321055752</v>
      </c>
      <c r="O84" s="62">
        <v>123.268</v>
      </c>
      <c r="P84" s="123"/>
      <c r="Q84" s="63">
        <v>77.358000000000004</v>
      </c>
      <c r="R84" s="99">
        <v>2165.1309999999999</v>
      </c>
      <c r="S84" s="89"/>
      <c r="T84" s="63">
        <v>111.358</v>
      </c>
      <c r="U84" s="127">
        <v>50.1</v>
      </c>
      <c r="V84" s="109">
        <v>112.14700000000001</v>
      </c>
      <c r="W84" s="88"/>
      <c r="X84" s="84">
        <v>2545.5</v>
      </c>
      <c r="Y84" s="84">
        <v>2252.6999999999998</v>
      </c>
      <c r="Z84" s="84">
        <v>1856.2070000000001</v>
      </c>
      <c r="AA84" s="127">
        <v>133.79599999999999</v>
      </c>
      <c r="AB84" s="89">
        <v>156.28832321055748</v>
      </c>
      <c r="AC84" s="128">
        <v>2538.42</v>
      </c>
      <c r="AD84" s="129"/>
      <c r="AE84" s="131">
        <v>2584.8409999999999</v>
      </c>
      <c r="AF84" s="89">
        <v>2690.7779999999998</v>
      </c>
      <c r="AG84" s="112">
        <v>1.0266783069443619</v>
      </c>
      <c r="AH84" s="71">
        <v>94.271194271194275</v>
      </c>
      <c r="AI84" s="135"/>
      <c r="AJ84" s="113"/>
      <c r="AK84" s="133"/>
      <c r="AL84" s="133"/>
      <c r="AM84" s="133"/>
      <c r="AN84" s="133"/>
      <c r="AO84" s="133"/>
      <c r="AP84" s="133"/>
      <c r="AQ84" s="116"/>
      <c r="AR84" s="116"/>
      <c r="AS84" s="116"/>
      <c r="AT84" s="101"/>
      <c r="AU84" s="94"/>
      <c r="AV84" s="94"/>
      <c r="AW84" s="94"/>
      <c r="AX84" s="94"/>
      <c r="AY84" s="94"/>
    </row>
    <row r="85" spans="1:51" ht="15.75">
      <c r="A85" s="8"/>
      <c r="B85" s="136" t="s">
        <v>414</v>
      </c>
      <c r="C85" s="63">
        <v>1098.876</v>
      </c>
      <c r="D85" s="63">
        <v>1229.9349999999999</v>
      </c>
      <c r="E85" s="63">
        <v>1094.3979999999999</v>
      </c>
      <c r="F85" s="63">
        <v>70.23</v>
      </c>
      <c r="G85" s="63">
        <v>65.307000000000002</v>
      </c>
      <c r="H85" s="63">
        <v>135.53700000000001</v>
      </c>
      <c r="I85" s="63">
        <v>976.52700000000004</v>
      </c>
      <c r="J85" s="89"/>
      <c r="K85" s="89">
        <v>66.699832517121621</v>
      </c>
      <c r="L85" s="109">
        <v>-48.511000000000003</v>
      </c>
      <c r="M85" s="89">
        <v>-54.381832517121616</v>
      </c>
      <c r="N85" s="63">
        <v>136.92983251712164</v>
      </c>
      <c r="O85" s="62">
        <v>131.059</v>
      </c>
      <c r="P85" s="123"/>
      <c r="Q85" s="63">
        <v>60.829000000000001</v>
      </c>
      <c r="R85" s="99">
        <v>2278.143</v>
      </c>
      <c r="S85" s="89"/>
      <c r="T85" s="63">
        <v>157.399</v>
      </c>
      <c r="U85" s="127">
        <v>62.389000000000003</v>
      </c>
      <c r="V85" s="109">
        <v>106.71</v>
      </c>
      <c r="W85" s="88"/>
      <c r="X85" s="84">
        <v>2685.6</v>
      </c>
      <c r="Y85" s="84">
        <v>2446</v>
      </c>
      <c r="Z85" s="84">
        <v>1986.912</v>
      </c>
      <c r="AA85" s="127">
        <v>156.85</v>
      </c>
      <c r="AB85" s="89">
        <v>162.72083251712164</v>
      </c>
      <c r="AC85" s="128">
        <v>2736.1979999999999</v>
      </c>
      <c r="AD85" s="117"/>
      <c r="AE85" s="137">
        <v>2752.9839999999999</v>
      </c>
      <c r="AF85" s="138">
        <v>2817.018</v>
      </c>
      <c r="AG85" s="139">
        <v>1.5835516137528316E-2</v>
      </c>
      <c r="AH85" s="140">
        <v>100</v>
      </c>
      <c r="AI85" s="135"/>
      <c r="AJ85" s="113"/>
      <c r="AK85" s="133"/>
      <c r="AL85" s="133"/>
      <c r="AM85" s="133"/>
      <c r="AN85" s="133"/>
      <c r="AO85" s="133"/>
      <c r="AP85" s="133"/>
      <c r="AQ85" s="8"/>
      <c r="AR85" s="8"/>
      <c r="AS85" s="8"/>
      <c r="AT85" s="8"/>
      <c r="AU85" s="8"/>
      <c r="AV85" s="8"/>
      <c r="AW85" s="8"/>
      <c r="AX85" s="8"/>
      <c r="AY85" s="8"/>
    </row>
    <row r="86" spans="1:51" ht="15.75">
      <c r="A86" s="8"/>
      <c r="B86" s="141" t="s">
        <v>415</v>
      </c>
      <c r="C86" s="142">
        <v>1148.6872588739361</v>
      </c>
      <c r="D86" s="143">
        <v>1276.1791227101021</v>
      </c>
      <c r="E86" s="143">
        <v>1134.4377967356165</v>
      </c>
      <c r="F86" s="143">
        <v>72.014002910846415</v>
      </c>
      <c r="G86" s="143">
        <v>69.727323063639062</v>
      </c>
      <c r="H86" s="143">
        <v>141.74132597448548</v>
      </c>
      <c r="I86" s="143">
        <v>1024.8326171962742</v>
      </c>
      <c r="J86" s="144"/>
      <c r="K86" s="143">
        <v>52.231931767222505</v>
      </c>
      <c r="L86" s="143">
        <v>-45.937677566734372</v>
      </c>
      <c r="M86" s="143">
        <v>-42.691748408637203</v>
      </c>
      <c r="N86" s="143">
        <v>124.24593467806891</v>
      </c>
      <c r="O86" s="143">
        <v>127.49186383616608</v>
      </c>
      <c r="P86" s="144"/>
      <c r="Q86" s="144">
        <v>55.477860925319675</v>
      </c>
      <c r="R86" s="144">
        <v>2407.6175466895179</v>
      </c>
      <c r="S86" s="143"/>
      <c r="T86" s="145">
        <v>165.09487619993573</v>
      </c>
      <c r="U86" s="145">
        <v>129.82486596984259</v>
      </c>
      <c r="V86" s="145">
        <v>104.90095363149224</v>
      </c>
      <c r="W86" s="146"/>
      <c r="X86" s="145">
        <v>2835.5920428230243</v>
      </c>
      <c r="Y86" s="145">
        <v>2644.1615754888185</v>
      </c>
      <c r="Z86" s="147">
        <v>2004.9548274893307</v>
      </c>
      <c r="AA86" s="145">
        <v>146.31384586862237</v>
      </c>
      <c r="AB86" s="148">
        <v>143.0679167105252</v>
      </c>
      <c r="AC86" s="149">
        <v>2924.2049548444952</v>
      </c>
      <c r="AD86" s="117"/>
      <c r="AE86" s="150">
        <v>2814.6771269999999</v>
      </c>
      <c r="AF86" s="151">
        <v>2881.8284830000002</v>
      </c>
      <c r="AG86" s="152">
        <v>-0.23697729705750703</v>
      </c>
      <c r="AH86" s="153">
        <v>102.37466607696864</v>
      </c>
      <c r="AI86" s="135"/>
      <c r="AJ86" s="113"/>
      <c r="AK86" s="133"/>
      <c r="AL86" s="133"/>
      <c r="AM86" s="133"/>
      <c r="AN86" s="133"/>
      <c r="AO86" s="133"/>
      <c r="AP86" s="133"/>
      <c r="AQ86" s="8"/>
      <c r="AR86" s="8"/>
      <c r="AS86" s="8"/>
      <c r="AT86" s="8"/>
      <c r="AU86" s="8"/>
      <c r="AV86" s="8"/>
      <c r="AW86" s="8"/>
      <c r="AX86" s="8"/>
      <c r="AY86" s="8"/>
    </row>
    <row r="87" spans="1:51" ht="15.75">
      <c r="A87" s="8"/>
      <c r="B87" s="141" t="s">
        <v>416</v>
      </c>
      <c r="C87" s="154">
        <v>1229.4796666500777</v>
      </c>
      <c r="D87" s="155">
        <v>1335.0561808124394</v>
      </c>
      <c r="E87" s="155">
        <v>1182.8457844538243</v>
      </c>
      <c r="F87" s="155">
        <v>79.413905332249854</v>
      </c>
      <c r="G87" s="155">
        <v>72.796491026365288</v>
      </c>
      <c r="H87" s="155">
        <v>152.21039635861513</v>
      </c>
      <c r="I87" s="155">
        <v>1104.5745684472708</v>
      </c>
      <c r="J87" s="123"/>
      <c r="K87" s="155">
        <v>28.383915284539285</v>
      </c>
      <c r="L87" s="155">
        <v>-19.982086036789703</v>
      </c>
      <c r="M87" s="155">
        <v>-22.203392491216871</v>
      </c>
      <c r="N87" s="155">
        <v>107.79782061678911</v>
      </c>
      <c r="O87" s="155">
        <v>105.57651416236195</v>
      </c>
      <c r="P87" s="123"/>
      <c r="Q87" s="123">
        <v>26.16260883011212</v>
      </c>
      <c r="R87" s="123">
        <v>2518.3904811724192</v>
      </c>
      <c r="S87" s="155"/>
      <c r="T87" s="156">
        <v>135.1176760692405</v>
      </c>
      <c r="U87" s="156">
        <v>66.923362144344367</v>
      </c>
      <c r="V87" s="156">
        <v>105.74635658542624</v>
      </c>
      <c r="W87" s="88"/>
      <c r="X87" s="156">
        <v>2913.0279702038033</v>
      </c>
      <c r="Y87" s="156">
        <v>2799.3807283027122</v>
      </c>
      <c r="Z87" s="156">
        <v>2081.6999722294868</v>
      </c>
      <c r="AA87" s="156">
        <v>115.82152016817723</v>
      </c>
      <c r="AB87" s="151">
        <v>118.04282662260415</v>
      </c>
      <c r="AC87" s="153">
        <v>3078.4868493891763</v>
      </c>
      <c r="AD87" s="117"/>
      <c r="AE87" s="150">
        <v>2950.017241</v>
      </c>
      <c r="AF87" s="151">
        <v>3005.5463840000007</v>
      </c>
      <c r="AG87" s="152">
        <v>0.24538708643551388</v>
      </c>
      <c r="AH87" s="153">
        <v>104.81729266263783</v>
      </c>
      <c r="AI87" s="135"/>
      <c r="AJ87" s="113"/>
      <c r="AK87" s="133"/>
      <c r="AL87" s="133"/>
      <c r="AM87" s="133"/>
      <c r="AN87" s="133"/>
      <c r="AO87" s="133"/>
      <c r="AP87" s="133"/>
      <c r="AQ87" s="8"/>
      <c r="AR87" s="8"/>
      <c r="AS87" s="8"/>
      <c r="AT87" s="8"/>
      <c r="AU87" s="8"/>
      <c r="AV87" s="8"/>
      <c r="AW87" s="8"/>
      <c r="AX87" s="8"/>
      <c r="AY87" s="8"/>
    </row>
    <row r="88" spans="1:51" ht="15.75">
      <c r="A88" s="8"/>
      <c r="B88" s="141" t="s">
        <v>417</v>
      </c>
      <c r="C88" s="154">
        <v>1290.5340400341224</v>
      </c>
      <c r="D88" s="155">
        <v>1378.9937093523713</v>
      </c>
      <c r="E88" s="155">
        <v>1220.4795965247031</v>
      </c>
      <c r="F88" s="155">
        <v>83.23822119165348</v>
      </c>
      <c r="G88" s="155">
        <v>75.27589163601462</v>
      </c>
      <c r="H88" s="155">
        <v>158.5141128276681</v>
      </c>
      <c r="I88" s="155">
        <v>1162.4503408759599</v>
      </c>
      <c r="J88" s="123"/>
      <c r="K88" s="155">
        <v>12.220127111117293</v>
      </c>
      <c r="L88" s="155">
        <v>0.10601166353805457</v>
      </c>
      <c r="M88" s="155">
        <v>-6.8926673209840637</v>
      </c>
      <c r="N88" s="155">
        <v>95.458348302770773</v>
      </c>
      <c r="O88" s="155">
        <v>88.459669318248643</v>
      </c>
      <c r="P88" s="123"/>
      <c r="Q88" s="123">
        <v>5.2214481265951767</v>
      </c>
      <c r="R88" s="123">
        <v>2621.6554384021942</v>
      </c>
      <c r="S88" s="155"/>
      <c r="T88" s="156">
        <v>115.71623029691209</v>
      </c>
      <c r="U88" s="156">
        <v>91.566497477942875</v>
      </c>
      <c r="V88" s="156">
        <v>108.21025011043088</v>
      </c>
      <c r="W88" s="88"/>
      <c r="X88" s="156">
        <v>3018.1528744255274</v>
      </c>
      <c r="Y88" s="156">
        <v>2937.7887388844429</v>
      </c>
      <c r="Z88" s="156">
        <v>2153.5666565700431</v>
      </c>
      <c r="AA88" s="156">
        <v>106.11243482803314</v>
      </c>
      <c r="AB88" s="151">
        <v>113.11111381255527</v>
      </c>
      <c r="AC88" s="153">
        <v>3218.8273110181203</v>
      </c>
      <c r="AD88" s="157"/>
      <c r="AE88" s="150">
        <v>3059.3962009999996</v>
      </c>
      <c r="AF88" s="151">
        <v>3112.5791730000001</v>
      </c>
      <c r="AG88" s="152">
        <v>0.35936544228529499</v>
      </c>
      <c r="AH88" s="153">
        <v>106.88311581110803</v>
      </c>
      <c r="AI88" s="135"/>
      <c r="AJ88" s="113"/>
      <c r="AK88" s="133"/>
      <c r="AL88" s="133"/>
      <c r="AM88" s="133"/>
      <c r="AN88" s="133"/>
      <c r="AO88" s="133"/>
      <c r="AP88" s="133"/>
      <c r="AQ88" s="8"/>
      <c r="AR88" s="8"/>
      <c r="AS88" s="8"/>
      <c r="AT88" s="8"/>
      <c r="AU88" s="8"/>
      <c r="AV88" s="8"/>
      <c r="AW88" s="8"/>
      <c r="AX88" s="8"/>
      <c r="AY88" s="8"/>
    </row>
    <row r="89" spans="1:51" ht="15.75">
      <c r="A89" s="14"/>
      <c r="B89" s="141" t="s">
        <v>418</v>
      </c>
      <c r="C89" s="154">
        <v>1345.9792784398599</v>
      </c>
      <c r="D89" s="155">
        <v>1418.147176903324</v>
      </c>
      <c r="E89" s="155">
        <v>1257.152932944236</v>
      </c>
      <c r="F89" s="155">
        <v>83.092042722530309</v>
      </c>
      <c r="G89" s="155">
        <v>77.902201236557673</v>
      </c>
      <c r="H89" s="155">
        <v>160.99424395908798</v>
      </c>
      <c r="I89" s="155">
        <v>1213.6624741041073</v>
      </c>
      <c r="J89" s="123"/>
      <c r="K89" s="155">
        <v>-5.0854929006209595</v>
      </c>
      <c r="L89" s="155">
        <v>20.860170056065151</v>
      </c>
      <c r="M89" s="155">
        <v>15.02151869762001</v>
      </c>
      <c r="N89" s="155">
        <v>78.006549821909331</v>
      </c>
      <c r="O89" s="155">
        <v>72.167898463464184</v>
      </c>
      <c r="P89" s="123"/>
      <c r="Q89" s="123">
        <v>-10.924144259066102</v>
      </c>
      <c r="R89" s="123">
        <v>2709.8740189753385</v>
      </c>
      <c r="S89" s="155"/>
      <c r="T89" s="156">
        <v>118.01096273591007</v>
      </c>
      <c r="U89" s="156">
        <v>118.46139953961804</v>
      </c>
      <c r="V89" s="156">
        <v>112.92348642434916</v>
      </c>
      <c r="W89" s="88"/>
      <c r="X89" s="156">
        <v>3133.4271758548575</v>
      </c>
      <c r="Y89" s="156">
        <v>3062.8025907226706</v>
      </c>
      <c r="Z89" s="156">
        <v>2213.9243918362158</v>
      </c>
      <c r="AA89" s="156">
        <v>91.123985222592623</v>
      </c>
      <c r="AB89" s="151">
        <v>96.962636581037771</v>
      </c>
      <c r="AC89" s="153">
        <v>3346.6314983295047</v>
      </c>
      <c r="AD89" s="157"/>
      <c r="AE89" s="150">
        <v>3167.3345859999999</v>
      </c>
      <c r="AF89" s="151">
        <v>3222.166643</v>
      </c>
      <c r="AG89" s="152">
        <v>0.22493298847956567</v>
      </c>
      <c r="AH89" s="153">
        <v>108.97551747258663</v>
      </c>
      <c r="AI89" s="135"/>
      <c r="AJ89" s="113"/>
      <c r="AK89" s="133"/>
      <c r="AL89" s="133"/>
      <c r="AM89" s="133"/>
      <c r="AN89" s="133"/>
      <c r="AO89" s="133"/>
      <c r="AP89" s="133"/>
      <c r="AQ89" s="14"/>
      <c r="AR89" s="14"/>
      <c r="AS89" s="14"/>
      <c r="AT89" s="14"/>
      <c r="AU89" s="14"/>
      <c r="AV89" s="14"/>
      <c r="AW89" s="14"/>
      <c r="AX89" s="14"/>
      <c r="AY89" s="14"/>
    </row>
    <row r="90" spans="1:51" ht="15.75">
      <c r="A90" s="14"/>
      <c r="B90" s="141" t="s">
        <v>419</v>
      </c>
      <c r="C90" s="154">
        <v>1389.7674838480054</v>
      </c>
      <c r="D90" s="155">
        <v>1461.6741989636578</v>
      </c>
      <c r="E90" s="155">
        <v>1300.130694383221</v>
      </c>
      <c r="F90" s="155">
        <v>81.246704915192026</v>
      </c>
      <c r="G90" s="155">
        <v>80.296799665244663</v>
      </c>
      <c r="H90" s="155">
        <v>161.54350458043669</v>
      </c>
      <c r="I90" s="155">
        <v>1253.2948190788954</v>
      </c>
      <c r="J90" s="123"/>
      <c r="K90" s="155">
        <v>-6.1559399674527739</v>
      </c>
      <c r="L90" s="155">
        <v>25.779696803009493</v>
      </c>
      <c r="M90" s="155">
        <v>22.595646970922374</v>
      </c>
      <c r="N90" s="155">
        <v>75.090764947739288</v>
      </c>
      <c r="O90" s="155">
        <v>71.906715115652176</v>
      </c>
      <c r="P90" s="123"/>
      <c r="Q90" s="123">
        <v>-9.3399897995398931</v>
      </c>
      <c r="R90" s="123">
        <v>2798.5547775744103</v>
      </c>
      <c r="S90" s="155"/>
      <c r="T90" s="156">
        <v>128.20310271240794</v>
      </c>
      <c r="U90" s="156">
        <v>127.62506186735912</v>
      </c>
      <c r="V90" s="156">
        <v>117.93551114901004</v>
      </c>
      <c r="W90" s="88"/>
      <c r="X90" s="156">
        <v>3247.902993214615</v>
      </c>
      <c r="Y90" s="156">
        <v>3190.1007792710525</v>
      </c>
      <c r="Z90" s="156">
        <v>2281.5395577763607</v>
      </c>
      <c r="AA90" s="156">
        <v>94.307561581289264</v>
      </c>
      <c r="AB90" s="151">
        <v>97.491611413376376</v>
      </c>
      <c r="AC90" s="153">
        <v>3477.2803373430588</v>
      </c>
      <c r="AD90" s="157"/>
      <c r="AE90" s="150">
        <v>3279.049422</v>
      </c>
      <c r="AF90" s="151">
        <v>3336.6604410000004</v>
      </c>
      <c r="AG90" s="152">
        <v>0.10423246742767844</v>
      </c>
      <c r="AH90" s="153">
        <v>111.12317312968337</v>
      </c>
      <c r="AI90" s="135"/>
      <c r="AJ90" s="113"/>
      <c r="AK90" s="133"/>
      <c r="AL90" s="133"/>
      <c r="AM90" s="133"/>
      <c r="AN90" s="133"/>
      <c r="AO90" s="133"/>
      <c r="AP90" s="133"/>
      <c r="AQ90" s="14"/>
      <c r="AR90" s="14"/>
      <c r="AS90" s="14"/>
      <c r="AT90" s="14"/>
      <c r="AU90" s="14"/>
      <c r="AV90" s="14"/>
      <c r="AW90" s="14"/>
      <c r="AX90" s="14"/>
      <c r="AY90" s="14"/>
    </row>
    <row r="91" spans="1:51" ht="15.75">
      <c r="A91" s="14"/>
      <c r="B91" s="141" t="s">
        <v>420</v>
      </c>
      <c r="C91" s="154">
        <v>1439.914048579725</v>
      </c>
      <c r="D91" s="155">
        <v>1510.4978348549209</v>
      </c>
      <c r="E91" s="155">
        <v>1347.4627797495634</v>
      </c>
      <c r="F91" s="155">
        <v>80.513145773421243</v>
      </c>
      <c r="G91" s="155">
        <v>82.521909331936058</v>
      </c>
      <c r="H91" s="155">
        <v>163.03505510535729</v>
      </c>
      <c r="I91" s="155">
        <v>1299.1986818386401</v>
      </c>
      <c r="J91" s="123"/>
      <c r="K91" s="155">
        <v>-9.1324929203301188</v>
      </c>
      <c r="L91" s="155">
        <v>30.719848463194051</v>
      </c>
      <c r="M91" s="155">
        <v>29.922981885298682</v>
      </c>
      <c r="N91" s="155">
        <v>71.380652853091121</v>
      </c>
      <c r="O91" s="155">
        <v>70.583786275195749</v>
      </c>
      <c r="P91" s="123"/>
      <c r="Q91" s="123">
        <v>-9.9293594982254874</v>
      </c>
      <c r="R91" s="123">
        <v>2885.9171857447768</v>
      </c>
      <c r="S91" s="155"/>
      <c r="T91" s="156">
        <v>104.19392151612955</v>
      </c>
      <c r="U91" s="156">
        <v>102.47814322530908</v>
      </c>
      <c r="V91" s="156">
        <v>122.16483338400226</v>
      </c>
      <c r="W91" s="88"/>
      <c r="X91" s="156">
        <v>3360.9277902865001</v>
      </c>
      <c r="Y91" s="156">
        <v>3313.4161604004776</v>
      </c>
      <c r="Z91" s="156">
        <v>2348.6547887130637</v>
      </c>
      <c r="AA91" s="156">
        <v>90.857114039457542</v>
      </c>
      <c r="AB91" s="151">
        <v>91.653980617353156</v>
      </c>
      <c r="AC91" s="153">
        <v>3604.39685788304</v>
      </c>
      <c r="AD91" s="157"/>
      <c r="AE91" s="158">
        <v>3397.2814119999998</v>
      </c>
      <c r="AF91" s="159">
        <v>3459.5959904002893</v>
      </c>
      <c r="AG91" s="160">
        <v>5.2190277404946528E-3</v>
      </c>
      <c r="AH91" s="161">
        <v>113.31496692431253</v>
      </c>
      <c r="AI91" s="135"/>
      <c r="AJ91" s="113"/>
      <c r="AK91" s="133"/>
      <c r="AL91" s="133"/>
      <c r="AM91" s="133"/>
      <c r="AN91" s="133"/>
      <c r="AO91" s="133"/>
      <c r="AP91" s="133"/>
      <c r="AQ91" s="14"/>
      <c r="AR91" s="14"/>
      <c r="AS91" s="14"/>
      <c r="AT91" s="14"/>
      <c r="AU91" s="14"/>
      <c r="AV91" s="14"/>
      <c r="AW91" s="14"/>
      <c r="AX91" s="14"/>
      <c r="AY91" s="14"/>
    </row>
    <row r="92" spans="1:51" ht="15.75">
      <c r="A92" s="98"/>
      <c r="B92" s="162" t="s">
        <v>539</v>
      </c>
      <c r="C92" s="416" t="s">
        <v>540</v>
      </c>
      <c r="D92" s="416"/>
      <c r="E92" s="416"/>
      <c r="F92" s="416"/>
      <c r="G92" s="416"/>
      <c r="H92" s="416"/>
      <c r="I92" s="416"/>
      <c r="J92" s="416"/>
      <c r="K92" s="416"/>
      <c r="L92" s="416"/>
      <c r="M92" s="416"/>
      <c r="N92" s="416"/>
      <c r="O92" s="416"/>
      <c r="P92" s="416"/>
      <c r="Q92" s="416"/>
      <c r="R92" s="416"/>
      <c r="S92" s="416"/>
      <c r="T92" s="416"/>
      <c r="U92" s="416"/>
      <c r="V92" s="416"/>
      <c r="W92" s="416"/>
      <c r="X92" s="416"/>
      <c r="Y92" s="416"/>
      <c r="Z92" s="416"/>
      <c r="AA92" s="416"/>
      <c r="AB92" s="416"/>
      <c r="AC92" s="417"/>
      <c r="AD92" s="163"/>
      <c r="AE92" s="164"/>
      <c r="AF92" s="165"/>
      <c r="AG92" s="165"/>
      <c r="AH92" s="166"/>
      <c r="AI92" s="132"/>
      <c r="AJ92" s="113"/>
      <c r="AK92" s="94"/>
      <c r="AL92" s="94"/>
      <c r="AM92" s="167"/>
      <c r="AN92" s="167"/>
      <c r="AO92" s="167"/>
      <c r="AP92" s="167"/>
      <c r="AQ92" s="167"/>
      <c r="AR92" s="167"/>
      <c r="AS92" s="167"/>
      <c r="AT92" s="101"/>
      <c r="AU92" s="94"/>
      <c r="AV92" s="94"/>
      <c r="AW92" s="94"/>
      <c r="AX92" s="94"/>
      <c r="AY92" s="94"/>
    </row>
    <row r="93" spans="1:51" ht="15.75">
      <c r="A93" s="8"/>
      <c r="B93" s="168"/>
      <c r="C93" s="413" t="s">
        <v>541</v>
      </c>
      <c r="D93" s="413"/>
      <c r="E93" s="413"/>
      <c r="F93" s="413"/>
      <c r="G93" s="413"/>
      <c r="H93" s="413"/>
      <c r="I93" s="413"/>
      <c r="J93" s="413"/>
      <c r="K93" s="413"/>
      <c r="L93" s="413"/>
      <c r="M93" s="413"/>
      <c r="N93" s="413"/>
      <c r="O93" s="413"/>
      <c r="P93" s="413"/>
      <c r="Q93" s="413"/>
      <c r="R93" s="413"/>
      <c r="S93" s="413"/>
      <c r="T93" s="413"/>
      <c r="U93" s="413"/>
      <c r="V93" s="413"/>
      <c r="W93" s="413"/>
      <c r="X93" s="413"/>
      <c r="Y93" s="413"/>
      <c r="Z93" s="413"/>
      <c r="AA93" s="413"/>
      <c r="AB93" s="413"/>
      <c r="AC93" s="413"/>
      <c r="AD93" s="10"/>
      <c r="AE93" s="14"/>
      <c r="AF93" s="14"/>
      <c r="AG93" s="14"/>
      <c r="AH93" s="169"/>
      <c r="AI93" s="132"/>
      <c r="AJ93" s="133"/>
      <c r="AK93" s="14"/>
      <c r="AL93" s="14"/>
      <c r="AM93" s="14"/>
      <c r="AN93" s="14"/>
      <c r="AO93" s="14"/>
      <c r="AP93" s="14"/>
      <c r="AQ93" s="14"/>
      <c r="AR93" s="14"/>
      <c r="AS93" s="14"/>
      <c r="AT93" s="14"/>
      <c r="AU93" s="14"/>
      <c r="AV93" s="14"/>
      <c r="AW93" s="14"/>
      <c r="AX93" s="14"/>
      <c r="AY93" s="14"/>
    </row>
    <row r="94" spans="1:51" ht="15.75">
      <c r="A94" s="8"/>
      <c r="B94" s="170"/>
      <c r="C94" s="171" t="s">
        <v>542</v>
      </c>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0"/>
      <c r="AE94" s="14"/>
      <c r="AF94" s="14"/>
      <c r="AG94" s="14"/>
      <c r="AH94" s="172"/>
      <c r="AI94" s="8"/>
      <c r="AJ94" s="14"/>
      <c r="AK94" s="14"/>
      <c r="AL94" s="14"/>
      <c r="AM94" s="14"/>
      <c r="AN94" s="14"/>
      <c r="AO94" s="14"/>
      <c r="AP94" s="14"/>
      <c r="AQ94" s="14"/>
      <c r="AR94" s="14"/>
      <c r="AS94" s="14"/>
      <c r="AT94" s="14"/>
      <c r="AU94" s="14"/>
      <c r="AV94" s="14"/>
      <c r="AW94" s="14"/>
      <c r="AX94" s="14"/>
      <c r="AY94" s="14"/>
    </row>
    <row r="95" spans="1:51" ht="16.5" thickBot="1">
      <c r="A95" s="8"/>
      <c r="B95" s="173"/>
      <c r="C95" s="174" t="s">
        <v>543</v>
      </c>
      <c r="D95" s="175"/>
      <c r="E95" s="175"/>
      <c r="F95" s="175"/>
      <c r="G95" s="175"/>
      <c r="H95" s="175"/>
      <c r="I95" s="175"/>
      <c r="J95" s="175"/>
      <c r="K95" s="175"/>
      <c r="L95" s="175"/>
      <c r="M95" s="175"/>
      <c r="N95" s="175"/>
      <c r="O95" s="175"/>
      <c r="P95" s="175"/>
      <c r="Q95" s="175"/>
      <c r="R95" s="175"/>
      <c r="S95" s="175"/>
      <c r="T95" s="175"/>
      <c r="U95" s="175"/>
      <c r="V95" s="175"/>
      <c r="W95" s="175"/>
      <c r="X95" s="175"/>
      <c r="Y95" s="175"/>
      <c r="Z95" s="175"/>
      <c r="AA95" s="175"/>
      <c r="AB95" s="175"/>
      <c r="AC95" s="175"/>
      <c r="AD95" s="10"/>
      <c r="AE95" s="175"/>
      <c r="AF95" s="175"/>
      <c r="AG95" s="175"/>
      <c r="AH95" s="176"/>
      <c r="AI95" s="8"/>
      <c r="AJ95" s="14"/>
      <c r="AK95" s="14"/>
      <c r="AL95" s="14"/>
      <c r="AM95" s="14"/>
      <c r="AN95" s="14"/>
      <c r="AO95" s="14"/>
      <c r="AP95" s="14"/>
      <c r="AQ95" s="14"/>
      <c r="AR95" s="14"/>
      <c r="AS95" s="14"/>
      <c r="AT95" s="14"/>
      <c r="AU95" s="14"/>
      <c r="AV95" s="14"/>
      <c r="AW95" s="14"/>
      <c r="AX95" s="14"/>
      <c r="AY95" s="14"/>
    </row>
    <row r="96" spans="1:51" ht="15.75">
      <c r="A96" s="8"/>
      <c r="B96" s="8"/>
      <c r="C96" s="177"/>
      <c r="D96" s="177"/>
      <c r="E96" s="177"/>
      <c r="F96" s="177"/>
      <c r="G96" s="177"/>
      <c r="H96" s="177"/>
      <c r="I96" s="177"/>
      <c r="J96" s="177"/>
      <c r="K96" s="177"/>
      <c r="L96" s="177"/>
      <c r="M96" s="8"/>
      <c r="N96" s="8"/>
      <c r="O96" s="8"/>
      <c r="P96" s="8"/>
      <c r="Q96" s="8"/>
      <c r="R96" s="8"/>
      <c r="S96" s="8"/>
      <c r="T96" s="8"/>
      <c r="U96" s="8"/>
      <c r="V96" s="8"/>
      <c r="W96" s="8"/>
      <c r="X96" s="8"/>
      <c r="Y96" s="8"/>
      <c r="Z96" s="8"/>
      <c r="AA96" s="8"/>
      <c r="AB96" s="8"/>
      <c r="AC96" s="8"/>
      <c r="AD96" s="8"/>
      <c r="AE96" s="8"/>
      <c r="AF96" s="8"/>
      <c r="AG96" s="8"/>
      <c r="AH96" s="8"/>
      <c r="AI96" s="8"/>
      <c r="AJ96" s="14"/>
      <c r="AK96" s="14"/>
      <c r="AL96" s="14"/>
      <c r="AM96" s="14"/>
      <c r="AN96" s="14"/>
      <c r="AO96" s="14"/>
      <c r="AP96" s="14"/>
      <c r="AQ96" s="14"/>
      <c r="AR96" s="14"/>
      <c r="AS96" s="14"/>
      <c r="AT96" s="14"/>
      <c r="AU96" s="14"/>
      <c r="AV96" s="14"/>
      <c r="AW96" s="14"/>
      <c r="AX96" s="14"/>
      <c r="AY96" s="14"/>
    </row>
    <row r="97" spans="2:51" ht="15.75">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177"/>
      <c r="AS97" s="177"/>
      <c r="AT97" s="177"/>
      <c r="AU97" s="177"/>
      <c r="AV97" s="177"/>
      <c r="AW97" s="177"/>
      <c r="AX97" s="177"/>
      <c r="AY97" s="177"/>
    </row>
    <row r="98" spans="2:51" ht="15.75">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177"/>
      <c r="AS98" s="177"/>
      <c r="AT98" s="177"/>
      <c r="AU98" s="177"/>
      <c r="AV98" s="177"/>
      <c r="AW98" s="177"/>
      <c r="AX98" s="177"/>
      <c r="AY98" s="177"/>
    </row>
    <row r="99" spans="2:51" ht="15.75">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c r="AA99" s="177"/>
      <c r="AB99" s="177"/>
      <c r="AC99" s="177"/>
      <c r="AD99" s="177"/>
      <c r="AE99" s="177"/>
      <c r="AF99" s="177"/>
      <c r="AG99" s="177"/>
      <c r="AH99" s="177"/>
      <c r="AI99" s="177"/>
      <c r="AJ99" s="177"/>
      <c r="AK99" s="177"/>
      <c r="AL99" s="177"/>
      <c r="AM99" s="177"/>
      <c r="AN99" s="14"/>
      <c r="AO99" s="14"/>
      <c r="AP99" s="14"/>
      <c r="AQ99" s="14"/>
      <c r="AR99" s="14"/>
      <c r="AS99" s="14"/>
      <c r="AT99" s="14"/>
      <c r="AU99" s="14"/>
      <c r="AV99" s="14"/>
      <c r="AW99" s="14"/>
      <c r="AX99" s="14"/>
      <c r="AY99" s="14"/>
    </row>
    <row r="100" spans="2:51" ht="15.75">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c r="AA100" s="177"/>
      <c r="AB100" s="177"/>
      <c r="AC100" s="177"/>
      <c r="AD100" s="177"/>
      <c r="AE100" s="177"/>
      <c r="AF100" s="177"/>
      <c r="AG100" s="177"/>
      <c r="AH100" s="177"/>
      <c r="AI100" s="177"/>
      <c r="AJ100" s="14"/>
      <c r="AK100" s="14"/>
      <c r="AL100" s="14"/>
      <c r="AM100" s="14"/>
      <c r="AN100" s="14"/>
      <c r="AO100" s="14"/>
      <c r="AP100" s="14"/>
      <c r="AQ100" s="14"/>
      <c r="AR100" s="14"/>
      <c r="AS100" s="14"/>
      <c r="AT100" s="14"/>
      <c r="AU100" s="14"/>
      <c r="AV100" s="14"/>
      <c r="AW100" s="14"/>
      <c r="AX100" s="14"/>
      <c r="AY100" s="14"/>
    </row>
    <row r="101" spans="2:51" ht="15.75">
      <c r="B101" s="8"/>
      <c r="C101" s="177"/>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177"/>
      <c r="AJ101" s="14"/>
      <c r="AK101" s="14"/>
      <c r="AL101" s="14"/>
      <c r="AM101" s="14"/>
      <c r="AN101" s="14"/>
      <c r="AO101" s="14"/>
      <c r="AP101" s="14"/>
      <c r="AQ101" s="14"/>
      <c r="AR101" s="14"/>
      <c r="AS101" s="14"/>
      <c r="AT101" s="14"/>
      <c r="AU101" s="14"/>
      <c r="AV101" s="14"/>
      <c r="AW101" s="14"/>
      <c r="AX101" s="14"/>
      <c r="AY101" s="14"/>
    </row>
    <row r="102" spans="2:51" ht="15.75">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177"/>
      <c r="AJ102" s="14"/>
      <c r="AK102" s="14"/>
      <c r="AL102" s="14"/>
      <c r="AM102" s="14"/>
      <c r="AN102" s="14"/>
      <c r="AO102" s="14"/>
      <c r="AP102" s="14"/>
      <c r="AQ102" s="14"/>
      <c r="AR102" s="14"/>
      <c r="AS102" s="14"/>
      <c r="AT102" s="14"/>
      <c r="AU102" s="14"/>
      <c r="AV102" s="14"/>
      <c r="AW102" s="14"/>
      <c r="AX102" s="14"/>
      <c r="AY102" s="14"/>
    </row>
    <row r="103" spans="2:51" ht="15.75">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14"/>
      <c r="AK103" s="14"/>
      <c r="AL103" s="14"/>
      <c r="AM103" s="14"/>
      <c r="AN103" s="14"/>
      <c r="AO103" s="14"/>
      <c r="AP103" s="14"/>
      <c r="AQ103" s="14"/>
      <c r="AR103" s="14"/>
      <c r="AS103" s="14"/>
      <c r="AT103" s="14"/>
      <c r="AU103" s="14"/>
      <c r="AV103" s="14"/>
      <c r="AW103" s="14"/>
      <c r="AX103" s="14"/>
      <c r="AY103" s="14"/>
    </row>
    <row r="104" spans="2:51" ht="15.75">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14"/>
      <c r="AK104" s="14"/>
      <c r="AL104" s="14"/>
      <c r="AM104" s="14"/>
      <c r="AN104" s="14"/>
      <c r="AO104" s="14"/>
      <c r="AP104" s="14"/>
      <c r="AQ104" s="14"/>
      <c r="AR104" s="14"/>
      <c r="AS104" s="14"/>
      <c r="AT104" s="14"/>
      <c r="AU104" s="14"/>
      <c r="AV104" s="14"/>
      <c r="AW104" s="14"/>
      <c r="AX104" s="14"/>
      <c r="AY104" s="14"/>
    </row>
    <row r="105" spans="2:51" ht="15.75">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14"/>
      <c r="AK105" s="14"/>
      <c r="AL105" s="14"/>
      <c r="AM105" s="14"/>
      <c r="AN105" s="14"/>
      <c r="AO105" s="14"/>
      <c r="AP105" s="14"/>
      <c r="AQ105" s="14"/>
      <c r="AR105" s="14"/>
      <c r="AS105" s="14"/>
      <c r="AT105" s="14"/>
      <c r="AU105" s="14"/>
      <c r="AV105" s="14"/>
      <c r="AW105" s="14"/>
      <c r="AX105" s="14"/>
      <c r="AY105" s="14"/>
    </row>
    <row r="106" spans="2:51" ht="15.75">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14"/>
      <c r="AK106" s="14"/>
      <c r="AL106" s="14"/>
      <c r="AM106" s="14"/>
      <c r="AN106" s="14"/>
      <c r="AO106" s="14"/>
      <c r="AP106" s="14"/>
      <c r="AQ106" s="14"/>
      <c r="AR106" s="14"/>
      <c r="AS106" s="14"/>
      <c r="AT106" s="14"/>
      <c r="AU106" s="14"/>
      <c r="AV106" s="14"/>
      <c r="AW106" s="14"/>
      <c r="AX106" s="14"/>
      <c r="AY106" s="14"/>
    </row>
    <row r="107" spans="2:51" ht="15.75">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14"/>
      <c r="AK107" s="14"/>
      <c r="AL107" s="14"/>
      <c r="AM107" s="14"/>
      <c r="AN107" s="14"/>
      <c r="AO107" s="14"/>
      <c r="AP107" s="14"/>
      <c r="AQ107" s="14"/>
      <c r="AR107" s="14"/>
      <c r="AS107" s="14"/>
      <c r="AT107" s="14"/>
      <c r="AU107" s="14"/>
      <c r="AV107" s="14"/>
      <c r="AW107" s="14"/>
      <c r="AX107" s="14"/>
      <c r="AY107" s="14"/>
    </row>
    <row r="108" spans="2:51" ht="15.75">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14"/>
      <c r="AK108" s="14"/>
      <c r="AL108" s="14"/>
      <c r="AM108" s="14"/>
      <c r="AN108" s="14"/>
      <c r="AO108" s="14"/>
      <c r="AP108" s="14"/>
      <c r="AQ108" s="14"/>
      <c r="AR108" s="14"/>
      <c r="AS108" s="14"/>
      <c r="AT108" s="14"/>
      <c r="AU108" s="14"/>
      <c r="AV108" s="14"/>
      <c r="AW108" s="14"/>
      <c r="AX108" s="14"/>
      <c r="AY108" s="14"/>
    </row>
    <row r="109" spans="2:51" ht="15.75">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14"/>
      <c r="AK109" s="14"/>
      <c r="AL109" s="14"/>
      <c r="AM109" s="14"/>
      <c r="AN109" s="14"/>
      <c r="AO109" s="14"/>
      <c r="AP109" s="14"/>
      <c r="AQ109" s="14"/>
      <c r="AR109" s="14"/>
      <c r="AS109" s="14"/>
      <c r="AT109" s="14"/>
      <c r="AU109" s="14"/>
      <c r="AV109" s="14"/>
      <c r="AW109" s="14"/>
      <c r="AX109" s="14"/>
      <c r="AY109" s="14"/>
    </row>
    <row r="110" spans="2:51" ht="15.75">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14"/>
      <c r="AK110" s="14"/>
      <c r="AL110" s="14"/>
      <c r="AM110" s="14"/>
      <c r="AN110" s="14"/>
      <c r="AO110" s="14"/>
      <c r="AP110" s="14"/>
      <c r="AQ110" s="14"/>
      <c r="AR110" s="14"/>
      <c r="AS110" s="14"/>
      <c r="AT110" s="14"/>
      <c r="AU110" s="14"/>
      <c r="AV110" s="14"/>
      <c r="AW110" s="14"/>
      <c r="AX110" s="14"/>
      <c r="AY110" s="14"/>
    </row>
    <row r="111" spans="2:51" ht="15.75">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14"/>
      <c r="AK111" s="14"/>
      <c r="AL111" s="14"/>
      <c r="AM111" s="14"/>
      <c r="AN111" s="14"/>
      <c r="AO111" s="14"/>
      <c r="AP111" s="14"/>
      <c r="AQ111" s="14"/>
      <c r="AR111" s="14"/>
      <c r="AS111" s="14"/>
      <c r="AT111" s="14"/>
      <c r="AU111" s="14"/>
      <c r="AV111" s="14"/>
      <c r="AW111" s="14"/>
      <c r="AX111" s="14"/>
      <c r="AY111" s="14"/>
    </row>
    <row r="112" spans="2:51" ht="15.75">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14"/>
      <c r="AK112" s="14"/>
      <c r="AL112" s="14"/>
      <c r="AM112" s="14"/>
      <c r="AN112" s="14"/>
      <c r="AO112" s="14"/>
      <c r="AP112" s="14"/>
      <c r="AQ112" s="14"/>
      <c r="AR112" s="14"/>
      <c r="AS112" s="14"/>
      <c r="AT112" s="14"/>
      <c r="AU112" s="14"/>
      <c r="AV112" s="14"/>
      <c r="AW112" s="14"/>
      <c r="AX112" s="14"/>
      <c r="AY112" s="14"/>
    </row>
    <row r="113" spans="36:51" ht="15.75">
      <c r="AJ113" s="14"/>
      <c r="AK113" s="14"/>
      <c r="AL113" s="14"/>
      <c r="AM113" s="14"/>
      <c r="AN113" s="14"/>
      <c r="AO113" s="14"/>
      <c r="AP113" s="14"/>
      <c r="AQ113" s="14"/>
      <c r="AR113" s="14"/>
      <c r="AS113" s="14"/>
      <c r="AT113" s="14"/>
      <c r="AU113" s="14"/>
      <c r="AV113" s="14"/>
      <c r="AW113" s="14"/>
      <c r="AX113" s="14"/>
      <c r="AY113" s="14"/>
    </row>
    <row r="114" spans="36:51" ht="15.75">
      <c r="AJ114" s="14"/>
      <c r="AK114" s="14"/>
      <c r="AL114" s="14"/>
      <c r="AM114" s="14"/>
      <c r="AN114" s="14"/>
      <c r="AO114" s="14"/>
      <c r="AP114" s="14"/>
      <c r="AQ114" s="14"/>
      <c r="AR114" s="14"/>
      <c r="AS114" s="14"/>
      <c r="AT114" s="14"/>
      <c r="AU114" s="14"/>
      <c r="AV114" s="14"/>
      <c r="AW114" s="14"/>
      <c r="AX114" s="14"/>
      <c r="AY114" s="14"/>
    </row>
    <row r="115" spans="36:51" ht="15.75">
      <c r="AJ115" s="14"/>
      <c r="AK115" s="14"/>
      <c r="AL115" s="14"/>
      <c r="AM115" s="14"/>
      <c r="AN115" s="14"/>
      <c r="AO115" s="14"/>
      <c r="AP115" s="14"/>
      <c r="AQ115" s="14"/>
      <c r="AR115" s="14"/>
      <c r="AS115" s="14"/>
      <c r="AT115" s="14"/>
      <c r="AU115" s="14"/>
      <c r="AV115" s="14"/>
      <c r="AW115" s="14"/>
      <c r="AX115" s="14"/>
      <c r="AY115" s="14"/>
    </row>
    <row r="116" spans="36:51" ht="15.75">
      <c r="AJ116" s="14"/>
      <c r="AK116" s="14"/>
      <c r="AL116" s="14"/>
      <c r="AM116" s="14"/>
      <c r="AN116" s="14"/>
      <c r="AO116" s="14"/>
      <c r="AP116" s="14"/>
      <c r="AQ116" s="14"/>
      <c r="AR116" s="14"/>
      <c r="AS116" s="14"/>
      <c r="AT116" s="14"/>
      <c r="AU116" s="14"/>
      <c r="AV116" s="14"/>
      <c r="AW116" s="14"/>
      <c r="AX116" s="14"/>
      <c r="AY116" s="14"/>
    </row>
    <row r="117" spans="36:51" ht="15.75">
      <c r="AJ117" s="14"/>
      <c r="AK117" s="14"/>
      <c r="AL117" s="14"/>
      <c r="AM117" s="14"/>
      <c r="AN117" s="14"/>
      <c r="AO117" s="14"/>
      <c r="AP117" s="14"/>
      <c r="AQ117" s="14"/>
      <c r="AR117" s="14"/>
      <c r="AS117" s="14"/>
      <c r="AT117" s="14"/>
      <c r="AU117" s="14"/>
      <c r="AV117" s="14"/>
      <c r="AW117" s="14"/>
      <c r="AX117" s="14"/>
      <c r="AY117" s="14"/>
    </row>
    <row r="118" spans="36:51" ht="15.75">
      <c r="AJ118" s="14"/>
      <c r="AK118" s="14"/>
      <c r="AL118" s="14"/>
      <c r="AM118" s="14"/>
      <c r="AN118" s="14"/>
      <c r="AO118" s="14"/>
      <c r="AP118" s="14"/>
      <c r="AQ118" s="14"/>
      <c r="AR118" s="14"/>
      <c r="AS118" s="14"/>
      <c r="AT118" s="14"/>
      <c r="AU118" s="14"/>
      <c r="AV118" s="14"/>
      <c r="AW118" s="14"/>
      <c r="AX118" s="14"/>
      <c r="AY118" s="14"/>
    </row>
    <row r="119" spans="36:51" ht="15.75">
      <c r="AJ119" s="14"/>
      <c r="AK119" s="14"/>
      <c r="AL119" s="14"/>
      <c r="AM119" s="14"/>
      <c r="AN119" s="14"/>
      <c r="AO119" s="14"/>
      <c r="AP119" s="14"/>
      <c r="AQ119" s="14"/>
      <c r="AR119" s="14"/>
      <c r="AS119" s="14"/>
      <c r="AT119" s="14"/>
      <c r="AU119" s="14"/>
      <c r="AV119" s="14"/>
      <c r="AW119" s="14"/>
      <c r="AX119" s="14"/>
      <c r="AY119" s="14"/>
    </row>
    <row r="120" spans="36:51" ht="15.75">
      <c r="AJ120" s="14"/>
      <c r="AK120" s="14"/>
      <c r="AL120" s="14"/>
      <c r="AM120" s="14"/>
      <c r="AN120" s="14"/>
      <c r="AO120" s="14"/>
      <c r="AP120" s="14"/>
      <c r="AQ120" s="14"/>
      <c r="AR120" s="14"/>
      <c r="AS120" s="14"/>
      <c r="AT120" s="14"/>
      <c r="AU120" s="14"/>
      <c r="AV120" s="14"/>
      <c r="AW120" s="14"/>
      <c r="AX120" s="14"/>
      <c r="AY120" s="14"/>
    </row>
    <row r="121" spans="36:51" ht="15.75">
      <c r="AJ121" s="14"/>
      <c r="AK121" s="14"/>
      <c r="AL121" s="14"/>
      <c r="AM121" s="14"/>
      <c r="AN121" s="14"/>
      <c r="AO121" s="14"/>
      <c r="AP121" s="14"/>
      <c r="AQ121" s="14"/>
      <c r="AR121" s="14"/>
      <c r="AS121" s="14"/>
      <c r="AT121" s="14"/>
      <c r="AU121" s="14"/>
      <c r="AV121" s="14"/>
      <c r="AW121" s="14"/>
      <c r="AX121" s="14"/>
      <c r="AY121" s="14"/>
    </row>
    <row r="122" spans="36:51" ht="15.75">
      <c r="AJ122" s="14"/>
      <c r="AK122" s="14"/>
      <c r="AL122" s="14"/>
      <c r="AM122" s="14"/>
      <c r="AN122" s="14"/>
      <c r="AO122" s="14"/>
      <c r="AP122" s="14"/>
      <c r="AQ122" s="14"/>
      <c r="AR122" s="14"/>
      <c r="AS122" s="14"/>
      <c r="AT122" s="14"/>
      <c r="AU122" s="14"/>
      <c r="AV122" s="14"/>
      <c r="AW122" s="14"/>
      <c r="AX122" s="14"/>
      <c r="AY122" s="14"/>
    </row>
    <row r="123" spans="36:51" ht="15.75">
      <c r="AJ123" s="14"/>
      <c r="AK123" s="14"/>
      <c r="AL123" s="14"/>
      <c r="AM123" s="14"/>
      <c r="AN123" s="14"/>
      <c r="AO123" s="14"/>
      <c r="AP123" s="14"/>
      <c r="AQ123" s="14"/>
      <c r="AR123" s="14"/>
      <c r="AS123" s="14"/>
      <c r="AT123" s="14"/>
      <c r="AU123" s="14"/>
      <c r="AV123" s="14"/>
      <c r="AW123" s="14"/>
      <c r="AX123" s="14"/>
      <c r="AY123" s="14"/>
    </row>
    <row r="124" spans="36:51" ht="15.75">
      <c r="AJ124" s="14"/>
      <c r="AK124" s="14"/>
      <c r="AL124" s="14"/>
      <c r="AM124" s="14"/>
      <c r="AN124" s="14"/>
      <c r="AO124" s="14"/>
      <c r="AP124" s="14"/>
      <c r="AQ124" s="14"/>
      <c r="AR124" s="14"/>
      <c r="AS124" s="14"/>
      <c r="AT124" s="14"/>
      <c r="AU124" s="14"/>
      <c r="AV124" s="14"/>
      <c r="AW124" s="14"/>
      <c r="AX124" s="14"/>
      <c r="AY124" s="14"/>
    </row>
    <row r="125" spans="36:51" ht="15.75">
      <c r="AJ125" s="14"/>
      <c r="AK125" s="14"/>
      <c r="AL125" s="14"/>
      <c r="AM125" s="14"/>
      <c r="AN125" s="14"/>
      <c r="AO125" s="14"/>
      <c r="AP125" s="14"/>
      <c r="AQ125" s="14"/>
      <c r="AR125" s="14"/>
      <c r="AS125" s="14"/>
      <c r="AT125" s="14"/>
      <c r="AU125" s="14"/>
      <c r="AV125" s="14"/>
      <c r="AW125" s="14"/>
      <c r="AX125" s="14"/>
      <c r="AY125" s="14"/>
    </row>
    <row r="126" spans="36:51" ht="15.75">
      <c r="AJ126" s="14"/>
      <c r="AK126" s="14"/>
      <c r="AL126" s="14"/>
      <c r="AM126" s="14"/>
      <c r="AN126" s="14"/>
      <c r="AO126" s="14"/>
      <c r="AP126" s="14"/>
      <c r="AQ126" s="14"/>
      <c r="AR126" s="14"/>
      <c r="AS126" s="14"/>
      <c r="AT126" s="14"/>
      <c r="AU126" s="14"/>
      <c r="AV126" s="14"/>
      <c r="AW126" s="14"/>
      <c r="AX126" s="14"/>
      <c r="AY126" s="14"/>
    </row>
    <row r="127" spans="36:51" ht="15.75">
      <c r="AJ127" s="14"/>
      <c r="AK127" s="14"/>
      <c r="AL127" s="14"/>
      <c r="AM127" s="14"/>
      <c r="AN127" s="14"/>
      <c r="AO127" s="14"/>
      <c r="AP127" s="14"/>
      <c r="AQ127" s="14"/>
      <c r="AR127" s="14"/>
      <c r="AS127" s="14"/>
      <c r="AT127" s="14"/>
      <c r="AU127" s="14"/>
      <c r="AV127" s="14"/>
      <c r="AW127" s="14"/>
      <c r="AX127" s="14"/>
      <c r="AY127" s="14"/>
    </row>
    <row r="128" spans="36:51" ht="15.75">
      <c r="AJ128" s="14"/>
      <c r="AK128" s="14"/>
      <c r="AL128" s="14"/>
      <c r="AM128" s="14"/>
      <c r="AN128" s="14"/>
      <c r="AO128" s="14"/>
      <c r="AP128" s="14"/>
      <c r="AQ128" s="14"/>
      <c r="AR128" s="14"/>
      <c r="AS128" s="14"/>
      <c r="AT128" s="14"/>
      <c r="AU128" s="14"/>
      <c r="AV128" s="14"/>
      <c r="AW128" s="14"/>
      <c r="AX128" s="14"/>
      <c r="AY128" s="14"/>
    </row>
    <row r="129" spans="36:51" ht="15.75">
      <c r="AJ129" s="14"/>
      <c r="AK129" s="14"/>
      <c r="AL129" s="14"/>
      <c r="AM129" s="14"/>
      <c r="AN129" s="14"/>
      <c r="AO129" s="14"/>
      <c r="AP129" s="14"/>
      <c r="AQ129" s="14"/>
      <c r="AR129" s="14"/>
      <c r="AS129" s="14"/>
      <c r="AT129" s="14"/>
      <c r="AU129" s="14"/>
      <c r="AV129" s="14"/>
      <c r="AW129" s="14"/>
      <c r="AX129" s="14"/>
      <c r="AY129" s="14"/>
    </row>
    <row r="130" spans="36:51" ht="15.75">
      <c r="AJ130" s="14"/>
      <c r="AK130" s="14"/>
      <c r="AL130" s="14"/>
      <c r="AM130" s="14"/>
      <c r="AN130" s="14"/>
      <c r="AO130" s="14"/>
      <c r="AP130" s="14"/>
      <c r="AQ130" s="14"/>
      <c r="AR130" s="14"/>
      <c r="AS130" s="14"/>
      <c r="AT130" s="14"/>
      <c r="AU130" s="14"/>
      <c r="AV130" s="14"/>
      <c r="AW130" s="14"/>
      <c r="AX130" s="14"/>
      <c r="AY130" s="14"/>
    </row>
    <row r="131" spans="36:51" ht="15.75">
      <c r="AJ131" s="14"/>
      <c r="AK131" s="14"/>
      <c r="AL131" s="14"/>
      <c r="AM131" s="14"/>
      <c r="AN131" s="14"/>
      <c r="AO131" s="14"/>
      <c r="AP131" s="14"/>
      <c r="AQ131" s="14"/>
      <c r="AR131" s="14"/>
      <c r="AS131" s="14"/>
      <c r="AT131" s="14"/>
      <c r="AU131" s="14"/>
      <c r="AV131" s="14"/>
      <c r="AW131" s="14"/>
      <c r="AX131" s="14"/>
      <c r="AY131" s="14"/>
    </row>
    <row r="132" spans="36:51" ht="15.75">
      <c r="AJ132" s="14"/>
      <c r="AK132" s="14"/>
      <c r="AL132" s="14"/>
      <c r="AM132" s="14"/>
      <c r="AN132" s="14"/>
      <c r="AO132" s="14"/>
      <c r="AP132" s="14"/>
      <c r="AQ132" s="14"/>
      <c r="AR132" s="14"/>
      <c r="AS132" s="14"/>
      <c r="AT132" s="14"/>
      <c r="AU132" s="14"/>
      <c r="AV132" s="14"/>
      <c r="AW132" s="14"/>
      <c r="AX132" s="14"/>
      <c r="AY132" s="14"/>
    </row>
    <row r="133" spans="36:51" ht="15.75">
      <c r="AJ133" s="14"/>
      <c r="AK133" s="14"/>
      <c r="AL133" s="14"/>
      <c r="AM133" s="14"/>
      <c r="AN133" s="14"/>
      <c r="AO133" s="14"/>
      <c r="AP133" s="14"/>
      <c r="AQ133" s="14"/>
      <c r="AR133" s="14"/>
      <c r="AS133" s="14"/>
      <c r="AT133" s="14"/>
      <c r="AU133" s="14"/>
      <c r="AV133" s="14"/>
      <c r="AW133" s="14"/>
      <c r="AX133" s="14"/>
      <c r="AY133" s="14"/>
    </row>
    <row r="134" spans="36:51" ht="15.75">
      <c r="AJ134" s="14"/>
      <c r="AK134" s="14"/>
      <c r="AL134" s="14"/>
      <c r="AM134" s="14"/>
      <c r="AN134" s="14"/>
      <c r="AO134" s="14"/>
      <c r="AP134" s="14"/>
      <c r="AQ134" s="14"/>
      <c r="AR134" s="14"/>
      <c r="AS134" s="14"/>
      <c r="AT134" s="14"/>
      <c r="AU134" s="14"/>
      <c r="AV134" s="14"/>
      <c r="AW134" s="14"/>
      <c r="AX134" s="14"/>
      <c r="AY134" s="14"/>
    </row>
    <row r="135" spans="36:51" ht="15.75">
      <c r="AJ135" s="14"/>
      <c r="AK135" s="14"/>
      <c r="AL135" s="14"/>
      <c r="AM135" s="14"/>
      <c r="AN135" s="14"/>
      <c r="AO135" s="14"/>
      <c r="AP135" s="14"/>
      <c r="AQ135" s="14"/>
      <c r="AR135" s="14"/>
      <c r="AS135" s="14"/>
      <c r="AT135" s="14"/>
      <c r="AU135" s="14"/>
      <c r="AV135" s="14"/>
      <c r="AW135" s="14"/>
      <c r="AX135" s="14"/>
      <c r="AY135" s="14"/>
    </row>
    <row r="136" spans="36:51" ht="15.75">
      <c r="AJ136" s="14"/>
      <c r="AK136" s="14"/>
      <c r="AL136" s="14"/>
      <c r="AM136" s="14"/>
      <c r="AN136" s="14"/>
      <c r="AO136" s="14"/>
      <c r="AP136" s="14"/>
      <c r="AQ136" s="14"/>
      <c r="AR136" s="14"/>
      <c r="AS136" s="14"/>
      <c r="AT136" s="14"/>
      <c r="AU136" s="14"/>
      <c r="AV136" s="14"/>
      <c r="AW136" s="14"/>
      <c r="AX136" s="14"/>
      <c r="AY136" s="14"/>
    </row>
    <row r="137" spans="36:51" ht="15.75">
      <c r="AJ137" s="14"/>
      <c r="AK137" s="14"/>
      <c r="AL137" s="14"/>
      <c r="AM137" s="14"/>
      <c r="AN137" s="14"/>
      <c r="AO137" s="14"/>
      <c r="AP137" s="14"/>
      <c r="AQ137" s="14"/>
      <c r="AR137" s="14"/>
      <c r="AS137" s="14"/>
      <c r="AT137" s="14"/>
      <c r="AU137" s="14"/>
      <c r="AV137" s="14"/>
      <c r="AW137" s="14"/>
      <c r="AX137" s="14"/>
      <c r="AY137" s="14"/>
    </row>
    <row r="138" spans="36:51" ht="15.75">
      <c r="AJ138" s="14"/>
      <c r="AK138" s="14"/>
      <c r="AL138" s="14"/>
      <c r="AM138" s="14"/>
      <c r="AN138" s="14"/>
      <c r="AO138" s="14"/>
      <c r="AP138" s="14"/>
      <c r="AQ138" s="14"/>
      <c r="AR138" s="14"/>
      <c r="AS138" s="14"/>
      <c r="AT138" s="14"/>
      <c r="AU138" s="14"/>
      <c r="AV138" s="14"/>
      <c r="AW138" s="14"/>
      <c r="AX138" s="14"/>
      <c r="AY138" s="14"/>
    </row>
    <row r="139" spans="36:51" ht="15.75">
      <c r="AJ139" s="14"/>
      <c r="AK139" s="14"/>
      <c r="AL139" s="14"/>
      <c r="AM139" s="14"/>
      <c r="AN139" s="14"/>
      <c r="AO139" s="14"/>
      <c r="AP139" s="14"/>
      <c r="AQ139" s="14"/>
      <c r="AR139" s="14"/>
      <c r="AS139" s="14"/>
      <c r="AT139" s="14"/>
      <c r="AU139" s="14"/>
      <c r="AV139" s="14"/>
      <c r="AW139" s="14"/>
      <c r="AX139" s="14"/>
      <c r="AY139" s="14"/>
    </row>
    <row r="140" spans="36:51" ht="15.75">
      <c r="AJ140" s="14"/>
      <c r="AK140" s="14"/>
      <c r="AL140" s="14"/>
      <c r="AM140" s="14"/>
      <c r="AN140" s="14"/>
      <c r="AO140" s="14"/>
      <c r="AP140" s="14"/>
      <c r="AQ140" s="14"/>
      <c r="AR140" s="14"/>
      <c r="AS140" s="14"/>
      <c r="AT140" s="14"/>
      <c r="AU140" s="14"/>
      <c r="AV140" s="14"/>
      <c r="AW140" s="14"/>
      <c r="AX140" s="14"/>
      <c r="AY140" s="14"/>
    </row>
    <row r="141" spans="36:51" ht="15.75">
      <c r="AJ141" s="14"/>
      <c r="AK141" s="14"/>
      <c r="AL141" s="14"/>
      <c r="AM141" s="14"/>
      <c r="AN141" s="14"/>
      <c r="AO141" s="14"/>
      <c r="AP141" s="14"/>
      <c r="AQ141" s="14"/>
      <c r="AR141" s="14"/>
      <c r="AS141" s="14"/>
      <c r="AT141" s="14"/>
      <c r="AU141" s="14"/>
      <c r="AV141" s="14"/>
      <c r="AW141" s="14"/>
      <c r="AX141" s="14"/>
      <c r="AY141" s="14"/>
    </row>
    <row r="142" spans="36:51" ht="15.75">
      <c r="AJ142" s="14"/>
      <c r="AK142" s="14"/>
      <c r="AL142" s="14"/>
      <c r="AM142" s="14"/>
      <c r="AN142" s="14"/>
      <c r="AO142" s="14"/>
      <c r="AP142" s="14"/>
      <c r="AQ142" s="14"/>
      <c r="AR142" s="14"/>
      <c r="AS142" s="14"/>
      <c r="AT142" s="14"/>
      <c r="AU142" s="14"/>
      <c r="AV142" s="14"/>
      <c r="AW142" s="14"/>
      <c r="AX142" s="14"/>
      <c r="AY142" s="14"/>
    </row>
    <row r="143" spans="36:51" ht="15.75">
      <c r="AJ143" s="14"/>
      <c r="AK143" s="14"/>
      <c r="AL143" s="14"/>
      <c r="AM143" s="14"/>
      <c r="AN143" s="14"/>
      <c r="AO143" s="14"/>
      <c r="AP143" s="14"/>
      <c r="AQ143" s="14"/>
      <c r="AR143" s="14"/>
      <c r="AS143" s="14"/>
      <c r="AT143" s="14"/>
      <c r="AU143" s="14"/>
      <c r="AV143" s="14"/>
      <c r="AW143" s="14"/>
      <c r="AX143" s="14"/>
      <c r="AY143" s="14"/>
    </row>
    <row r="144" spans="36:51" ht="15.75">
      <c r="AJ144" s="14"/>
      <c r="AK144" s="14"/>
      <c r="AL144" s="14"/>
      <c r="AM144" s="14"/>
      <c r="AN144" s="14"/>
      <c r="AO144" s="14"/>
      <c r="AP144" s="14"/>
      <c r="AQ144" s="14"/>
      <c r="AR144" s="14"/>
      <c r="AS144" s="14"/>
      <c r="AT144" s="14"/>
      <c r="AU144" s="14"/>
      <c r="AV144" s="14"/>
      <c r="AW144" s="14"/>
      <c r="AX144" s="14"/>
      <c r="AY144" s="14"/>
    </row>
    <row r="145" spans="36:51" ht="15.75">
      <c r="AJ145" s="14"/>
      <c r="AK145" s="14"/>
      <c r="AL145" s="14"/>
      <c r="AM145" s="14"/>
      <c r="AN145" s="14"/>
      <c r="AO145" s="14"/>
      <c r="AP145" s="14"/>
      <c r="AQ145" s="14"/>
      <c r="AR145" s="14"/>
      <c r="AS145" s="14"/>
      <c r="AT145" s="14"/>
      <c r="AU145" s="14"/>
      <c r="AV145" s="14"/>
      <c r="AW145" s="14"/>
      <c r="AX145" s="14"/>
      <c r="AY145" s="14"/>
    </row>
    <row r="146" spans="36:51" ht="15.75">
      <c r="AJ146" s="14"/>
      <c r="AK146" s="14"/>
      <c r="AL146" s="14"/>
      <c r="AM146" s="14"/>
      <c r="AN146" s="14"/>
      <c r="AO146" s="14"/>
      <c r="AP146" s="14"/>
      <c r="AQ146" s="14"/>
      <c r="AR146" s="14"/>
      <c r="AS146" s="14"/>
      <c r="AT146" s="14"/>
      <c r="AU146" s="14"/>
      <c r="AV146" s="14"/>
      <c r="AW146" s="14"/>
      <c r="AX146" s="14"/>
      <c r="AY146" s="14"/>
    </row>
    <row r="147" spans="36:51" ht="15.75">
      <c r="AJ147" s="14"/>
      <c r="AK147" s="14"/>
      <c r="AL147" s="14"/>
      <c r="AM147" s="14"/>
      <c r="AN147" s="14"/>
      <c r="AO147" s="14"/>
      <c r="AP147" s="14"/>
      <c r="AQ147" s="14"/>
      <c r="AR147" s="14"/>
      <c r="AS147" s="14"/>
      <c r="AT147" s="14"/>
      <c r="AU147" s="14"/>
      <c r="AV147" s="14"/>
      <c r="AW147" s="14"/>
      <c r="AX147" s="14"/>
      <c r="AY147" s="14"/>
    </row>
    <row r="148" spans="36:51" ht="15.75">
      <c r="AJ148" s="14"/>
      <c r="AK148" s="14"/>
      <c r="AL148" s="14"/>
      <c r="AM148" s="14"/>
      <c r="AN148" s="14"/>
      <c r="AO148" s="14"/>
      <c r="AP148" s="14"/>
      <c r="AQ148" s="14"/>
      <c r="AR148" s="14"/>
      <c r="AS148" s="14"/>
      <c r="AT148" s="14"/>
      <c r="AU148" s="14"/>
      <c r="AV148" s="14"/>
      <c r="AW148" s="14"/>
      <c r="AX148" s="14"/>
      <c r="AY148" s="14"/>
    </row>
    <row r="149" spans="36:51" ht="15.75">
      <c r="AJ149" s="14"/>
      <c r="AK149" s="14"/>
      <c r="AL149" s="14"/>
      <c r="AM149" s="14"/>
      <c r="AN149" s="14"/>
      <c r="AO149" s="14"/>
      <c r="AP149" s="14"/>
      <c r="AQ149" s="14"/>
      <c r="AR149" s="14"/>
      <c r="AS149" s="14"/>
      <c r="AT149" s="14"/>
      <c r="AU149" s="14"/>
      <c r="AV149" s="14"/>
      <c r="AW149" s="14"/>
      <c r="AX149" s="14"/>
      <c r="AY149" s="14"/>
    </row>
    <row r="150" spans="36:51" ht="15.75">
      <c r="AJ150" s="14"/>
      <c r="AK150" s="14"/>
      <c r="AL150" s="14"/>
      <c r="AM150" s="14"/>
      <c r="AN150" s="14"/>
      <c r="AO150" s="14"/>
      <c r="AP150" s="14"/>
      <c r="AQ150" s="14"/>
      <c r="AR150" s="14"/>
      <c r="AS150" s="14"/>
      <c r="AT150" s="14"/>
      <c r="AU150" s="14"/>
      <c r="AV150" s="14"/>
      <c r="AW150" s="14"/>
      <c r="AX150" s="14"/>
      <c r="AY150" s="14"/>
    </row>
    <row r="151" spans="36:51" ht="15.75">
      <c r="AJ151" s="14"/>
      <c r="AK151" s="14"/>
      <c r="AL151" s="14"/>
      <c r="AM151" s="14"/>
      <c r="AN151" s="14"/>
      <c r="AO151" s="14"/>
      <c r="AP151" s="14"/>
      <c r="AQ151" s="14"/>
      <c r="AR151" s="14"/>
      <c r="AS151" s="14"/>
      <c r="AT151" s="14"/>
      <c r="AU151" s="14"/>
      <c r="AV151" s="14"/>
      <c r="AW151" s="14"/>
      <c r="AX151" s="14"/>
      <c r="AY151" s="14"/>
    </row>
    <row r="152" spans="36:51" ht="15.75">
      <c r="AJ152" s="14"/>
      <c r="AK152" s="14"/>
      <c r="AL152" s="14"/>
      <c r="AM152" s="14"/>
      <c r="AN152" s="14"/>
      <c r="AO152" s="14"/>
      <c r="AP152" s="14"/>
      <c r="AQ152" s="14"/>
      <c r="AR152" s="14"/>
      <c r="AS152" s="14"/>
      <c r="AT152" s="14"/>
      <c r="AU152" s="14"/>
      <c r="AV152" s="14"/>
      <c r="AW152" s="14"/>
      <c r="AX152" s="14"/>
      <c r="AY152" s="14"/>
    </row>
    <row r="153" spans="36:51" ht="15.75">
      <c r="AJ153" s="14"/>
      <c r="AK153" s="14"/>
      <c r="AL153" s="14"/>
      <c r="AM153" s="14"/>
      <c r="AN153" s="14"/>
      <c r="AO153" s="14"/>
      <c r="AP153" s="14"/>
      <c r="AQ153" s="14"/>
      <c r="AR153" s="14"/>
      <c r="AS153" s="14"/>
      <c r="AT153" s="14"/>
      <c r="AU153" s="14"/>
      <c r="AV153" s="14"/>
      <c r="AW153" s="14"/>
      <c r="AX153" s="14"/>
      <c r="AY153" s="14"/>
    </row>
    <row r="154" spans="36:51" ht="15.75">
      <c r="AJ154" s="14"/>
      <c r="AK154" s="14"/>
      <c r="AL154" s="14"/>
      <c r="AM154" s="14"/>
      <c r="AN154" s="14"/>
      <c r="AO154" s="14"/>
      <c r="AP154" s="14"/>
      <c r="AQ154" s="14"/>
      <c r="AR154" s="14"/>
      <c r="AS154" s="14"/>
      <c r="AT154" s="14"/>
      <c r="AU154" s="14"/>
      <c r="AV154" s="14"/>
      <c r="AW154" s="14"/>
      <c r="AX154" s="14"/>
      <c r="AY154" s="14"/>
    </row>
    <row r="155" spans="36:51" ht="15.75">
      <c r="AJ155" s="14"/>
      <c r="AK155" s="14"/>
      <c r="AL155" s="14"/>
      <c r="AM155" s="14"/>
      <c r="AN155" s="14"/>
      <c r="AO155" s="14"/>
      <c r="AP155" s="14"/>
      <c r="AQ155" s="14"/>
      <c r="AR155" s="14"/>
      <c r="AS155" s="14"/>
      <c r="AT155" s="14"/>
      <c r="AU155" s="14"/>
      <c r="AV155" s="14"/>
      <c r="AW155" s="14"/>
      <c r="AX155" s="14"/>
      <c r="AY155" s="14"/>
    </row>
    <row r="156" spans="36:51" ht="15.75">
      <c r="AJ156" s="14"/>
      <c r="AK156" s="14"/>
      <c r="AL156" s="14"/>
      <c r="AM156" s="14"/>
      <c r="AN156" s="14"/>
      <c r="AO156" s="14"/>
      <c r="AP156" s="14"/>
      <c r="AQ156" s="14"/>
      <c r="AR156" s="14"/>
      <c r="AS156" s="14"/>
      <c r="AT156" s="14"/>
      <c r="AU156" s="14"/>
      <c r="AV156" s="14"/>
      <c r="AW156" s="14"/>
      <c r="AX156" s="14"/>
      <c r="AY156" s="14"/>
    </row>
    <row r="157" spans="36:51" ht="15.75">
      <c r="AJ157" s="14"/>
      <c r="AK157" s="14"/>
      <c r="AL157" s="14"/>
      <c r="AM157" s="14"/>
      <c r="AN157" s="14"/>
      <c r="AO157" s="14"/>
      <c r="AP157" s="14"/>
      <c r="AQ157" s="14"/>
      <c r="AR157" s="14"/>
      <c r="AS157" s="14"/>
      <c r="AT157" s="14"/>
      <c r="AU157" s="14"/>
      <c r="AV157" s="14"/>
      <c r="AW157" s="14"/>
      <c r="AX157" s="14"/>
      <c r="AY157" s="14"/>
    </row>
    <row r="158" spans="36:51" ht="15.75">
      <c r="AJ158" s="14"/>
      <c r="AK158" s="14"/>
      <c r="AL158" s="14"/>
      <c r="AM158" s="14"/>
      <c r="AN158" s="14"/>
      <c r="AO158" s="14"/>
      <c r="AP158" s="14"/>
      <c r="AQ158" s="14"/>
      <c r="AR158" s="14"/>
      <c r="AS158" s="14"/>
      <c r="AT158" s="14"/>
      <c r="AU158" s="14"/>
      <c r="AV158" s="14"/>
      <c r="AW158" s="14"/>
      <c r="AX158" s="14"/>
      <c r="AY158" s="14"/>
    </row>
    <row r="159" spans="36:51" ht="15.75">
      <c r="AJ159" s="14"/>
      <c r="AK159" s="14"/>
      <c r="AL159" s="14"/>
      <c r="AM159" s="14"/>
      <c r="AN159" s="14"/>
      <c r="AO159" s="14"/>
      <c r="AP159" s="14"/>
      <c r="AQ159" s="14"/>
      <c r="AR159" s="14"/>
      <c r="AS159" s="14"/>
      <c r="AT159" s="14"/>
      <c r="AU159" s="14"/>
      <c r="AV159" s="14"/>
      <c r="AW159" s="14"/>
      <c r="AX159" s="14"/>
      <c r="AY159" s="14"/>
    </row>
    <row r="160" spans="36:51" ht="15.75">
      <c r="AJ160" s="14"/>
      <c r="AK160" s="14"/>
      <c r="AL160" s="14"/>
      <c r="AM160" s="14"/>
      <c r="AN160" s="14"/>
      <c r="AO160" s="14"/>
      <c r="AP160" s="14"/>
      <c r="AQ160" s="14"/>
      <c r="AR160" s="14"/>
      <c r="AS160" s="14"/>
      <c r="AT160" s="14"/>
      <c r="AU160" s="14"/>
      <c r="AV160" s="14"/>
      <c r="AW160" s="14"/>
      <c r="AX160" s="14"/>
      <c r="AY160" s="14"/>
    </row>
    <row r="161" spans="36:51" ht="15.75">
      <c r="AJ161" s="14"/>
      <c r="AK161" s="14"/>
      <c r="AL161" s="14"/>
      <c r="AM161" s="14"/>
      <c r="AN161" s="14"/>
      <c r="AO161" s="14"/>
      <c r="AP161" s="14"/>
      <c r="AQ161" s="14"/>
      <c r="AR161" s="14"/>
      <c r="AS161" s="14"/>
      <c r="AT161" s="14"/>
      <c r="AU161" s="14"/>
      <c r="AV161" s="14"/>
      <c r="AW161" s="14"/>
      <c r="AX161" s="14"/>
      <c r="AY161" s="14"/>
    </row>
    <row r="162" spans="36:51" ht="15.75">
      <c r="AJ162" s="14"/>
      <c r="AK162" s="14"/>
      <c r="AL162" s="14"/>
      <c r="AM162" s="14"/>
      <c r="AN162" s="14"/>
      <c r="AO162" s="14"/>
      <c r="AP162" s="14"/>
      <c r="AQ162" s="14"/>
      <c r="AR162" s="14"/>
      <c r="AS162" s="14"/>
      <c r="AT162" s="14"/>
      <c r="AU162" s="14"/>
      <c r="AV162" s="14"/>
      <c r="AW162" s="14"/>
      <c r="AX162" s="14"/>
      <c r="AY162" s="14"/>
    </row>
    <row r="163" spans="36:51" ht="15.75">
      <c r="AJ163" s="14"/>
      <c r="AK163" s="14"/>
      <c r="AL163" s="14"/>
      <c r="AM163" s="14"/>
      <c r="AN163" s="14"/>
      <c r="AO163" s="14"/>
      <c r="AP163" s="14"/>
      <c r="AQ163" s="14"/>
      <c r="AR163" s="14"/>
      <c r="AS163" s="14"/>
      <c r="AT163" s="14"/>
      <c r="AU163" s="14"/>
      <c r="AV163" s="14"/>
      <c r="AW163" s="14"/>
      <c r="AX163" s="14"/>
      <c r="AY163" s="14"/>
    </row>
    <row r="164" spans="36:51" ht="15.75">
      <c r="AJ164" s="14"/>
      <c r="AK164" s="14"/>
      <c r="AL164" s="14"/>
      <c r="AM164" s="14"/>
      <c r="AN164" s="14"/>
      <c r="AO164" s="14"/>
      <c r="AP164" s="14"/>
      <c r="AQ164" s="14"/>
      <c r="AR164" s="14"/>
      <c r="AS164" s="14"/>
      <c r="AT164" s="14"/>
      <c r="AU164" s="14"/>
      <c r="AV164" s="14"/>
      <c r="AW164" s="14"/>
      <c r="AX164" s="14"/>
      <c r="AY164" s="14"/>
    </row>
    <row r="165" spans="36:51" ht="15.75">
      <c r="AJ165" s="14"/>
      <c r="AK165" s="14"/>
      <c r="AL165" s="14"/>
      <c r="AM165" s="14"/>
      <c r="AN165" s="14"/>
      <c r="AO165" s="14"/>
      <c r="AP165" s="14"/>
      <c r="AQ165" s="14"/>
      <c r="AR165" s="14"/>
      <c r="AS165" s="14"/>
      <c r="AT165" s="14"/>
      <c r="AU165" s="14"/>
      <c r="AV165" s="14"/>
      <c r="AW165" s="14"/>
      <c r="AX165" s="14"/>
      <c r="AY165" s="14"/>
    </row>
    <row r="166" spans="36:51" ht="15.75">
      <c r="AJ166" s="14"/>
      <c r="AK166" s="14"/>
      <c r="AL166" s="14"/>
      <c r="AM166" s="14"/>
      <c r="AN166" s="14"/>
      <c r="AO166" s="14"/>
      <c r="AP166" s="14"/>
      <c r="AQ166" s="14"/>
      <c r="AR166" s="14"/>
      <c r="AS166" s="14"/>
      <c r="AT166" s="14"/>
      <c r="AU166" s="14"/>
      <c r="AV166" s="14"/>
      <c r="AW166" s="14"/>
      <c r="AX166" s="14"/>
      <c r="AY166" s="14"/>
    </row>
    <row r="167" spans="36:51" ht="15.75">
      <c r="AJ167" s="14"/>
      <c r="AK167" s="14"/>
      <c r="AL167" s="14"/>
      <c r="AM167" s="14"/>
      <c r="AN167" s="14"/>
      <c r="AO167" s="14"/>
      <c r="AP167" s="14"/>
      <c r="AQ167" s="14"/>
      <c r="AR167" s="14"/>
      <c r="AS167" s="14"/>
      <c r="AT167" s="14"/>
      <c r="AU167" s="14"/>
      <c r="AV167" s="14"/>
      <c r="AW167" s="14"/>
      <c r="AX167" s="14"/>
      <c r="AY167" s="14"/>
    </row>
    <row r="168" spans="36:51" ht="15.75">
      <c r="AJ168" s="14"/>
      <c r="AK168" s="14"/>
      <c r="AL168" s="14"/>
      <c r="AM168" s="14"/>
      <c r="AN168" s="14"/>
      <c r="AO168" s="14"/>
      <c r="AP168" s="14"/>
      <c r="AQ168" s="14"/>
      <c r="AR168" s="14"/>
      <c r="AS168" s="14"/>
      <c r="AT168" s="14"/>
      <c r="AU168" s="14"/>
      <c r="AV168" s="14"/>
      <c r="AW168" s="14"/>
      <c r="AX168" s="14"/>
      <c r="AY168" s="14"/>
    </row>
  </sheetData>
  <mergeCells count="11">
    <mergeCell ref="AP2:AS2"/>
    <mergeCell ref="T3:V3"/>
    <mergeCell ref="C3:I3"/>
    <mergeCell ref="Q3:R3"/>
    <mergeCell ref="X3:AC3"/>
    <mergeCell ref="B6:B7"/>
    <mergeCell ref="AE3:AH3"/>
    <mergeCell ref="C93:AC93"/>
    <mergeCell ref="C1:AC1"/>
    <mergeCell ref="C92:AC92"/>
    <mergeCell ref="K3:O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00065-AAD5-4D6C-929D-D327A1FEB361}">
  <dimension ref="A1:AH89"/>
  <sheetViews>
    <sheetView topLeftCell="A3" workbookViewId="0">
      <selection activeCell="N41" sqref="N41"/>
    </sheetView>
  </sheetViews>
  <sheetFormatPr defaultRowHeight="15"/>
  <sheetData>
    <row r="1" spans="1:34">
      <c r="A1" s="180"/>
      <c r="B1" s="181"/>
      <c r="C1" s="181"/>
      <c r="D1" s="182"/>
      <c r="E1" s="182"/>
      <c r="F1" s="182"/>
      <c r="G1" s="182"/>
      <c r="H1" s="182"/>
      <c r="I1" s="183"/>
      <c r="J1" s="183"/>
      <c r="K1" s="183"/>
      <c r="L1" s="184"/>
      <c r="M1" s="184"/>
      <c r="N1" s="184"/>
      <c r="O1" s="180"/>
      <c r="P1" s="180"/>
      <c r="Q1" s="180"/>
      <c r="R1" s="180"/>
      <c r="S1" s="180"/>
      <c r="T1" s="180"/>
      <c r="U1" s="180"/>
      <c r="V1" s="180"/>
      <c r="W1" s="180"/>
      <c r="X1" s="180"/>
      <c r="Y1" s="180"/>
      <c r="Z1" s="180"/>
      <c r="AA1" s="180"/>
      <c r="AB1" s="180"/>
      <c r="AC1" s="180"/>
      <c r="AD1" s="180"/>
      <c r="AE1" s="180"/>
      <c r="AF1" s="180"/>
      <c r="AG1" s="180"/>
      <c r="AH1" s="180"/>
    </row>
    <row r="2" spans="1:34">
      <c r="A2" s="185"/>
      <c r="B2" s="186"/>
      <c r="C2" s="186"/>
      <c r="D2" s="186"/>
      <c r="E2" s="186"/>
      <c r="F2" s="186"/>
      <c r="G2" s="186"/>
      <c r="H2" s="186"/>
      <c r="I2" s="186"/>
      <c r="J2" s="186"/>
      <c r="K2" s="186"/>
      <c r="L2" s="187"/>
      <c r="M2" s="187"/>
      <c r="N2" s="187"/>
      <c r="O2" s="186"/>
      <c r="P2" s="188"/>
      <c r="Q2" s="188"/>
      <c r="R2" s="188"/>
      <c r="S2" s="188"/>
      <c r="T2" s="188"/>
      <c r="U2" s="188"/>
      <c r="V2" s="188"/>
      <c r="W2" s="188"/>
      <c r="X2" s="188"/>
      <c r="Y2" s="188"/>
      <c r="Z2" s="188"/>
      <c r="AA2" s="188"/>
      <c r="AB2" s="188"/>
      <c r="AC2" s="188"/>
      <c r="AD2" s="188"/>
      <c r="AE2" s="188"/>
      <c r="AF2" s="188"/>
      <c r="AG2" s="188"/>
      <c r="AH2" s="188"/>
    </row>
    <row r="3" spans="1:34">
      <c r="A3" s="188"/>
      <c r="B3" s="189"/>
      <c r="C3" s="189"/>
      <c r="D3" s="189"/>
      <c r="E3" s="189"/>
      <c r="F3" s="189"/>
      <c r="G3" s="189"/>
      <c r="H3" s="189"/>
      <c r="I3" s="189"/>
      <c r="J3" s="189"/>
      <c r="K3" s="189"/>
      <c r="L3" s="190"/>
      <c r="M3" s="190"/>
      <c r="N3" s="190"/>
      <c r="O3" s="189"/>
      <c r="P3" s="188"/>
      <c r="Q3" s="188"/>
      <c r="R3" s="188"/>
      <c r="S3" s="188"/>
      <c r="T3" s="188"/>
      <c r="U3" s="188"/>
      <c r="V3" s="188"/>
      <c r="W3" s="188"/>
      <c r="X3" s="188"/>
      <c r="Y3" s="188"/>
      <c r="Z3" s="188"/>
      <c r="AA3" s="188"/>
      <c r="AB3" s="188"/>
      <c r="AC3" s="188"/>
      <c r="AD3" s="188"/>
      <c r="AE3" s="188"/>
      <c r="AF3" s="188"/>
      <c r="AG3" s="188"/>
      <c r="AH3" s="188"/>
    </row>
    <row r="4" spans="1:34">
      <c r="A4" s="180"/>
      <c r="B4" s="191" t="s">
        <v>549</v>
      </c>
      <c r="C4" s="191"/>
      <c r="D4" s="192"/>
      <c r="E4" s="192"/>
      <c r="F4" s="192"/>
      <c r="G4" s="192"/>
      <c r="H4" s="192"/>
      <c r="I4" s="192"/>
      <c r="J4" s="192"/>
      <c r="K4" s="192"/>
      <c r="L4" s="193"/>
      <c r="M4" s="193"/>
      <c r="N4" s="193"/>
      <c r="O4" s="194"/>
      <c r="P4" s="260"/>
      <c r="Q4" s="180"/>
      <c r="R4" s="180"/>
      <c r="S4" s="180"/>
      <c r="T4" s="180"/>
      <c r="U4" s="180"/>
      <c r="V4" s="180"/>
      <c r="W4" s="180"/>
      <c r="X4" s="180"/>
      <c r="Y4" s="180"/>
      <c r="Z4" s="180"/>
      <c r="AA4" s="180"/>
      <c r="AB4" s="180"/>
      <c r="AC4" s="180"/>
      <c r="AD4" s="180"/>
      <c r="AE4" s="180"/>
      <c r="AF4" s="180"/>
      <c r="AG4" s="180"/>
      <c r="AH4" s="180"/>
    </row>
    <row r="5" spans="1:34">
      <c r="A5" s="196"/>
      <c r="B5" s="197"/>
      <c r="C5" s="197"/>
      <c r="D5" s="198"/>
      <c r="E5" s="198"/>
      <c r="F5" s="198"/>
      <c r="G5" s="198"/>
      <c r="H5" s="198"/>
      <c r="I5" s="198"/>
      <c r="J5" s="198"/>
      <c r="K5" s="198"/>
      <c r="L5" s="199"/>
      <c r="M5" s="199"/>
      <c r="N5" s="199"/>
      <c r="O5" s="197"/>
      <c r="P5" s="258"/>
      <c r="Q5" s="261"/>
      <c r="R5" s="261"/>
      <c r="S5" s="261"/>
      <c r="T5" s="261"/>
      <c r="U5" s="261"/>
      <c r="V5" s="261"/>
      <c r="W5" s="261"/>
      <c r="X5" s="261"/>
      <c r="Y5" s="261"/>
      <c r="Z5" s="261"/>
      <c r="AA5" s="261"/>
      <c r="AB5" s="261"/>
      <c r="AC5" s="261"/>
      <c r="AD5" s="261"/>
      <c r="AE5" s="261"/>
      <c r="AF5" s="261"/>
      <c r="AG5" s="261"/>
      <c r="AH5" s="261"/>
    </row>
    <row r="6" spans="1:34">
      <c r="A6" s="185"/>
      <c r="B6" s="200" t="s">
        <v>550</v>
      </c>
      <c r="C6" s="200"/>
      <c r="D6" s="200"/>
      <c r="E6" s="200"/>
      <c r="F6" s="200"/>
      <c r="G6" s="200"/>
      <c r="H6" s="200"/>
      <c r="I6" s="200"/>
      <c r="J6" s="200"/>
      <c r="K6" s="200"/>
      <c r="L6" s="201"/>
      <c r="M6" s="201"/>
      <c r="N6" s="201"/>
      <c r="O6" s="202"/>
      <c r="P6" s="188"/>
      <c r="Q6" s="262"/>
      <c r="R6" s="188"/>
      <c r="S6" s="188"/>
      <c r="T6" s="188"/>
      <c r="U6" s="188"/>
      <c r="V6" s="188"/>
      <c r="W6" s="188"/>
      <c r="X6" s="188"/>
      <c r="Y6" s="188"/>
      <c r="Z6" s="188"/>
      <c r="AA6" s="188"/>
      <c r="AB6" s="188"/>
      <c r="AC6" s="188"/>
      <c r="AD6" s="188"/>
      <c r="AE6" s="188"/>
      <c r="AF6" s="188"/>
      <c r="AG6" s="188"/>
      <c r="AH6" s="188"/>
    </row>
    <row r="7" spans="1:34">
      <c r="A7" s="188"/>
      <c r="B7" s="189"/>
      <c r="C7" s="189"/>
      <c r="D7" s="189"/>
      <c r="E7" s="189"/>
      <c r="F7" s="189"/>
      <c r="G7" s="189"/>
      <c r="H7" s="189"/>
      <c r="I7" s="189"/>
      <c r="J7" s="189"/>
      <c r="K7" s="189"/>
      <c r="L7" s="190"/>
      <c r="M7" s="190"/>
      <c r="N7" s="190"/>
      <c r="O7" s="189"/>
      <c r="P7" s="188"/>
      <c r="Q7" s="188"/>
      <c r="R7" s="188"/>
      <c r="S7" s="188"/>
      <c r="T7" s="188"/>
      <c r="U7" s="188"/>
      <c r="V7" s="188"/>
      <c r="W7" s="188"/>
      <c r="X7" s="188"/>
      <c r="Y7" s="188"/>
      <c r="Z7" s="188"/>
      <c r="AA7" s="188"/>
      <c r="AB7" s="188"/>
      <c r="AC7" s="188"/>
      <c r="AD7" s="188"/>
      <c r="AE7" s="188"/>
      <c r="AF7" s="188"/>
      <c r="AG7" s="188"/>
      <c r="AH7" s="188"/>
    </row>
    <row r="8" spans="1:34">
      <c r="A8" s="203"/>
      <c r="B8" s="204"/>
      <c r="C8" s="204"/>
      <c r="D8" s="205">
        <v>2014</v>
      </c>
      <c r="E8" s="205">
        <v>2015</v>
      </c>
      <c r="F8" s="205">
        <v>2016</v>
      </c>
      <c r="G8" s="205">
        <v>2017</v>
      </c>
      <c r="H8" s="205">
        <v>2018</v>
      </c>
      <c r="I8" s="205" t="s">
        <v>551</v>
      </c>
      <c r="J8" s="205">
        <v>2020</v>
      </c>
      <c r="K8" s="205">
        <v>2021</v>
      </c>
      <c r="L8" s="205">
        <v>2022</v>
      </c>
      <c r="M8" s="205" t="s">
        <v>552</v>
      </c>
      <c r="N8" s="205" t="s">
        <v>553</v>
      </c>
      <c r="O8" s="204"/>
      <c r="P8" s="188"/>
      <c r="Q8" s="263"/>
      <c r="R8" s="263"/>
      <c r="S8" s="263"/>
      <c r="T8" s="263"/>
      <c r="U8" s="263"/>
      <c r="V8" s="263"/>
      <c r="W8" s="263"/>
      <c r="X8" s="263"/>
      <c r="Y8" s="263"/>
      <c r="Z8" s="263"/>
      <c r="AA8" s="263"/>
      <c r="AB8" s="263"/>
      <c r="AC8" s="263"/>
      <c r="AD8" s="263"/>
      <c r="AE8" s="263"/>
      <c r="AF8" s="263"/>
      <c r="AG8" s="263"/>
      <c r="AH8" s="263"/>
    </row>
    <row r="9" spans="1:34">
      <c r="A9" s="188"/>
      <c r="B9" s="188"/>
      <c r="C9" s="188"/>
      <c r="D9" s="189"/>
      <c r="E9" s="189"/>
      <c r="F9" s="189"/>
      <c r="G9" s="189"/>
      <c r="H9" s="189"/>
      <c r="I9" s="189"/>
      <c r="J9" s="189"/>
      <c r="K9" s="189"/>
      <c r="L9" s="190"/>
      <c r="M9" s="190"/>
      <c r="N9" s="190"/>
      <c r="O9" s="189"/>
      <c r="P9" s="188"/>
      <c r="Q9" s="188"/>
      <c r="R9" s="188"/>
      <c r="S9" s="188"/>
      <c r="T9" s="188"/>
      <c r="U9" s="188"/>
      <c r="V9" s="188"/>
      <c r="W9" s="188"/>
      <c r="X9" s="188"/>
      <c r="Y9" s="188"/>
      <c r="Z9" s="188"/>
      <c r="AA9" s="188"/>
      <c r="AB9" s="188"/>
      <c r="AC9" s="188"/>
      <c r="AD9" s="188"/>
      <c r="AE9" s="188"/>
      <c r="AF9" s="188"/>
      <c r="AG9" s="188"/>
      <c r="AH9" s="188"/>
    </row>
    <row r="10" spans="1:34">
      <c r="A10" s="180"/>
      <c r="B10" s="206" t="s">
        <v>554</v>
      </c>
      <c r="C10" s="207"/>
      <c r="D10" s="208"/>
      <c r="E10" s="208"/>
      <c r="F10" s="208"/>
      <c r="G10" s="208"/>
      <c r="H10" s="208"/>
      <c r="I10" s="208"/>
      <c r="J10" s="208"/>
      <c r="K10" s="208"/>
      <c r="L10" s="209"/>
      <c r="M10" s="209"/>
      <c r="N10" s="209"/>
      <c r="O10" s="210"/>
      <c r="P10" s="260"/>
      <c r="Q10" s="180"/>
      <c r="R10" s="180"/>
      <c r="S10" s="180"/>
      <c r="T10" s="180"/>
      <c r="U10" s="180"/>
      <c r="V10" s="180"/>
      <c r="W10" s="180"/>
      <c r="X10" s="180"/>
      <c r="Y10" s="180"/>
      <c r="Z10" s="180"/>
      <c r="AA10" s="180"/>
      <c r="AB10" s="180"/>
      <c r="AC10" s="180"/>
      <c r="AD10" s="180"/>
      <c r="AE10" s="180"/>
      <c r="AF10" s="180"/>
      <c r="AG10" s="180"/>
      <c r="AH10" s="180"/>
    </row>
    <row r="11" spans="1:34" ht="15.75">
      <c r="A11" s="211"/>
      <c r="B11" s="212"/>
      <c r="C11" s="213" t="s">
        <v>555</v>
      </c>
      <c r="D11" s="214">
        <v>18788.017032</v>
      </c>
      <c r="E11" s="214">
        <v>16671.141</v>
      </c>
      <c r="F11" s="214">
        <v>16250.362999999999</v>
      </c>
      <c r="G11" s="214">
        <v>17198.659</v>
      </c>
      <c r="H11" s="214">
        <v>18994.754000000001</v>
      </c>
      <c r="I11" s="214">
        <v>21669.922999999999</v>
      </c>
      <c r="J11" s="214">
        <v>21348.083999999999</v>
      </c>
      <c r="K11" s="214">
        <v>23072.112000000001</v>
      </c>
      <c r="L11" s="215">
        <v>25847.997999999996</v>
      </c>
      <c r="M11" s="215">
        <v>40256.139000000003</v>
      </c>
      <c r="N11" s="215">
        <v>49842.376000000004</v>
      </c>
      <c r="O11" s="197"/>
      <c r="P11" s="264"/>
      <c r="Q11" s="264"/>
      <c r="R11" s="264"/>
      <c r="S11" s="265"/>
      <c r="T11" s="265"/>
      <c r="U11" s="266"/>
      <c r="V11" s="266"/>
      <c r="W11" s="266"/>
      <c r="X11" s="261"/>
      <c r="Y11" s="261"/>
      <c r="Z11" s="261"/>
      <c r="AA11" s="261"/>
      <c r="AB11" s="261"/>
      <c r="AC11" s="261"/>
      <c r="AD11" s="261"/>
      <c r="AE11" s="261"/>
      <c r="AF11" s="261"/>
      <c r="AG11" s="261"/>
      <c r="AH11" s="261"/>
    </row>
    <row r="12" spans="1:34">
      <c r="A12" s="211"/>
      <c r="B12" s="212"/>
      <c r="C12" s="216" t="s">
        <v>556</v>
      </c>
      <c r="D12" s="217">
        <v>3913.2223219999996</v>
      </c>
      <c r="E12" s="217">
        <v>3789.0632462688618</v>
      </c>
      <c r="F12" s="217">
        <v>3847.9230929038658</v>
      </c>
      <c r="G12" s="217">
        <v>3932.3423182345036</v>
      </c>
      <c r="H12" s="217">
        <v>4100.701284165194</v>
      </c>
      <c r="I12" s="217">
        <v>4252.6620000000003</v>
      </c>
      <c r="J12" s="217">
        <v>4664.5128000000004</v>
      </c>
      <c r="K12" s="217">
        <v>5276.2397000000001</v>
      </c>
      <c r="L12" s="218">
        <v>6550.8405000000002</v>
      </c>
      <c r="M12" s="218">
        <v>7047.2425000000003</v>
      </c>
      <c r="N12" s="218">
        <v>7900</v>
      </c>
      <c r="O12" s="197"/>
      <c r="P12" s="264"/>
      <c r="Q12" s="264"/>
      <c r="R12" s="264"/>
      <c r="S12" s="266"/>
      <c r="T12" s="266"/>
      <c r="U12" s="266"/>
      <c r="V12" s="266"/>
      <c r="W12" s="266"/>
      <c r="X12" s="261"/>
      <c r="Y12" s="261"/>
      <c r="Z12" s="261"/>
      <c r="AA12" s="261"/>
      <c r="AB12" s="261"/>
      <c r="AC12" s="261"/>
      <c r="AD12" s="261"/>
      <c r="AE12" s="261"/>
      <c r="AF12" s="261"/>
      <c r="AG12" s="261"/>
      <c r="AH12" s="261"/>
    </row>
    <row r="13" spans="1:34">
      <c r="A13" s="211"/>
      <c r="B13" s="212"/>
      <c r="C13" s="213" t="s">
        <v>557</v>
      </c>
      <c r="D13" s="214">
        <v>1101.5635390510001</v>
      </c>
      <c r="E13" s="214">
        <v>1116.3742849799999</v>
      </c>
      <c r="F13" s="214">
        <v>1185.7615621679997</v>
      </c>
      <c r="G13" s="214">
        <v>1254.7224260630001</v>
      </c>
      <c r="H13" s="214">
        <v>1592.880182203</v>
      </c>
      <c r="I13" s="214">
        <v>3770.8195000000001</v>
      </c>
      <c r="J13" s="214">
        <v>1920.2465999999999</v>
      </c>
      <c r="K13" s="214">
        <v>2108.520763810001</v>
      </c>
      <c r="L13" s="215">
        <v>2672.0060389940995</v>
      </c>
      <c r="M13" s="215">
        <v>3601.61</v>
      </c>
      <c r="N13" s="215">
        <v>4217</v>
      </c>
      <c r="O13" s="197"/>
      <c r="P13" s="264"/>
      <c r="Q13" s="264"/>
      <c r="R13" s="264"/>
      <c r="S13" s="266"/>
      <c r="T13" s="266"/>
      <c r="U13" s="266"/>
      <c r="V13" s="266"/>
      <c r="W13" s="266"/>
      <c r="X13" s="261"/>
      <c r="Y13" s="261"/>
      <c r="Z13" s="261"/>
      <c r="AA13" s="261"/>
      <c r="AB13" s="261"/>
      <c r="AC13" s="261"/>
      <c r="AD13" s="261"/>
      <c r="AE13" s="261"/>
      <c r="AF13" s="261"/>
      <c r="AG13" s="261"/>
      <c r="AH13" s="261"/>
    </row>
    <row r="14" spans="1:34">
      <c r="A14" s="211"/>
      <c r="B14" s="212"/>
      <c r="C14" s="216" t="s">
        <v>558</v>
      </c>
      <c r="D14" s="217">
        <v>20075.960354999999</v>
      </c>
      <c r="E14" s="217">
        <v>23899.714811286449</v>
      </c>
      <c r="F14" s="217">
        <v>23474.29741069</v>
      </c>
      <c r="G14" s="217">
        <v>30760.938112304411</v>
      </c>
      <c r="H14" s="217">
        <v>29024.952893004993</v>
      </c>
      <c r="I14" s="217">
        <v>29948.501947651424</v>
      </c>
      <c r="J14" s="217">
        <v>31288.987674890173</v>
      </c>
      <c r="K14" s="217">
        <v>31976.321382182039</v>
      </c>
      <c r="L14" s="218">
        <v>33707.177855748858</v>
      </c>
      <c r="M14" s="218">
        <v>37785.150155389681</v>
      </c>
      <c r="N14" s="218">
        <v>41012.108305502647</v>
      </c>
      <c r="O14" s="197"/>
      <c r="P14" s="264"/>
      <c r="Q14" s="264"/>
      <c r="R14" s="264"/>
      <c r="S14" s="266"/>
      <c r="T14" s="266"/>
      <c r="U14" s="266"/>
      <c r="V14" s="266"/>
      <c r="W14" s="266"/>
      <c r="X14" s="261"/>
      <c r="Y14" s="261"/>
      <c r="Z14" s="261"/>
      <c r="AA14" s="261"/>
      <c r="AB14" s="261"/>
      <c r="AC14" s="261"/>
      <c r="AD14" s="261"/>
      <c r="AE14" s="261"/>
      <c r="AF14" s="261"/>
      <c r="AG14" s="261"/>
      <c r="AH14" s="261"/>
    </row>
    <row r="15" spans="1:34">
      <c r="A15" s="211"/>
      <c r="B15" s="212"/>
      <c r="C15" s="213" t="s">
        <v>559</v>
      </c>
      <c r="D15" s="214">
        <v>811.3714125887584</v>
      </c>
      <c r="E15" s="214">
        <v>803.96090100471167</v>
      </c>
      <c r="F15" s="214">
        <v>755.93963849226884</v>
      </c>
      <c r="G15" s="214">
        <v>812.32890796469565</v>
      </c>
      <c r="H15" s="214">
        <v>805.41119809940938</v>
      </c>
      <c r="I15" s="214">
        <v>880.53571002057197</v>
      </c>
      <c r="J15" s="214">
        <v>861.0037845789368</v>
      </c>
      <c r="K15" s="214">
        <v>1150.3649</v>
      </c>
      <c r="L15" s="215">
        <v>1218.8437000000001</v>
      </c>
      <c r="M15" s="215">
        <v>1332.4151000000002</v>
      </c>
      <c r="N15" s="215">
        <v>1506</v>
      </c>
      <c r="O15" s="197"/>
      <c r="P15" s="264"/>
      <c r="Q15" s="264"/>
      <c r="R15" s="264"/>
      <c r="S15" s="266"/>
      <c r="T15" s="266"/>
      <c r="U15" s="266"/>
      <c r="V15" s="266"/>
      <c r="W15" s="266"/>
      <c r="X15" s="261"/>
      <c r="Y15" s="261"/>
      <c r="Z15" s="261"/>
      <c r="AA15" s="261"/>
      <c r="AB15" s="261"/>
      <c r="AC15" s="261"/>
      <c r="AD15" s="261"/>
      <c r="AE15" s="261"/>
      <c r="AF15" s="261"/>
      <c r="AG15" s="261"/>
      <c r="AH15" s="261"/>
    </row>
    <row r="16" spans="1:34">
      <c r="A16" s="211"/>
      <c r="B16" s="212"/>
      <c r="C16" s="216" t="s">
        <v>560</v>
      </c>
      <c r="D16" s="217">
        <v>41002.522597360003</v>
      </c>
      <c r="E16" s="217">
        <v>47263.954060459997</v>
      </c>
      <c r="F16" s="217">
        <v>45598.417121709994</v>
      </c>
      <c r="G16" s="217">
        <v>52805.325206000009</v>
      </c>
      <c r="H16" s="217">
        <v>59752.29827608999</v>
      </c>
      <c r="I16" s="217">
        <v>68373.103000000003</v>
      </c>
      <c r="J16" s="217">
        <v>74257.489000000001</v>
      </c>
      <c r="K16" s="217">
        <v>84863.619000000006</v>
      </c>
      <c r="L16" s="218">
        <v>90968.608000000007</v>
      </c>
      <c r="M16" s="218">
        <v>100735.232</v>
      </c>
      <c r="N16" s="218">
        <v>159691.46899999998</v>
      </c>
      <c r="O16" s="197"/>
      <c r="P16" s="264"/>
      <c r="Q16" s="264"/>
      <c r="R16" s="264"/>
      <c r="S16" s="266"/>
      <c r="T16" s="266"/>
      <c r="U16" s="266"/>
      <c r="V16" s="266"/>
      <c r="W16" s="266"/>
      <c r="X16" s="261"/>
      <c r="Y16" s="261"/>
      <c r="Z16" s="261"/>
      <c r="AA16" s="261"/>
      <c r="AB16" s="261"/>
      <c r="AC16" s="261"/>
      <c r="AD16" s="261"/>
      <c r="AE16" s="261"/>
      <c r="AF16" s="261"/>
      <c r="AG16" s="261"/>
      <c r="AH16" s="261"/>
    </row>
    <row r="17" spans="1:34">
      <c r="A17" s="211"/>
      <c r="B17" s="212"/>
      <c r="C17" s="213" t="s">
        <v>561</v>
      </c>
      <c r="D17" s="214">
        <v>22769.094544479998</v>
      </c>
      <c r="E17" s="214">
        <v>22632.600555860001</v>
      </c>
      <c r="F17" s="214">
        <v>24189.800197424021</v>
      </c>
      <c r="G17" s="214">
        <v>24961.079699999998</v>
      </c>
      <c r="H17" s="214">
        <v>28787.000035267498</v>
      </c>
      <c r="I17" s="214">
        <v>29928.799999999999</v>
      </c>
      <c r="J17" s="214">
        <v>31962.3</v>
      </c>
      <c r="K17" s="214">
        <v>33160.719799999999</v>
      </c>
      <c r="L17" s="215">
        <v>38726.274900000004</v>
      </c>
      <c r="M17" s="215">
        <v>56084.029900000001</v>
      </c>
      <c r="N17" s="215">
        <v>68670.440399999992</v>
      </c>
      <c r="O17" s="197"/>
      <c r="P17" s="264"/>
      <c r="Q17" s="264"/>
      <c r="R17" s="264"/>
      <c r="S17" s="266"/>
      <c r="T17" s="266"/>
      <c r="U17" s="266"/>
      <c r="V17" s="266"/>
      <c r="W17" s="266"/>
      <c r="X17" s="261"/>
      <c r="Y17" s="261"/>
      <c r="Z17" s="261"/>
      <c r="AA17" s="261"/>
      <c r="AB17" s="261"/>
      <c r="AC17" s="261"/>
      <c r="AD17" s="261"/>
      <c r="AE17" s="261"/>
      <c r="AF17" s="261"/>
      <c r="AG17" s="261"/>
      <c r="AH17" s="261"/>
    </row>
    <row r="18" spans="1:34">
      <c r="A18" s="211"/>
      <c r="B18" s="212"/>
      <c r="C18" s="216" t="s">
        <v>562</v>
      </c>
      <c r="D18" s="217">
        <v>386.44600000000003</v>
      </c>
      <c r="E18" s="217">
        <v>417.642</v>
      </c>
      <c r="F18" s="217">
        <v>449.51599999999996</v>
      </c>
      <c r="G18" s="217">
        <v>479.23823000003142</v>
      </c>
      <c r="H18" s="217">
        <v>520.7170799999999</v>
      </c>
      <c r="I18" s="217">
        <v>569.02150000000006</v>
      </c>
      <c r="J18" s="217">
        <v>630.42049999999995</v>
      </c>
      <c r="K18" s="217">
        <v>633.08703249999633</v>
      </c>
      <c r="L18" s="218">
        <v>777.72977502200001</v>
      </c>
      <c r="M18" s="218">
        <v>1144.3816076499961</v>
      </c>
      <c r="N18" s="218">
        <v>1332.8513214047821</v>
      </c>
      <c r="O18" s="197"/>
      <c r="P18" s="264"/>
      <c r="Q18" s="264"/>
      <c r="R18" s="264"/>
      <c r="S18" s="266"/>
      <c r="T18" s="266"/>
      <c r="U18" s="266"/>
      <c r="V18" s="266"/>
      <c r="W18" s="266"/>
      <c r="X18" s="261"/>
      <c r="Y18" s="261"/>
      <c r="Z18" s="261"/>
      <c r="AA18" s="261"/>
      <c r="AB18" s="261"/>
      <c r="AC18" s="261"/>
      <c r="AD18" s="261"/>
      <c r="AE18" s="261"/>
      <c r="AF18" s="261"/>
      <c r="AG18" s="261"/>
      <c r="AH18" s="261"/>
    </row>
    <row r="19" spans="1:34">
      <c r="A19" s="211"/>
      <c r="B19" s="212"/>
      <c r="C19" s="213" t="s">
        <v>563</v>
      </c>
      <c r="D19" s="214">
        <v>3003.5439999999999</v>
      </c>
      <c r="E19" s="214">
        <v>3064.864</v>
      </c>
      <c r="F19" s="214">
        <v>3088.5119999999993</v>
      </c>
      <c r="G19" s="214">
        <v>3130.7889999999998</v>
      </c>
      <c r="H19" s="214">
        <v>3237.8410000000003</v>
      </c>
      <c r="I19" s="214">
        <v>3482.9985135787251</v>
      </c>
      <c r="J19" s="214">
        <v>3641.7245821707734</v>
      </c>
      <c r="K19" s="214">
        <v>3502.5452999999998</v>
      </c>
      <c r="L19" s="215">
        <v>4484.6077000000005</v>
      </c>
      <c r="M19" s="215">
        <v>5793.7213840570466</v>
      </c>
      <c r="N19" s="215">
        <v>6776.7382171512054</v>
      </c>
      <c r="O19" s="197"/>
      <c r="P19" s="264"/>
      <c r="Q19" s="264"/>
      <c r="R19" s="264"/>
      <c r="S19" s="266"/>
      <c r="T19" s="266"/>
      <c r="U19" s="266"/>
      <c r="V19" s="266"/>
      <c r="W19" s="266"/>
      <c r="X19" s="261"/>
      <c r="Y19" s="261"/>
      <c r="Z19" s="261"/>
      <c r="AA19" s="261"/>
      <c r="AB19" s="261"/>
      <c r="AC19" s="261"/>
      <c r="AD19" s="261"/>
      <c r="AE19" s="261"/>
      <c r="AF19" s="261"/>
      <c r="AG19" s="261"/>
      <c r="AH19" s="261"/>
    </row>
    <row r="20" spans="1:34">
      <c r="A20" s="211"/>
      <c r="B20" s="212"/>
      <c r="C20" s="216" t="s">
        <v>564</v>
      </c>
      <c r="D20" s="217">
        <v>39148.59532368106</v>
      </c>
      <c r="E20" s="217">
        <v>39198.880406019998</v>
      </c>
      <c r="F20" s="217">
        <v>39950.378000000004</v>
      </c>
      <c r="G20" s="217">
        <v>40852.04</v>
      </c>
      <c r="H20" s="217">
        <v>42748.475546770002</v>
      </c>
      <c r="I20" s="217">
        <v>44206.234713000005</v>
      </c>
      <c r="J20" s="217">
        <v>46017.995137000005</v>
      </c>
      <c r="K20" s="217">
        <v>47702.367396000001</v>
      </c>
      <c r="L20" s="218">
        <v>49567.125681999998</v>
      </c>
      <c r="M20" s="218">
        <v>54900</v>
      </c>
      <c r="N20" s="218">
        <v>59600</v>
      </c>
      <c r="O20" s="197"/>
      <c r="P20" s="264"/>
      <c r="Q20" s="264"/>
      <c r="R20" s="264"/>
      <c r="S20" s="266"/>
      <c r="T20" s="266"/>
      <c r="U20" s="266"/>
      <c r="V20" s="266"/>
      <c r="W20" s="266"/>
      <c r="X20" s="261"/>
      <c r="Y20" s="261"/>
      <c r="Z20" s="261"/>
      <c r="AA20" s="261"/>
      <c r="AB20" s="261"/>
      <c r="AC20" s="261"/>
      <c r="AD20" s="261"/>
      <c r="AE20" s="261"/>
      <c r="AF20" s="261"/>
      <c r="AG20" s="261"/>
      <c r="AH20" s="261"/>
    </row>
    <row r="21" spans="1:34">
      <c r="A21" s="211"/>
      <c r="B21" s="212"/>
      <c r="C21" s="213" t="s">
        <v>565</v>
      </c>
      <c r="D21" s="214">
        <v>34748.81843483149</v>
      </c>
      <c r="E21" s="214">
        <v>35898.0521488425</v>
      </c>
      <c r="F21" s="214">
        <v>37598.397617750001</v>
      </c>
      <c r="G21" s="214">
        <v>40264.884882799997</v>
      </c>
      <c r="H21" s="214">
        <v>42126.678084771338</v>
      </c>
      <c r="I21" s="214">
        <v>46935.812153299994</v>
      </c>
      <c r="J21" s="214">
        <v>51391.501288672502</v>
      </c>
      <c r="K21" s="214">
        <v>52431.447500000002</v>
      </c>
      <c r="L21" s="215">
        <v>58266.246599999999</v>
      </c>
      <c r="M21" s="215">
        <v>67621.072799999994</v>
      </c>
      <c r="N21" s="215">
        <v>90585.847099999999</v>
      </c>
      <c r="O21" s="197"/>
      <c r="P21" s="264"/>
      <c r="Q21" s="264"/>
      <c r="R21" s="264"/>
      <c r="S21" s="266"/>
      <c r="T21" s="266"/>
      <c r="U21" s="266"/>
      <c r="V21" s="266"/>
      <c r="W21" s="266"/>
      <c r="X21" s="261"/>
      <c r="Y21" s="261"/>
      <c r="Z21" s="261"/>
      <c r="AA21" s="261"/>
      <c r="AB21" s="261"/>
      <c r="AC21" s="261"/>
      <c r="AD21" s="261"/>
      <c r="AE21" s="261"/>
      <c r="AF21" s="261"/>
      <c r="AG21" s="261"/>
      <c r="AH21" s="261"/>
    </row>
    <row r="22" spans="1:34">
      <c r="A22" s="211"/>
      <c r="B22" s="212"/>
      <c r="C22" s="216" t="s">
        <v>566</v>
      </c>
      <c r="D22" s="217">
        <v>3938.6272122999994</v>
      </c>
      <c r="E22" s="217">
        <v>4073.1010000000001</v>
      </c>
      <c r="F22" s="217">
        <v>4190.018</v>
      </c>
      <c r="G22" s="217">
        <v>4208.1973699999999</v>
      </c>
      <c r="H22" s="217">
        <v>4560.384462</v>
      </c>
      <c r="I22" s="217">
        <v>4482.9369999999999</v>
      </c>
      <c r="J22" s="217">
        <v>4812.0789999999997</v>
      </c>
      <c r="K22" s="217">
        <v>6764.15</v>
      </c>
      <c r="L22" s="218">
        <v>8053.8189999999995</v>
      </c>
      <c r="M22" s="218">
        <v>6223.5330000000004</v>
      </c>
      <c r="N22" s="218">
        <v>7125.6090000000004</v>
      </c>
      <c r="O22" s="197"/>
      <c r="P22" s="264"/>
      <c r="Q22" s="264"/>
      <c r="R22" s="264"/>
      <c r="S22" s="266"/>
      <c r="T22" s="266"/>
      <c r="U22" s="266"/>
      <c r="V22" s="266"/>
      <c r="W22" s="266"/>
      <c r="X22" s="261"/>
      <c r="Y22" s="261"/>
      <c r="Z22" s="261"/>
      <c r="AA22" s="261"/>
      <c r="AB22" s="261"/>
      <c r="AC22" s="261"/>
      <c r="AD22" s="261"/>
      <c r="AE22" s="261"/>
      <c r="AF22" s="261"/>
      <c r="AG22" s="261"/>
      <c r="AH22" s="261"/>
    </row>
    <row r="23" spans="1:34">
      <c r="A23" s="211"/>
      <c r="B23" s="212"/>
      <c r="C23" s="213" t="s">
        <v>567</v>
      </c>
      <c r="D23" s="214">
        <v>281401.93599999999</v>
      </c>
      <c r="E23" s="214">
        <v>316337.71400000004</v>
      </c>
      <c r="F23" s="214">
        <v>362798.27799999993</v>
      </c>
      <c r="G23" s="214">
        <v>468765.02099999995</v>
      </c>
      <c r="H23" s="214">
        <v>436499.82199999999</v>
      </c>
      <c r="I23" s="214">
        <v>636565.83299999998</v>
      </c>
      <c r="J23" s="214">
        <v>852320.51300000004</v>
      </c>
      <c r="K23" s="214">
        <v>730691.054</v>
      </c>
      <c r="L23" s="215">
        <v>1212913.909</v>
      </c>
      <c r="M23" s="215">
        <v>1538908.3940000001</v>
      </c>
      <c r="N23" s="215">
        <v>1730698.051</v>
      </c>
      <c r="O23" s="197"/>
      <c r="P23" s="264"/>
      <c r="Q23" s="264"/>
      <c r="R23" s="264"/>
      <c r="S23" s="267"/>
      <c r="T23" s="266"/>
      <c r="U23" s="266"/>
      <c r="V23" s="266"/>
      <c r="W23" s="266"/>
      <c r="X23" s="261"/>
      <c r="Y23" s="261"/>
      <c r="Z23" s="261"/>
      <c r="AA23" s="261"/>
      <c r="AB23" s="261"/>
      <c r="AC23" s="261"/>
      <c r="AD23" s="261"/>
      <c r="AE23" s="261"/>
      <c r="AF23" s="261"/>
      <c r="AG23" s="261"/>
      <c r="AH23" s="261"/>
    </row>
    <row r="24" spans="1:34">
      <c r="A24" s="211"/>
      <c r="B24" s="212"/>
      <c r="C24" s="216" t="s">
        <v>568</v>
      </c>
      <c r="D24" s="217">
        <v>18427.499</v>
      </c>
      <c r="E24" s="217">
        <v>17642.219520694962</v>
      </c>
      <c r="F24" s="217">
        <v>20225.931778759823</v>
      </c>
      <c r="G24" s="217">
        <v>21166.019953149167</v>
      </c>
      <c r="H24" s="217">
        <v>21702.34278045706</v>
      </c>
      <c r="I24" s="217">
        <v>21041.969799999999</v>
      </c>
      <c r="J24" s="217">
        <v>26360.1774</v>
      </c>
      <c r="K24" s="217">
        <v>28001.142699999997</v>
      </c>
      <c r="L24" s="218">
        <v>29901.273499999999</v>
      </c>
      <c r="M24" s="218">
        <v>31302.952900000004</v>
      </c>
      <c r="N24" s="218">
        <v>31957.058299999997</v>
      </c>
      <c r="O24" s="197"/>
      <c r="P24" s="264"/>
      <c r="Q24" s="264"/>
      <c r="R24" s="264"/>
      <c r="S24" s="266"/>
      <c r="T24" s="266"/>
      <c r="U24" s="266"/>
      <c r="V24" s="266"/>
      <c r="W24" s="266"/>
      <c r="X24" s="261"/>
      <c r="Y24" s="261"/>
      <c r="Z24" s="261"/>
      <c r="AA24" s="261"/>
      <c r="AB24" s="261"/>
      <c r="AC24" s="261"/>
      <c r="AD24" s="261"/>
      <c r="AE24" s="261"/>
      <c r="AF24" s="261"/>
      <c r="AG24" s="261"/>
      <c r="AH24" s="261"/>
    </row>
    <row r="25" spans="1:34">
      <c r="A25" s="211"/>
      <c r="B25" s="212"/>
      <c r="C25" s="213" t="s">
        <v>569</v>
      </c>
      <c r="D25" s="214">
        <v>221.05</v>
      </c>
      <c r="E25" s="214">
        <v>253.739</v>
      </c>
      <c r="F25" s="214">
        <v>364.16699999999997</v>
      </c>
      <c r="G25" s="214">
        <v>429.68700000000001</v>
      </c>
      <c r="H25" s="214">
        <v>600.58399999999995</v>
      </c>
      <c r="I25" s="214">
        <v>618.31399999999996</v>
      </c>
      <c r="J25" s="214">
        <v>650.649</v>
      </c>
      <c r="K25" s="214">
        <v>696.10969999999998</v>
      </c>
      <c r="L25" s="215">
        <v>813.11959999999999</v>
      </c>
      <c r="M25" s="215">
        <v>1159.5619999999999</v>
      </c>
      <c r="N25" s="215">
        <v>1318.0890419999998</v>
      </c>
      <c r="O25" s="197"/>
      <c r="P25" s="264"/>
      <c r="Q25" s="264"/>
      <c r="R25" s="264"/>
      <c r="S25" s="266"/>
      <c r="T25" s="266"/>
      <c r="U25" s="266"/>
      <c r="V25" s="266"/>
      <c r="W25" s="266"/>
      <c r="X25" s="261"/>
      <c r="Y25" s="261"/>
      <c r="Z25" s="261"/>
      <c r="AA25" s="261"/>
      <c r="AB25" s="261"/>
      <c r="AC25" s="261"/>
      <c r="AD25" s="261"/>
      <c r="AE25" s="261"/>
      <c r="AF25" s="261"/>
      <c r="AG25" s="261"/>
      <c r="AH25" s="261"/>
    </row>
    <row r="26" spans="1:34">
      <c r="A26" s="211"/>
      <c r="B26" s="212"/>
      <c r="C26" s="216" t="s">
        <v>570</v>
      </c>
      <c r="D26" s="217">
        <v>321.79680259499543</v>
      </c>
      <c r="E26" s="217">
        <v>424.91</v>
      </c>
      <c r="F26" s="217">
        <v>574.61199999999997</v>
      </c>
      <c r="G26" s="217">
        <v>723.82500000000005</v>
      </c>
      <c r="H26" s="217">
        <v>894.54700000000003</v>
      </c>
      <c r="I26" s="217">
        <v>976.69299999999987</v>
      </c>
      <c r="J26" s="217">
        <v>1030.1489999999999</v>
      </c>
      <c r="K26" s="217">
        <v>1104.9000000000001</v>
      </c>
      <c r="L26" s="218">
        <v>1648.8691999999999</v>
      </c>
      <c r="M26" s="218">
        <v>2001.7341999999999</v>
      </c>
      <c r="N26" s="218">
        <v>2132.904</v>
      </c>
      <c r="O26" s="197"/>
      <c r="P26" s="264"/>
      <c r="Q26" s="264"/>
      <c r="R26" s="264"/>
      <c r="S26" s="266"/>
      <c r="T26" s="266"/>
      <c r="U26" s="266"/>
      <c r="V26" s="266"/>
      <c r="W26" s="266"/>
      <c r="X26" s="261"/>
      <c r="Y26" s="261"/>
      <c r="Z26" s="261"/>
      <c r="AA26" s="261"/>
      <c r="AB26" s="261"/>
      <c r="AC26" s="261"/>
      <c r="AD26" s="261"/>
      <c r="AE26" s="261"/>
      <c r="AF26" s="261"/>
      <c r="AG26" s="261"/>
      <c r="AH26" s="261"/>
    </row>
    <row r="27" spans="1:34">
      <c r="A27" s="211"/>
      <c r="B27" s="212"/>
      <c r="C27" s="212" t="s">
        <v>571</v>
      </c>
      <c r="D27" s="220">
        <v>190.35023100000001</v>
      </c>
      <c r="E27" s="220">
        <v>224.87850623606079</v>
      </c>
      <c r="F27" s="220">
        <v>213.29531005935999</v>
      </c>
      <c r="G27" s="220">
        <v>288.38040272985921</v>
      </c>
      <c r="H27" s="220">
        <v>301.12863599999997</v>
      </c>
      <c r="I27" s="220">
        <v>340.530328</v>
      </c>
      <c r="J27" s="220">
        <v>373.066643</v>
      </c>
      <c r="K27" s="220">
        <v>340.81996500000002</v>
      </c>
      <c r="L27" s="221">
        <v>437.884232</v>
      </c>
      <c r="M27" s="221">
        <v>594</v>
      </c>
      <c r="N27" s="221">
        <v>728</v>
      </c>
      <c r="O27" s="197"/>
      <c r="P27" s="264"/>
      <c r="Q27" s="264"/>
      <c r="R27" s="264"/>
      <c r="S27" s="266"/>
      <c r="T27" s="266"/>
      <c r="U27" s="266"/>
      <c r="V27" s="266"/>
      <c r="W27" s="266"/>
      <c r="X27" s="261"/>
      <c r="Y27" s="261"/>
      <c r="Z27" s="261"/>
      <c r="AA27" s="261"/>
      <c r="AB27" s="261"/>
      <c r="AC27" s="261"/>
      <c r="AD27" s="261"/>
      <c r="AE27" s="261"/>
      <c r="AF27" s="261"/>
      <c r="AG27" s="261"/>
      <c r="AH27" s="261"/>
    </row>
    <row r="28" spans="1:34">
      <c r="A28" s="211"/>
      <c r="B28" s="212"/>
      <c r="C28" s="216" t="s">
        <v>572</v>
      </c>
      <c r="D28" s="222">
        <v>52.02326978</v>
      </c>
      <c r="E28" s="222">
        <v>51.315372160000003</v>
      </c>
      <c r="F28" s="222">
        <v>56.270428890000005</v>
      </c>
      <c r="G28" s="222">
        <v>57.637999999999991</v>
      </c>
      <c r="H28" s="222">
        <v>63.835000000000008</v>
      </c>
      <c r="I28" s="222">
        <v>66.010000000000005</v>
      </c>
      <c r="J28" s="222">
        <v>72.495000000000005</v>
      </c>
      <c r="K28" s="222">
        <v>77.048000000000002</v>
      </c>
      <c r="L28" s="223">
        <v>81.632000000000005</v>
      </c>
      <c r="M28" s="223">
        <v>105.7732</v>
      </c>
      <c r="N28" s="223">
        <v>150.07040000000001</v>
      </c>
      <c r="O28" s="197"/>
      <c r="P28" s="264"/>
      <c r="Q28" s="264"/>
      <c r="R28" s="264"/>
      <c r="S28" s="266"/>
      <c r="T28" s="266"/>
      <c r="U28" s="266"/>
      <c r="V28" s="266"/>
      <c r="W28" s="266"/>
      <c r="X28" s="261"/>
      <c r="Y28" s="261"/>
      <c r="Z28" s="261"/>
      <c r="AA28" s="261"/>
      <c r="AB28" s="261"/>
      <c r="AC28" s="261"/>
      <c r="AD28" s="261"/>
      <c r="AE28" s="261"/>
      <c r="AF28" s="261"/>
      <c r="AG28" s="261"/>
      <c r="AH28" s="261"/>
    </row>
    <row r="29" spans="1:34">
      <c r="A29" s="211"/>
      <c r="B29" s="212"/>
      <c r="C29" s="212" t="s">
        <v>573</v>
      </c>
      <c r="D29" s="220">
        <v>7787.7510000000002</v>
      </c>
      <c r="E29" s="220">
        <v>7815.8430000000008</v>
      </c>
      <c r="F29" s="220">
        <v>8233.9290000000001</v>
      </c>
      <c r="G29" s="220">
        <v>8538.8850000000002</v>
      </c>
      <c r="H29" s="220">
        <v>9456.19</v>
      </c>
      <c r="I29" s="220">
        <v>10777.883</v>
      </c>
      <c r="J29" s="220">
        <v>11248.866</v>
      </c>
      <c r="K29" s="220">
        <v>11757.862000000001</v>
      </c>
      <c r="L29" s="221">
        <v>13188.870000030001</v>
      </c>
      <c r="M29" s="221">
        <v>15500</v>
      </c>
      <c r="N29" s="221">
        <v>19900</v>
      </c>
      <c r="O29" s="197"/>
      <c r="P29" s="264"/>
      <c r="Q29" s="264"/>
      <c r="R29" s="264"/>
      <c r="S29" s="266"/>
      <c r="T29" s="266"/>
      <c r="U29" s="266"/>
      <c r="V29" s="266"/>
      <c r="W29" s="266"/>
      <c r="X29" s="261"/>
      <c r="Y29" s="261"/>
      <c r="Z29" s="261"/>
      <c r="AA29" s="261"/>
      <c r="AB29" s="261"/>
      <c r="AC29" s="261"/>
      <c r="AD29" s="261"/>
      <c r="AE29" s="261"/>
      <c r="AF29" s="261"/>
      <c r="AG29" s="261"/>
      <c r="AH29" s="261"/>
    </row>
    <row r="30" spans="1:34">
      <c r="A30" s="211"/>
      <c r="B30" s="212"/>
      <c r="C30" s="216" t="s">
        <v>574</v>
      </c>
      <c r="D30" s="222">
        <v>5742.7449999999999</v>
      </c>
      <c r="E30" s="222">
        <v>5852.81</v>
      </c>
      <c r="F30" s="222">
        <v>5770.2</v>
      </c>
      <c r="G30" s="222">
        <v>5532</v>
      </c>
      <c r="H30" s="222">
        <v>6232</v>
      </c>
      <c r="I30" s="222">
        <v>8029</v>
      </c>
      <c r="J30" s="222">
        <v>8303</v>
      </c>
      <c r="K30" s="222">
        <v>10604</v>
      </c>
      <c r="L30" s="223">
        <v>12899</v>
      </c>
      <c r="M30" s="223">
        <v>15200</v>
      </c>
      <c r="N30" s="223">
        <v>20128</v>
      </c>
      <c r="O30" s="197"/>
      <c r="P30" s="264"/>
      <c r="Q30" s="264"/>
      <c r="R30" s="264"/>
      <c r="S30" s="268"/>
      <c r="T30" s="266"/>
      <c r="U30" s="266"/>
      <c r="V30" s="266"/>
      <c r="W30" s="266"/>
      <c r="X30" s="261"/>
      <c r="Y30" s="261"/>
      <c r="Z30" s="261"/>
      <c r="AA30" s="261"/>
      <c r="AB30" s="261"/>
      <c r="AC30" s="261"/>
      <c r="AD30" s="261"/>
      <c r="AE30" s="261"/>
      <c r="AF30" s="261"/>
      <c r="AG30" s="261"/>
      <c r="AH30" s="261"/>
    </row>
    <row r="31" spans="1:34">
      <c r="A31" s="211"/>
      <c r="B31" s="212"/>
      <c r="C31" s="212" t="s">
        <v>575</v>
      </c>
      <c r="D31" s="220">
        <v>48659.913809515012</v>
      </c>
      <c r="E31" s="220">
        <v>49528.806708892946</v>
      </c>
      <c r="F31" s="220">
        <v>54022.380379372698</v>
      </c>
      <c r="G31" s="220">
        <v>56664.324444420054</v>
      </c>
      <c r="H31" s="220">
        <v>61348.594123348914</v>
      </c>
      <c r="I31" s="220">
        <v>66317.894799999995</v>
      </c>
      <c r="J31" s="220">
        <v>68054.3799</v>
      </c>
      <c r="K31" s="220">
        <v>72482.7932</v>
      </c>
      <c r="L31" s="221">
        <v>83589.316900000005</v>
      </c>
      <c r="M31" s="221">
        <v>92950.883800000011</v>
      </c>
      <c r="N31" s="221">
        <v>112211.3296</v>
      </c>
      <c r="O31" s="197"/>
      <c r="P31" s="264"/>
      <c r="Q31" s="264"/>
      <c r="R31" s="264"/>
      <c r="S31" s="266"/>
      <c r="T31" s="266"/>
      <c r="U31" s="266"/>
      <c r="V31" s="266"/>
      <c r="W31" s="266"/>
      <c r="X31" s="261"/>
      <c r="Y31" s="261"/>
      <c r="Z31" s="261"/>
      <c r="AA31" s="261"/>
      <c r="AB31" s="261"/>
      <c r="AC31" s="261"/>
      <c r="AD31" s="261"/>
      <c r="AE31" s="261"/>
      <c r="AF31" s="261"/>
      <c r="AG31" s="261"/>
      <c r="AH31" s="261"/>
    </row>
    <row r="32" spans="1:34">
      <c r="A32" s="211"/>
      <c r="B32" s="212"/>
      <c r="C32" s="216" t="s">
        <v>576</v>
      </c>
      <c r="D32" s="222">
        <v>31874.03307102</v>
      </c>
      <c r="E32" s="222">
        <v>39940.265089509994</v>
      </c>
      <c r="F32" s="222">
        <v>37081.765770999991</v>
      </c>
      <c r="G32" s="222">
        <v>37558.250443919998</v>
      </c>
      <c r="H32" s="222">
        <v>42823.994570710005</v>
      </c>
      <c r="I32" s="222">
        <v>45404.222156989999</v>
      </c>
      <c r="J32" s="222">
        <v>52109.942536112008</v>
      </c>
      <c r="K32" s="222">
        <v>58304.326000000001</v>
      </c>
      <c r="L32" s="223">
        <v>68360.661000000007</v>
      </c>
      <c r="M32" s="223">
        <v>111226.101</v>
      </c>
      <c r="N32" s="223">
        <v>151240.71400000001</v>
      </c>
      <c r="O32" s="197"/>
      <c r="P32" s="264"/>
      <c r="Q32" s="264"/>
      <c r="R32" s="264"/>
      <c r="S32" s="266"/>
      <c r="T32" s="266"/>
      <c r="U32" s="266"/>
      <c r="V32" s="266"/>
      <c r="W32" s="266"/>
      <c r="X32" s="261"/>
      <c r="Y32" s="261"/>
      <c r="Z32" s="261"/>
      <c r="AA32" s="261"/>
      <c r="AB32" s="261"/>
      <c r="AC32" s="261"/>
      <c r="AD32" s="261"/>
      <c r="AE32" s="261"/>
      <c r="AF32" s="261"/>
      <c r="AG32" s="261"/>
      <c r="AH32" s="261"/>
    </row>
    <row r="33" spans="1:34">
      <c r="A33" s="211"/>
      <c r="B33" s="212"/>
      <c r="C33" s="212" t="s">
        <v>577</v>
      </c>
      <c r="D33" s="220">
        <v>2263.1410442299998</v>
      </c>
      <c r="E33" s="220">
        <v>2383.83329499</v>
      </c>
      <c r="F33" s="220">
        <v>2363.7931271599996</v>
      </c>
      <c r="G33" s="220">
        <v>2424.22280834</v>
      </c>
      <c r="H33" s="220">
        <v>2749.6503160100001</v>
      </c>
      <c r="I33" s="220">
        <v>2946.6717161299998</v>
      </c>
      <c r="J33" s="220">
        <v>2867.4258931300001</v>
      </c>
      <c r="K33" s="220">
        <v>3294.7461999999996</v>
      </c>
      <c r="L33" s="221">
        <v>3395.2723999999998</v>
      </c>
      <c r="M33" s="221">
        <v>3921.01</v>
      </c>
      <c r="N33" s="221">
        <v>4290.58</v>
      </c>
      <c r="O33" s="197"/>
      <c r="P33" s="264"/>
      <c r="Q33" s="264"/>
      <c r="R33" s="264"/>
      <c r="S33" s="266"/>
      <c r="T33" s="266"/>
      <c r="U33" s="266"/>
      <c r="V33" s="266"/>
      <c r="W33" s="266"/>
      <c r="X33" s="261"/>
      <c r="Y33" s="261"/>
      <c r="Z33" s="261"/>
      <c r="AA33" s="261"/>
      <c r="AB33" s="261"/>
      <c r="AC33" s="261"/>
      <c r="AD33" s="261"/>
      <c r="AE33" s="261"/>
      <c r="AF33" s="261"/>
      <c r="AG33" s="261"/>
      <c r="AH33" s="261"/>
    </row>
    <row r="34" spans="1:34">
      <c r="A34" s="211"/>
      <c r="B34" s="212"/>
      <c r="C34" s="216" t="s">
        <v>578</v>
      </c>
      <c r="D34" s="222">
        <v>9014.2049999999999</v>
      </c>
      <c r="E34" s="222">
        <v>10337.036002949999</v>
      </c>
      <c r="F34" s="222">
        <v>10738.322000000002</v>
      </c>
      <c r="G34" s="222">
        <v>14764.611137</v>
      </c>
      <c r="H34" s="222">
        <v>17183.033795840001</v>
      </c>
      <c r="I34" s="222">
        <v>19527.173999999999</v>
      </c>
      <c r="J34" s="222">
        <v>21430.94</v>
      </c>
      <c r="K34" s="222">
        <v>22029.220999999998</v>
      </c>
      <c r="L34" s="223">
        <v>24317.485199999999</v>
      </c>
      <c r="M34" s="223">
        <v>25643.807000000001</v>
      </c>
      <c r="N34" s="223">
        <v>40057.200799999999</v>
      </c>
      <c r="O34" s="197"/>
      <c r="P34" s="264"/>
      <c r="Q34" s="264"/>
      <c r="R34" s="264"/>
      <c r="S34" s="266"/>
      <c r="T34" s="266"/>
      <c r="U34" s="266"/>
      <c r="V34" s="266"/>
      <c r="W34" s="266"/>
      <c r="X34" s="261"/>
      <c r="Y34" s="261"/>
      <c r="Z34" s="261"/>
      <c r="AA34" s="261"/>
      <c r="AB34" s="261"/>
      <c r="AC34" s="261"/>
      <c r="AD34" s="261"/>
      <c r="AE34" s="261"/>
      <c r="AF34" s="261"/>
      <c r="AG34" s="261"/>
      <c r="AH34" s="261"/>
    </row>
    <row r="35" spans="1:34">
      <c r="A35" s="211"/>
      <c r="B35" s="212"/>
      <c r="C35" s="212" t="s">
        <v>579</v>
      </c>
      <c r="D35" s="220">
        <v>751.56166551000001</v>
      </c>
      <c r="E35" s="220">
        <v>889.46284930000002</v>
      </c>
      <c r="F35" s="220">
        <v>907.11496818000001</v>
      </c>
      <c r="G35" s="220">
        <v>934.66908259000002</v>
      </c>
      <c r="H35" s="220">
        <v>1098.41438251</v>
      </c>
      <c r="I35" s="220">
        <v>1609.5466000000001</v>
      </c>
      <c r="J35" s="220">
        <v>1795.5191</v>
      </c>
      <c r="K35" s="220">
        <v>1745.9726634200001</v>
      </c>
      <c r="L35" s="221">
        <v>1983.4484712799997</v>
      </c>
      <c r="M35" s="221">
        <v>2260.2434886299998</v>
      </c>
      <c r="N35" s="221">
        <v>2634.1546680000001</v>
      </c>
      <c r="O35" s="197"/>
      <c r="P35" s="264"/>
      <c r="Q35" s="264"/>
      <c r="R35" s="264"/>
      <c r="S35" s="266"/>
      <c r="T35" s="266"/>
      <c r="U35" s="266"/>
      <c r="V35" s="266"/>
      <c r="W35" s="266"/>
      <c r="X35" s="261"/>
      <c r="Y35" s="261"/>
      <c r="Z35" s="261"/>
      <c r="AA35" s="261"/>
      <c r="AB35" s="261"/>
      <c r="AC35" s="261"/>
      <c r="AD35" s="261"/>
      <c r="AE35" s="261"/>
      <c r="AF35" s="261"/>
      <c r="AG35" s="261"/>
      <c r="AH35" s="261"/>
    </row>
    <row r="36" spans="1:34">
      <c r="A36" s="211"/>
      <c r="B36" s="212"/>
      <c r="C36" s="216" t="s">
        <v>580</v>
      </c>
      <c r="D36" s="222">
        <v>366.45957585832969</v>
      </c>
      <c r="E36" s="222">
        <v>361.37584000000004</v>
      </c>
      <c r="F36" s="222">
        <v>406.16577132600008</v>
      </c>
      <c r="G36" s="222">
        <v>422.21499999999997</v>
      </c>
      <c r="H36" s="222">
        <v>462.651341</v>
      </c>
      <c r="I36" s="222">
        <v>511.25710000000004</v>
      </c>
      <c r="J36" s="222">
        <v>498.0136</v>
      </c>
      <c r="K36" s="222">
        <v>644.79442197999981</v>
      </c>
      <c r="L36" s="223">
        <v>737.29748195999991</v>
      </c>
      <c r="M36" s="223">
        <v>844.63917332999984</v>
      </c>
      <c r="N36" s="223">
        <v>879.99882473999992</v>
      </c>
      <c r="O36" s="197"/>
      <c r="P36" s="264"/>
      <c r="Q36" s="264"/>
      <c r="R36" s="264"/>
      <c r="S36" s="266"/>
      <c r="T36" s="266"/>
      <c r="U36" s="266"/>
      <c r="V36" s="266"/>
      <c r="W36" s="266"/>
      <c r="X36" s="261"/>
      <c r="Y36" s="261"/>
      <c r="Z36" s="261"/>
      <c r="AA36" s="261"/>
      <c r="AB36" s="261"/>
      <c r="AC36" s="261"/>
      <c r="AD36" s="261"/>
      <c r="AE36" s="261"/>
      <c r="AF36" s="261"/>
      <c r="AG36" s="261"/>
      <c r="AH36" s="261"/>
    </row>
    <row r="37" spans="1:34">
      <c r="A37" s="211"/>
      <c r="B37" s="212"/>
      <c r="C37" s="212" t="s">
        <v>581</v>
      </c>
      <c r="D37" s="220">
        <v>9507.75</v>
      </c>
      <c r="E37" s="220">
        <v>9999.81</v>
      </c>
      <c r="F37" s="220">
        <v>9014.0499999999993</v>
      </c>
      <c r="G37" s="220">
        <v>10528.060000000001</v>
      </c>
      <c r="H37" s="220">
        <v>11172.2</v>
      </c>
      <c r="I37" s="220">
        <v>11281.18</v>
      </c>
      <c r="J37" s="220">
        <v>11240.009999999997</v>
      </c>
      <c r="K37" s="220">
        <v>12546.44</v>
      </c>
      <c r="L37" s="221">
        <v>15609.96</v>
      </c>
      <c r="M37" s="221">
        <v>17451.45</v>
      </c>
      <c r="N37" s="221">
        <v>19723.45</v>
      </c>
      <c r="O37" s="197"/>
      <c r="P37" s="264"/>
      <c r="Q37" s="264"/>
      <c r="R37" s="264"/>
      <c r="S37" s="266"/>
      <c r="T37" s="266"/>
      <c r="U37" s="266"/>
      <c r="V37" s="266"/>
      <c r="W37" s="266"/>
      <c r="X37" s="261"/>
      <c r="Y37" s="261"/>
      <c r="Z37" s="261"/>
      <c r="AA37" s="261"/>
      <c r="AB37" s="261"/>
      <c r="AC37" s="261"/>
      <c r="AD37" s="261"/>
      <c r="AE37" s="261"/>
      <c r="AF37" s="261"/>
      <c r="AG37" s="261"/>
      <c r="AH37" s="261"/>
    </row>
    <row r="38" spans="1:34">
      <c r="A38" s="211"/>
      <c r="B38" s="212"/>
      <c r="C38" s="216" t="s">
        <v>582</v>
      </c>
      <c r="D38" s="218">
        <v>42574.082981325555</v>
      </c>
      <c r="E38" s="218">
        <v>43045</v>
      </c>
      <c r="F38" s="218">
        <v>42955</v>
      </c>
      <c r="G38" s="218">
        <v>44700</v>
      </c>
      <c r="H38" s="218">
        <v>46905</v>
      </c>
      <c r="I38" s="218">
        <v>52585.632137932967</v>
      </c>
      <c r="J38" s="218">
        <v>55118.459448120135</v>
      </c>
      <c r="K38" s="218">
        <v>77794.057000000001</v>
      </c>
      <c r="L38" s="224">
        <v>86596.049800000008</v>
      </c>
      <c r="M38" s="224">
        <v>104487.70389999999</v>
      </c>
      <c r="N38" s="224">
        <v>139930.054</v>
      </c>
      <c r="O38" s="197"/>
      <c r="P38" s="264"/>
      <c r="Q38" s="264"/>
      <c r="R38" s="264"/>
      <c r="S38" s="266"/>
      <c r="T38" s="266"/>
      <c r="U38" s="266"/>
      <c r="V38" s="266"/>
      <c r="W38" s="266"/>
      <c r="X38" s="261"/>
      <c r="Y38" s="261"/>
      <c r="Z38" s="261"/>
      <c r="AA38" s="261"/>
      <c r="AB38" s="261"/>
      <c r="AC38" s="261"/>
      <c r="AD38" s="261"/>
      <c r="AE38" s="261"/>
      <c r="AF38" s="261"/>
      <c r="AG38" s="261"/>
      <c r="AH38" s="261"/>
    </row>
    <row r="39" spans="1:34">
      <c r="A39" s="211"/>
      <c r="B39" s="212"/>
      <c r="C39" s="212" t="s">
        <v>583</v>
      </c>
      <c r="D39" s="225">
        <v>29727</v>
      </c>
      <c r="E39" s="225">
        <v>32522.058059972449</v>
      </c>
      <c r="F39" s="225">
        <v>38202.92</v>
      </c>
      <c r="G39" s="225">
        <v>47322.950000000004</v>
      </c>
      <c r="H39" s="225">
        <v>68299.550999999992</v>
      </c>
      <c r="I39" s="225">
        <v>79987.463000000003</v>
      </c>
      <c r="J39" s="225">
        <v>93909.764999999999</v>
      </c>
      <c r="K39" s="225">
        <v>116481.74599999998</v>
      </c>
      <c r="L39" s="226">
        <v>203703.61200000002</v>
      </c>
      <c r="M39" s="226">
        <v>393840.90099999995</v>
      </c>
      <c r="N39" s="226">
        <v>847856.03799999994</v>
      </c>
      <c r="O39" s="197"/>
      <c r="P39" s="264"/>
      <c r="Q39" s="264"/>
      <c r="R39" s="264"/>
      <c r="S39" s="266"/>
      <c r="T39" s="266"/>
      <c r="U39" s="266"/>
      <c r="V39" s="266"/>
      <c r="W39" s="266"/>
      <c r="X39" s="261"/>
      <c r="Y39" s="261"/>
      <c r="Z39" s="261"/>
      <c r="AA39" s="261"/>
      <c r="AB39" s="261"/>
      <c r="AC39" s="261"/>
      <c r="AD39" s="261"/>
      <c r="AE39" s="261"/>
      <c r="AF39" s="261"/>
      <c r="AG39" s="261"/>
      <c r="AH39" s="261"/>
    </row>
    <row r="40" spans="1:34">
      <c r="A40" s="211"/>
      <c r="B40" s="212"/>
      <c r="C40" s="216" t="s">
        <v>584</v>
      </c>
      <c r="D40" s="217">
        <v>39902.047274380006</v>
      </c>
      <c r="E40" s="217">
        <v>38940.359641489995</v>
      </c>
      <c r="F40" s="217">
        <v>41589.628000000004</v>
      </c>
      <c r="G40" s="217">
        <v>43257.419458579992</v>
      </c>
      <c r="H40" s="217">
        <v>45201.996663700003</v>
      </c>
      <c r="I40" s="217">
        <v>46508.943999999996</v>
      </c>
      <c r="J40" s="217">
        <v>49494.579999999994</v>
      </c>
      <c r="K40" s="217">
        <v>52282.999999999985</v>
      </c>
      <c r="L40" s="224">
        <v>57268.875999999989</v>
      </c>
      <c r="M40" s="224">
        <v>61877.386841037864</v>
      </c>
      <c r="N40" s="224">
        <v>64583.841525178272</v>
      </c>
      <c r="O40" s="197"/>
      <c r="P40" s="264"/>
      <c r="Q40" s="264"/>
      <c r="R40" s="264"/>
      <c r="S40" s="266"/>
      <c r="T40" s="266"/>
      <c r="U40" s="266"/>
      <c r="V40" s="266"/>
      <c r="W40" s="266"/>
      <c r="X40" s="261"/>
      <c r="Y40" s="261"/>
      <c r="Z40" s="261"/>
      <c r="AA40" s="261"/>
      <c r="AB40" s="261"/>
      <c r="AC40" s="261"/>
      <c r="AD40" s="261"/>
      <c r="AE40" s="261"/>
      <c r="AF40" s="261"/>
      <c r="AG40" s="261"/>
      <c r="AH40" s="261"/>
    </row>
    <row r="41" spans="1:34">
      <c r="A41" s="211"/>
      <c r="B41" s="212"/>
      <c r="C41" s="212" t="s">
        <v>585</v>
      </c>
      <c r="D41" s="225">
        <v>653942</v>
      </c>
      <c r="E41" s="225">
        <v>641253</v>
      </c>
      <c r="F41" s="225">
        <v>656059</v>
      </c>
      <c r="G41" s="225">
        <v>642933</v>
      </c>
      <c r="H41" s="225">
        <v>672255</v>
      </c>
      <c r="I41" s="225">
        <v>750886</v>
      </c>
      <c r="J41" s="225">
        <v>770650</v>
      </c>
      <c r="K41" s="225">
        <v>824094</v>
      </c>
      <c r="L41" s="226">
        <v>834977</v>
      </c>
      <c r="M41" s="226">
        <v>875603</v>
      </c>
      <c r="N41" s="226">
        <v>967707</v>
      </c>
      <c r="O41" s="197"/>
      <c r="P41" s="264"/>
      <c r="Q41" s="264"/>
      <c r="R41" s="264"/>
      <c r="S41" s="266"/>
      <c r="T41" s="266"/>
      <c r="U41" s="266"/>
      <c r="V41" s="266"/>
      <c r="W41" s="266"/>
      <c r="X41" s="261"/>
      <c r="Y41" s="261"/>
      <c r="Z41" s="261"/>
      <c r="AA41" s="261"/>
      <c r="AB41" s="261"/>
      <c r="AC41" s="261"/>
      <c r="AD41" s="261"/>
      <c r="AE41" s="261"/>
      <c r="AF41" s="261"/>
      <c r="AG41" s="261"/>
      <c r="AH41" s="261"/>
    </row>
    <row r="42" spans="1:34">
      <c r="A42" s="196"/>
      <c r="B42" s="212"/>
      <c r="C42" s="213"/>
      <c r="D42" s="214" t="e">
        <v>#REF!</v>
      </c>
      <c r="E42" s="214" t="e">
        <v>#REF!</v>
      </c>
      <c r="F42" s="214" t="e">
        <v>#REF!</v>
      </c>
      <c r="G42" s="214" t="e">
        <v>#REF!</v>
      </c>
      <c r="H42" s="214" t="e">
        <v>#REF!</v>
      </c>
      <c r="I42" s="214" t="e">
        <v>#REF!</v>
      </c>
      <c r="J42" s="214"/>
      <c r="K42" s="214"/>
      <c r="L42" s="227"/>
      <c r="M42" s="227"/>
      <c r="N42" s="227"/>
      <c r="O42" s="197"/>
      <c r="P42" s="258"/>
      <c r="Q42" s="261"/>
      <c r="R42" s="261"/>
      <c r="S42" s="261"/>
      <c r="T42" s="261"/>
      <c r="U42" s="261"/>
      <c r="V42" s="261"/>
      <c r="W42" s="261"/>
      <c r="X42" s="261"/>
      <c r="Y42" s="261"/>
      <c r="Z42" s="261"/>
      <c r="AA42" s="261"/>
      <c r="AB42" s="261"/>
      <c r="AC42" s="261"/>
      <c r="AD42" s="261"/>
      <c r="AE42" s="261"/>
      <c r="AF42" s="261"/>
      <c r="AG42" s="261"/>
      <c r="AH42" s="261"/>
    </row>
    <row r="43" spans="1:34">
      <c r="A43" s="180"/>
      <c r="B43" s="206" t="s">
        <v>586</v>
      </c>
      <c r="C43" s="207"/>
      <c r="D43" s="228"/>
      <c r="E43" s="229"/>
      <c r="F43" s="229"/>
      <c r="G43" s="229"/>
      <c r="H43" s="229"/>
      <c r="I43" s="229"/>
      <c r="J43" s="229"/>
      <c r="K43" s="229"/>
      <c r="L43" s="230"/>
      <c r="M43" s="230"/>
      <c r="N43" s="230"/>
      <c r="O43" s="210"/>
      <c r="P43" s="188"/>
      <c r="Q43" s="263"/>
      <c r="R43" s="263"/>
      <c r="S43" s="263"/>
      <c r="T43" s="263"/>
      <c r="U43" s="263"/>
      <c r="V43" s="263"/>
      <c r="W43" s="263"/>
      <c r="X43" s="180"/>
      <c r="Y43" s="180"/>
      <c r="Z43" s="180"/>
      <c r="AA43" s="180"/>
      <c r="AB43" s="180"/>
      <c r="AC43" s="180"/>
      <c r="AD43" s="180"/>
      <c r="AE43" s="180"/>
      <c r="AF43" s="180"/>
      <c r="AG43" s="180"/>
      <c r="AH43" s="180"/>
    </row>
    <row r="44" spans="1:34">
      <c r="A44" s="211"/>
      <c r="B44" s="212"/>
      <c r="C44" s="213" t="s">
        <v>555</v>
      </c>
      <c r="D44" s="214">
        <v>18893.951763457313</v>
      </c>
      <c r="E44" s="214">
        <v>16671.141</v>
      </c>
      <c r="F44" s="214">
        <v>16353.828461339535</v>
      </c>
      <c r="G44" s="214">
        <v>17060.610815692722</v>
      </c>
      <c r="H44" s="214">
        <v>18568.761506604336</v>
      </c>
      <c r="I44" s="214">
        <v>20920.966909051684</v>
      </c>
      <c r="J44" s="214">
        <v>20467.665246667981</v>
      </c>
      <c r="K44" s="214">
        <v>21381.970667994985</v>
      </c>
      <c r="L44" s="231">
        <v>21800.871617781831</v>
      </c>
      <c r="M44" s="231">
        <v>32542.519260133791</v>
      </c>
      <c r="N44" s="231">
        <v>38973.373836765131</v>
      </c>
      <c r="O44" s="197"/>
      <c r="P44" s="264"/>
      <c r="Q44" s="264"/>
      <c r="R44" s="264"/>
      <c r="S44" s="266"/>
      <c r="T44" s="266"/>
      <c r="U44" s="266"/>
      <c r="V44" s="266"/>
      <c r="W44" s="266"/>
      <c r="X44" s="261"/>
      <c r="Y44" s="261"/>
      <c r="Z44" s="261"/>
      <c r="AA44" s="261"/>
      <c r="AB44" s="261"/>
      <c r="AC44" s="261"/>
      <c r="AD44" s="261"/>
      <c r="AE44" s="261"/>
      <c r="AF44" s="261"/>
      <c r="AG44" s="261"/>
      <c r="AH44" s="261"/>
    </row>
    <row r="45" spans="1:34">
      <c r="A45" s="211"/>
      <c r="B45" s="212"/>
      <c r="C45" s="216" t="s">
        <v>556</v>
      </c>
      <c r="D45" s="217">
        <v>3965.2883770254512</v>
      </c>
      <c r="E45" s="217">
        <v>3789.0632462688613</v>
      </c>
      <c r="F45" s="217">
        <v>3775.4082692734487</v>
      </c>
      <c r="G45" s="217">
        <v>3788.8762885300907</v>
      </c>
      <c r="H45" s="217">
        <v>3890.8034280665738</v>
      </c>
      <c r="I45" s="217">
        <v>3964.8837754514489</v>
      </c>
      <c r="J45" s="217">
        <v>4280.375827078894</v>
      </c>
      <c r="K45" s="217">
        <v>4692.8835358008882</v>
      </c>
      <c r="L45" s="232">
        <v>5502.3641176262809</v>
      </c>
      <c r="M45" s="232">
        <v>5706.2113062898325</v>
      </c>
      <c r="N45" s="232">
        <v>6213.5907428036335</v>
      </c>
      <c r="O45" s="197"/>
      <c r="P45" s="264"/>
      <c r="Q45" s="264"/>
      <c r="R45" s="264"/>
      <c r="S45" s="266"/>
      <c r="T45" s="266"/>
      <c r="U45" s="266"/>
      <c r="V45" s="266"/>
      <c r="W45" s="266"/>
      <c r="X45" s="261"/>
      <c r="Y45" s="261"/>
      <c r="Z45" s="261"/>
      <c r="AA45" s="261"/>
      <c r="AB45" s="261"/>
      <c r="AC45" s="261"/>
      <c r="AD45" s="261"/>
      <c r="AE45" s="261"/>
      <c r="AF45" s="261"/>
      <c r="AG45" s="261"/>
      <c r="AH45" s="261"/>
    </row>
    <row r="46" spans="1:34">
      <c r="A46" s="211"/>
      <c r="B46" s="212"/>
      <c r="C46" s="213" t="s">
        <v>557</v>
      </c>
      <c r="D46" s="214">
        <v>1134.0353518113727</v>
      </c>
      <c r="E46" s="214">
        <v>1116.3742849799999</v>
      </c>
      <c r="F46" s="214">
        <v>1147.6204652007482</v>
      </c>
      <c r="G46" s="214">
        <v>1158.597464415335</v>
      </c>
      <c r="H46" s="214">
        <v>1411.094439273385</v>
      </c>
      <c r="I46" s="214">
        <v>3174.1757235516284</v>
      </c>
      <c r="J46" s="214">
        <v>1550.366247064545</v>
      </c>
      <c r="K46" s="214">
        <v>1589.0074056361052</v>
      </c>
      <c r="L46" s="233">
        <v>1733.1918153285503</v>
      </c>
      <c r="M46" s="233">
        <v>2172.9737514905291</v>
      </c>
      <c r="N46" s="233">
        <v>2461.8678447416733</v>
      </c>
      <c r="O46" s="197"/>
      <c r="P46" s="264"/>
      <c r="Q46" s="264"/>
      <c r="R46" s="264"/>
      <c r="S46" s="266"/>
      <c r="T46" s="266"/>
      <c r="U46" s="266"/>
      <c r="V46" s="266"/>
      <c r="W46" s="266"/>
      <c r="X46" s="261"/>
      <c r="Y46" s="261"/>
      <c r="Z46" s="261"/>
      <c r="AA46" s="261"/>
      <c r="AB46" s="261"/>
      <c r="AC46" s="261"/>
      <c r="AD46" s="261"/>
      <c r="AE46" s="261"/>
      <c r="AF46" s="261"/>
      <c r="AG46" s="261"/>
      <c r="AH46" s="261"/>
    </row>
    <row r="47" spans="1:34">
      <c r="A47" s="211"/>
      <c r="B47" s="212"/>
      <c r="C47" s="216" t="s">
        <v>558</v>
      </c>
      <c r="D47" s="217">
        <v>19901.75104442372</v>
      </c>
      <c r="E47" s="217">
        <v>23899.714811286449</v>
      </c>
      <c r="F47" s="217">
        <v>23307.155226863462</v>
      </c>
      <c r="G47" s="217">
        <v>29776.388291037569</v>
      </c>
      <c r="H47" s="217">
        <v>27639.566266934402</v>
      </c>
      <c r="I47" s="217">
        <v>28084.859969658846</v>
      </c>
      <c r="J47" s="217">
        <v>29031.048995998015</v>
      </c>
      <c r="K47" s="217">
        <v>27556.617650341876</v>
      </c>
      <c r="L47" s="232">
        <v>26983.007745818923</v>
      </c>
      <c r="M47" s="232">
        <v>29769.600329505345</v>
      </c>
      <c r="N47" s="232">
        <v>31395.970388967271</v>
      </c>
      <c r="O47" s="197"/>
      <c r="P47" s="264"/>
      <c r="Q47" s="264"/>
      <c r="R47" s="264"/>
      <c r="S47" s="266"/>
      <c r="T47" s="266"/>
      <c r="U47" s="266"/>
      <c r="V47" s="266"/>
      <c r="W47" s="266"/>
      <c r="X47" s="261"/>
      <c r="Y47" s="261"/>
      <c r="Z47" s="261"/>
      <c r="AA47" s="261"/>
      <c r="AB47" s="261"/>
      <c r="AC47" s="261"/>
      <c r="AD47" s="261"/>
      <c r="AE47" s="261"/>
      <c r="AF47" s="261"/>
      <c r="AG47" s="261"/>
      <c r="AH47" s="261"/>
    </row>
    <row r="48" spans="1:34">
      <c r="A48" s="211"/>
      <c r="B48" s="212"/>
      <c r="C48" s="213" t="s">
        <v>559</v>
      </c>
      <c r="D48" s="214">
        <v>812.35764568394359</v>
      </c>
      <c r="E48" s="214">
        <v>803.96090100471179</v>
      </c>
      <c r="F48" s="214">
        <v>756.0645002864045</v>
      </c>
      <c r="G48" s="214">
        <v>802.58313722376579</v>
      </c>
      <c r="H48" s="214">
        <v>779.9978420905818</v>
      </c>
      <c r="I48" s="214">
        <v>836.09322777650982</v>
      </c>
      <c r="J48" s="214">
        <v>810.83684475901077</v>
      </c>
      <c r="K48" s="214">
        <v>1060.6983625704097</v>
      </c>
      <c r="L48" s="231">
        <v>1035.2854909174209</v>
      </c>
      <c r="M48" s="231">
        <v>1042.8724955845246</v>
      </c>
      <c r="N48" s="231">
        <v>1116.9801353547739</v>
      </c>
      <c r="O48" s="197"/>
      <c r="P48" s="264"/>
      <c r="Q48" s="264"/>
      <c r="R48" s="264"/>
      <c r="S48" s="266"/>
      <c r="T48" s="266"/>
      <c r="U48" s="266"/>
      <c r="V48" s="266"/>
      <c r="W48" s="266"/>
      <c r="X48" s="261"/>
      <c r="Y48" s="261"/>
      <c r="Z48" s="261"/>
      <c r="AA48" s="261"/>
      <c r="AB48" s="261"/>
      <c r="AC48" s="261"/>
      <c r="AD48" s="261"/>
      <c r="AE48" s="261"/>
      <c r="AF48" s="261"/>
      <c r="AG48" s="261"/>
      <c r="AH48" s="261"/>
    </row>
    <row r="49" spans="1:34">
      <c r="A49" s="211"/>
      <c r="B49" s="212"/>
      <c r="C49" s="216" t="s">
        <v>560</v>
      </c>
      <c r="D49" s="217">
        <v>41409.636456225133</v>
      </c>
      <c r="E49" s="217">
        <v>47263.954060459997</v>
      </c>
      <c r="F49" s="217">
        <v>45083.419049947566</v>
      </c>
      <c r="G49" s="217">
        <v>51539.450271798341</v>
      </c>
      <c r="H49" s="217">
        <v>56861.005369550876</v>
      </c>
      <c r="I49" s="217">
        <v>62629.100040020436</v>
      </c>
      <c r="J49" s="217">
        <v>65201.720176020113</v>
      </c>
      <c r="K49" s="217">
        <v>72115.975705487668</v>
      </c>
      <c r="L49" s="232">
        <v>71212.603639324545</v>
      </c>
      <c r="M49" s="232">
        <v>72643.479146459824</v>
      </c>
      <c r="N49" s="232">
        <v>112343.19279653831</v>
      </c>
      <c r="O49" s="197"/>
      <c r="P49" s="264"/>
      <c r="Q49" s="264"/>
      <c r="R49" s="264"/>
      <c r="S49" s="266"/>
      <c r="T49" s="266"/>
      <c r="U49" s="266"/>
      <c r="V49" s="266"/>
      <c r="W49" s="266"/>
      <c r="X49" s="261"/>
      <c r="Y49" s="261"/>
      <c r="Z49" s="261"/>
      <c r="AA49" s="261"/>
      <c r="AB49" s="261"/>
      <c r="AC49" s="261"/>
      <c r="AD49" s="261"/>
      <c r="AE49" s="261"/>
      <c r="AF49" s="261"/>
      <c r="AG49" s="261"/>
      <c r="AH49" s="261"/>
    </row>
    <row r="50" spans="1:34">
      <c r="A50" s="211"/>
      <c r="B50" s="212"/>
      <c r="C50" s="213" t="s">
        <v>561</v>
      </c>
      <c r="D50" s="214">
        <v>22867.645022524805</v>
      </c>
      <c r="E50" s="214">
        <v>22632.600555860001</v>
      </c>
      <c r="F50" s="214">
        <v>24130.495027436882</v>
      </c>
      <c r="G50" s="214">
        <v>24607.18552411101</v>
      </c>
      <c r="H50" s="214">
        <v>28167.939555803838</v>
      </c>
      <c r="I50" s="214">
        <v>28978.819279483669</v>
      </c>
      <c r="J50" s="214">
        <v>30069.15419250575</v>
      </c>
      <c r="K50" s="214">
        <v>30331.603767357905</v>
      </c>
      <c r="L50" s="231">
        <v>32778.402256332745</v>
      </c>
      <c r="M50" s="231">
        <v>49181.028071049761</v>
      </c>
      <c r="N50" s="231">
        <v>59340.43856305402</v>
      </c>
      <c r="O50" s="197"/>
      <c r="P50" s="264"/>
      <c r="Q50" s="264"/>
      <c r="R50" s="264"/>
      <c r="S50" s="266"/>
      <c r="T50" s="266"/>
      <c r="U50" s="266"/>
      <c r="V50" s="266"/>
      <c r="W50" s="266"/>
      <c r="X50" s="261"/>
      <c r="Y50" s="261"/>
      <c r="Z50" s="261"/>
      <c r="AA50" s="261"/>
      <c r="AB50" s="261"/>
      <c r="AC50" s="261"/>
      <c r="AD50" s="261"/>
      <c r="AE50" s="261"/>
      <c r="AF50" s="261"/>
      <c r="AG50" s="261"/>
      <c r="AH50" s="261"/>
    </row>
    <row r="51" spans="1:34">
      <c r="A51" s="211"/>
      <c r="B51" s="212"/>
      <c r="C51" s="216" t="s">
        <v>562</v>
      </c>
      <c r="D51" s="217">
        <v>388.80851539273158</v>
      </c>
      <c r="E51" s="217">
        <v>417.64200000000005</v>
      </c>
      <c r="F51" s="217">
        <v>439.52954280681161</v>
      </c>
      <c r="G51" s="217">
        <v>451.311831478258</v>
      </c>
      <c r="H51" s="217">
        <v>468.1637366537451</v>
      </c>
      <c r="I51" s="217">
        <v>493.14294710343239</v>
      </c>
      <c r="J51" s="217">
        <v>552.55169833675973</v>
      </c>
      <c r="K51" s="217">
        <v>524.84190267656561</v>
      </c>
      <c r="L51" s="232">
        <v>555.01996315848157</v>
      </c>
      <c r="M51" s="232">
        <v>755.47880157413238</v>
      </c>
      <c r="N51" s="232">
        <v>850.33302346405901</v>
      </c>
      <c r="O51" s="197"/>
      <c r="P51" s="264"/>
      <c r="Q51" s="264"/>
      <c r="R51" s="264"/>
      <c r="S51" s="266"/>
      <c r="T51" s="266"/>
      <c r="U51" s="266"/>
      <c r="V51" s="266"/>
      <c r="W51" s="266"/>
      <c r="X51" s="261"/>
      <c r="Y51" s="261"/>
      <c r="Z51" s="261"/>
      <c r="AA51" s="261"/>
      <c r="AB51" s="261"/>
      <c r="AC51" s="261"/>
      <c r="AD51" s="261"/>
      <c r="AE51" s="261"/>
      <c r="AF51" s="261"/>
      <c r="AG51" s="261"/>
      <c r="AH51" s="261"/>
    </row>
    <row r="52" spans="1:34">
      <c r="A52" s="211"/>
      <c r="B52" s="212"/>
      <c r="C52" s="213" t="s">
        <v>563</v>
      </c>
      <c r="D52" s="220">
        <v>3052.0601411136945</v>
      </c>
      <c r="E52" s="220">
        <v>3064.864</v>
      </c>
      <c r="F52" s="220">
        <v>3085.8142127823894</v>
      </c>
      <c r="G52" s="220">
        <v>3102.6770462393001</v>
      </c>
      <c r="H52" s="220">
        <v>3145.7659453915421</v>
      </c>
      <c r="I52" s="220">
        <v>3334.0266979594671</v>
      </c>
      <c r="J52" s="220">
        <v>3429.8651226983329</v>
      </c>
      <c r="K52" s="220">
        <v>3221.5424037141952</v>
      </c>
      <c r="L52" s="234">
        <v>3914.0864841745802</v>
      </c>
      <c r="M52" s="234">
        <v>4825.1342950044054</v>
      </c>
      <c r="N52" s="234">
        <v>5560.5822274183929</v>
      </c>
      <c r="O52" s="197"/>
      <c r="P52" s="264"/>
      <c r="Q52" s="264"/>
      <c r="R52" s="264"/>
      <c r="S52" s="266"/>
      <c r="T52" s="266"/>
      <c r="U52" s="266"/>
      <c r="V52" s="266"/>
      <c r="W52" s="266"/>
      <c r="X52" s="261"/>
      <c r="Y52" s="261"/>
      <c r="Z52" s="261"/>
      <c r="AA52" s="261"/>
      <c r="AB52" s="261"/>
      <c r="AC52" s="261"/>
      <c r="AD52" s="261"/>
      <c r="AE52" s="261"/>
      <c r="AF52" s="261"/>
      <c r="AG52" s="261"/>
      <c r="AH52" s="261"/>
    </row>
    <row r="53" spans="1:34">
      <c r="A53" s="211"/>
      <c r="B53" s="212"/>
      <c r="C53" s="216" t="s">
        <v>564</v>
      </c>
      <c r="D53" s="217">
        <v>39594.659450515079</v>
      </c>
      <c r="E53" s="217">
        <v>39198.880406019998</v>
      </c>
      <c r="F53" s="217">
        <v>39740.690414368939</v>
      </c>
      <c r="G53" s="217">
        <v>40429.685000903279</v>
      </c>
      <c r="H53" s="217">
        <v>41888.327255205899</v>
      </c>
      <c r="I53" s="217">
        <v>42771.29688222726</v>
      </c>
      <c r="J53" s="217">
        <v>43293.266611180086</v>
      </c>
      <c r="K53" s="217">
        <v>44245.890516030937</v>
      </c>
      <c r="L53" s="232">
        <v>44658.310615877766</v>
      </c>
      <c r="M53" s="232">
        <v>46902.261743956638</v>
      </c>
      <c r="N53" s="232">
        <v>49741.782208661549</v>
      </c>
      <c r="O53" s="197"/>
      <c r="P53" s="264"/>
      <c r="Q53" s="264"/>
      <c r="R53" s="264"/>
      <c r="S53" s="266"/>
      <c r="T53" s="266"/>
      <c r="U53" s="266"/>
      <c r="V53" s="266"/>
      <c r="W53" s="266"/>
      <c r="X53" s="261"/>
      <c r="Y53" s="261"/>
      <c r="Z53" s="261"/>
      <c r="AA53" s="261"/>
      <c r="AB53" s="261"/>
      <c r="AC53" s="261"/>
      <c r="AD53" s="261"/>
      <c r="AE53" s="261"/>
      <c r="AF53" s="261"/>
      <c r="AG53" s="261"/>
      <c r="AH53" s="261"/>
    </row>
    <row r="54" spans="1:34">
      <c r="A54" s="211"/>
      <c r="B54" s="212"/>
      <c r="C54" s="213" t="s">
        <v>565</v>
      </c>
      <c r="D54" s="214">
        <v>35394.249108840333</v>
      </c>
      <c r="E54" s="214">
        <v>35898.0521488425</v>
      </c>
      <c r="F54" s="214">
        <v>37105.050815952913</v>
      </c>
      <c r="G54" s="214">
        <v>39146.664934693748</v>
      </c>
      <c r="H54" s="214">
        <v>40152.433665024895</v>
      </c>
      <c r="I54" s="214">
        <v>43801.192355703897</v>
      </c>
      <c r="J54" s="214">
        <v>47076.792622819681</v>
      </c>
      <c r="K54" s="214">
        <v>46625.659348131492</v>
      </c>
      <c r="L54" s="231">
        <v>49217.228184609165</v>
      </c>
      <c r="M54" s="231">
        <v>53567.324388421483</v>
      </c>
      <c r="N54" s="231">
        <v>69341.348366456048</v>
      </c>
      <c r="O54" s="197"/>
      <c r="P54" s="264"/>
      <c r="Q54" s="264"/>
      <c r="R54" s="264"/>
      <c r="S54" s="266"/>
      <c r="T54" s="266"/>
      <c r="U54" s="266"/>
      <c r="V54" s="266"/>
      <c r="W54" s="266"/>
      <c r="X54" s="261"/>
      <c r="Y54" s="261"/>
      <c r="Z54" s="261"/>
      <c r="AA54" s="261"/>
      <c r="AB54" s="261"/>
      <c r="AC54" s="261"/>
      <c r="AD54" s="261"/>
      <c r="AE54" s="261"/>
      <c r="AF54" s="261"/>
      <c r="AG54" s="261"/>
      <c r="AH54" s="261"/>
    </row>
    <row r="55" spans="1:34">
      <c r="A55" s="211"/>
      <c r="B55" s="212"/>
      <c r="C55" s="216" t="s">
        <v>566</v>
      </c>
      <c r="D55" s="217">
        <v>3927.0581782057784</v>
      </c>
      <c r="E55" s="217">
        <v>4073.1009999999997</v>
      </c>
      <c r="F55" s="217">
        <v>4214.4001529724201</v>
      </c>
      <c r="G55" s="217">
        <v>4220.6409298425297</v>
      </c>
      <c r="H55" s="217">
        <v>4581.4393024161891</v>
      </c>
      <c r="I55" s="217">
        <v>4492.4704064695088</v>
      </c>
      <c r="J55" s="217">
        <v>4863.0445465128378</v>
      </c>
      <c r="K55" s="217">
        <v>6696.6269640628316</v>
      </c>
      <c r="L55" s="232">
        <v>7427.5672768093073</v>
      </c>
      <c r="M55" s="232">
        <v>5472.4880286993539</v>
      </c>
      <c r="N55" s="232">
        <v>6121.2377708114218</v>
      </c>
      <c r="O55" s="197"/>
      <c r="P55" s="264"/>
      <c r="Q55" s="264"/>
      <c r="R55" s="264"/>
      <c r="S55" s="266"/>
      <c r="T55" s="266"/>
      <c r="U55" s="266"/>
      <c r="V55" s="266"/>
      <c r="W55" s="266"/>
      <c r="X55" s="261"/>
      <c r="Y55" s="261"/>
      <c r="Z55" s="261"/>
      <c r="AA55" s="261"/>
      <c r="AB55" s="261"/>
      <c r="AC55" s="261"/>
      <c r="AD55" s="261"/>
      <c r="AE55" s="261"/>
      <c r="AF55" s="261"/>
      <c r="AG55" s="261"/>
      <c r="AH55" s="261"/>
    </row>
    <row r="56" spans="1:34">
      <c r="A56" s="211"/>
      <c r="B56" s="212"/>
      <c r="C56" s="213" t="s">
        <v>567</v>
      </c>
      <c r="D56" s="214">
        <v>289212.92746751301</v>
      </c>
      <c r="E56" s="214">
        <v>316337.71400000004</v>
      </c>
      <c r="F56" s="214">
        <v>358070.06309495168</v>
      </c>
      <c r="G56" s="214">
        <v>444734.30041053816</v>
      </c>
      <c r="H56" s="214">
        <v>394976.92920977849</v>
      </c>
      <c r="I56" s="214">
        <v>549707.62435022881</v>
      </c>
      <c r="J56" s="214">
        <v>691819.34926225233</v>
      </c>
      <c r="K56" s="214">
        <v>557213.6617045569</v>
      </c>
      <c r="L56" s="231">
        <v>809715.89780494373</v>
      </c>
      <c r="M56" s="231">
        <v>895295.74308720406</v>
      </c>
      <c r="N56" s="231">
        <v>939948.405038408</v>
      </c>
      <c r="O56" s="197"/>
      <c r="P56" s="264"/>
      <c r="Q56" s="264"/>
      <c r="R56" s="264"/>
      <c r="S56" s="266"/>
      <c r="T56" s="266"/>
      <c r="U56" s="266"/>
      <c r="V56" s="266"/>
      <c r="W56" s="266"/>
      <c r="X56" s="261"/>
      <c r="Y56" s="261"/>
      <c r="Z56" s="261"/>
      <c r="AA56" s="261"/>
      <c r="AB56" s="261"/>
      <c r="AC56" s="261"/>
      <c r="AD56" s="261"/>
      <c r="AE56" s="261"/>
      <c r="AF56" s="261"/>
      <c r="AG56" s="261"/>
      <c r="AH56" s="261"/>
    </row>
    <row r="57" spans="1:34">
      <c r="A57" s="211"/>
      <c r="B57" s="212"/>
      <c r="C57" s="216" t="s">
        <v>568</v>
      </c>
      <c r="D57" s="217">
        <v>18734.179759554805</v>
      </c>
      <c r="E57" s="217">
        <v>17642.219520694962</v>
      </c>
      <c r="F57" s="217">
        <v>19768.718547861183</v>
      </c>
      <c r="G57" s="217">
        <v>20510.922256654674</v>
      </c>
      <c r="H57" s="217">
        <v>21079.480092006463</v>
      </c>
      <c r="I57" s="217">
        <v>20248.104467075849</v>
      </c>
      <c r="J57" s="217">
        <v>24971.707315537536</v>
      </c>
      <c r="K57" s="217">
        <v>26196.778272462125</v>
      </c>
      <c r="L57" s="232">
        <v>27001.301257664465</v>
      </c>
      <c r="M57" s="232">
        <v>26850.626159261828</v>
      </c>
      <c r="N57" s="232">
        <v>26882.143716087405</v>
      </c>
      <c r="O57" s="197"/>
      <c r="P57" s="264"/>
      <c r="Q57" s="264"/>
      <c r="R57" s="264"/>
      <c r="S57" s="266"/>
      <c r="T57" s="266"/>
      <c r="U57" s="266"/>
      <c r="V57" s="266"/>
      <c r="W57" s="266"/>
      <c r="X57" s="261"/>
      <c r="Y57" s="261"/>
      <c r="Z57" s="261"/>
      <c r="AA57" s="261"/>
      <c r="AB57" s="261"/>
      <c r="AC57" s="261"/>
      <c r="AD57" s="261"/>
      <c r="AE57" s="261"/>
      <c r="AF57" s="261"/>
      <c r="AG57" s="261"/>
      <c r="AH57" s="261"/>
    </row>
    <row r="58" spans="1:34">
      <c r="A58" s="211"/>
      <c r="B58" s="212"/>
      <c r="C58" s="213" t="s">
        <v>569</v>
      </c>
      <c r="D58" s="214">
        <v>221.30578278455752</v>
      </c>
      <c r="E58" s="214">
        <v>253.73900000000003</v>
      </c>
      <c r="F58" s="214">
        <v>361.04969485914773</v>
      </c>
      <c r="G58" s="214">
        <v>413.81023639647776</v>
      </c>
      <c r="H58" s="214">
        <v>556.72182798195763</v>
      </c>
      <c r="I58" s="214">
        <v>549.75976487681623</v>
      </c>
      <c r="J58" s="214">
        <v>566.77287687240914</v>
      </c>
      <c r="K58" s="214">
        <v>584.32521491497835</v>
      </c>
      <c r="L58" s="231">
        <v>610.49851255483236</v>
      </c>
      <c r="M58" s="231">
        <v>825.93868988888562</v>
      </c>
      <c r="N58" s="231">
        <v>921.43723828131863</v>
      </c>
      <c r="O58" s="197"/>
      <c r="P58" s="264"/>
      <c r="Q58" s="264"/>
      <c r="R58" s="264"/>
      <c r="S58" s="266"/>
      <c r="T58" s="266"/>
      <c r="U58" s="266"/>
      <c r="V58" s="266"/>
      <c r="W58" s="266"/>
      <c r="X58" s="261"/>
      <c r="Y58" s="261"/>
      <c r="Z58" s="261"/>
      <c r="AA58" s="261"/>
      <c r="AB58" s="261"/>
      <c r="AC58" s="261"/>
      <c r="AD58" s="261"/>
      <c r="AE58" s="261"/>
      <c r="AF58" s="261"/>
      <c r="AG58" s="261"/>
      <c r="AH58" s="261"/>
    </row>
    <row r="59" spans="1:34">
      <c r="A59" s="211"/>
      <c r="B59" s="212"/>
      <c r="C59" s="216" t="s">
        <v>570</v>
      </c>
      <c r="D59" s="217">
        <v>322.00173693773297</v>
      </c>
      <c r="E59" s="217">
        <v>424.91</v>
      </c>
      <c r="F59" s="217">
        <v>565.69520251789447</v>
      </c>
      <c r="G59" s="217">
        <v>683.58526103792587</v>
      </c>
      <c r="H59" s="217">
        <v>816.03336738020471</v>
      </c>
      <c r="I59" s="217">
        <v>866.941643717028</v>
      </c>
      <c r="J59" s="217">
        <v>897.41204545530968</v>
      </c>
      <c r="K59" s="217">
        <v>903.3841728865076</v>
      </c>
      <c r="L59" s="232">
        <v>1156.6205343659735</v>
      </c>
      <c r="M59" s="232">
        <v>1310.9772941202475</v>
      </c>
      <c r="N59" s="232">
        <v>1366.7507839499165</v>
      </c>
      <c r="O59" s="197"/>
      <c r="P59" s="264"/>
      <c r="Q59" s="264"/>
      <c r="R59" s="264"/>
      <c r="S59" s="266"/>
      <c r="T59" s="266"/>
      <c r="U59" s="266"/>
      <c r="V59" s="266"/>
      <c r="W59" s="266"/>
      <c r="X59" s="261"/>
      <c r="Y59" s="261"/>
      <c r="Z59" s="261"/>
      <c r="AA59" s="261"/>
      <c r="AB59" s="261"/>
      <c r="AC59" s="261"/>
      <c r="AD59" s="261"/>
      <c r="AE59" s="261"/>
      <c r="AF59" s="261"/>
      <c r="AG59" s="261"/>
      <c r="AH59" s="261"/>
    </row>
    <row r="60" spans="1:34">
      <c r="A60" s="211"/>
      <c r="B60" s="212"/>
      <c r="C60" s="213" t="s">
        <v>571</v>
      </c>
      <c r="D60" s="214">
        <v>195.04339247014909</v>
      </c>
      <c r="E60" s="214">
        <v>224.87850623606082</v>
      </c>
      <c r="F60" s="214">
        <v>216.28805013009713</v>
      </c>
      <c r="G60" s="214">
        <v>285.576312959304</v>
      </c>
      <c r="H60" s="214">
        <v>292.98404491282872</v>
      </c>
      <c r="I60" s="214">
        <v>329.23739889398655</v>
      </c>
      <c r="J60" s="214">
        <v>344.78843198775371</v>
      </c>
      <c r="K60" s="214">
        <v>301.26637647964839</v>
      </c>
      <c r="L60" s="231">
        <v>364.71618080212392</v>
      </c>
      <c r="M60" s="231">
        <v>478.39941680109177</v>
      </c>
      <c r="N60" s="231">
        <v>563.84278088606368</v>
      </c>
      <c r="O60" s="197"/>
      <c r="P60" s="264"/>
      <c r="Q60" s="264"/>
      <c r="R60" s="264"/>
      <c r="S60" s="266"/>
      <c r="T60" s="266"/>
      <c r="U60" s="266"/>
      <c r="V60" s="266"/>
      <c r="W60" s="266"/>
      <c r="X60" s="261"/>
      <c r="Y60" s="261"/>
      <c r="Z60" s="261"/>
      <c r="AA60" s="261"/>
      <c r="AB60" s="261"/>
      <c r="AC60" s="261"/>
      <c r="AD60" s="261"/>
      <c r="AE60" s="261"/>
      <c r="AF60" s="261"/>
      <c r="AG60" s="261"/>
      <c r="AH60" s="261"/>
    </row>
    <row r="61" spans="1:34">
      <c r="A61" s="211"/>
      <c r="B61" s="212"/>
      <c r="C61" s="216" t="s">
        <v>572</v>
      </c>
      <c r="D61" s="217">
        <v>53.177918212894745</v>
      </c>
      <c r="E61" s="217">
        <v>51.315372160000003</v>
      </c>
      <c r="F61" s="217">
        <v>53.539309219428944</v>
      </c>
      <c r="G61" s="217">
        <v>52.820159346280263</v>
      </c>
      <c r="H61" s="217">
        <v>56.670853800987764</v>
      </c>
      <c r="I61" s="217">
        <v>57.44018806961413</v>
      </c>
      <c r="J61" s="217">
        <v>63.194342953733695</v>
      </c>
      <c r="K61" s="217">
        <v>64.13206693521046</v>
      </c>
      <c r="L61" s="232">
        <v>60.297816155921169</v>
      </c>
      <c r="M61" s="232">
        <v>71.642051740001648</v>
      </c>
      <c r="N61" s="232">
        <v>96.694664949105658</v>
      </c>
      <c r="O61" s="197"/>
      <c r="P61" s="264"/>
      <c r="Q61" s="264"/>
      <c r="R61" s="264"/>
      <c r="S61" s="266"/>
      <c r="T61" s="266"/>
      <c r="U61" s="266"/>
      <c r="V61" s="266"/>
      <c r="W61" s="266"/>
      <c r="X61" s="261"/>
      <c r="Y61" s="261"/>
      <c r="Z61" s="261"/>
      <c r="AA61" s="261"/>
      <c r="AB61" s="261"/>
      <c r="AC61" s="261"/>
      <c r="AD61" s="261"/>
      <c r="AE61" s="261"/>
      <c r="AF61" s="261"/>
      <c r="AG61" s="261"/>
      <c r="AH61" s="261"/>
    </row>
    <row r="62" spans="1:34">
      <c r="A62" s="211"/>
      <c r="B62" s="212"/>
      <c r="C62" s="212" t="s">
        <v>573</v>
      </c>
      <c r="D62" s="220">
        <v>7795.5374532577907</v>
      </c>
      <c r="E62" s="220">
        <v>7815.8430000000008</v>
      </c>
      <c r="F62" s="220">
        <v>8162.3641897633988</v>
      </c>
      <c r="G62" s="220">
        <v>8339.5182405540472</v>
      </c>
      <c r="H62" s="220">
        <v>9040.9909292568445</v>
      </c>
      <c r="I62" s="220">
        <v>10026.609841847823</v>
      </c>
      <c r="J62" s="220">
        <v>10244.853375687122</v>
      </c>
      <c r="K62" s="220">
        <v>10510.168308805822</v>
      </c>
      <c r="L62" s="234">
        <v>11595.489745773619</v>
      </c>
      <c r="M62" s="234">
        <v>13421.006791294105</v>
      </c>
      <c r="N62" s="234">
        <v>16674.949552198399</v>
      </c>
      <c r="O62" s="197"/>
      <c r="P62" s="264"/>
      <c r="Q62" s="264"/>
      <c r="R62" s="264"/>
      <c r="S62" s="266"/>
      <c r="T62" s="266"/>
      <c r="U62" s="266"/>
      <c r="V62" s="266"/>
      <c r="W62" s="266"/>
      <c r="X62" s="261"/>
      <c r="Y62" s="261"/>
      <c r="Z62" s="261"/>
      <c r="AA62" s="261"/>
      <c r="AB62" s="261"/>
      <c r="AC62" s="261"/>
      <c r="AD62" s="261"/>
      <c r="AE62" s="261"/>
      <c r="AF62" s="261"/>
      <c r="AG62" s="261"/>
      <c r="AH62" s="261"/>
    </row>
    <row r="63" spans="1:34">
      <c r="A63" s="211"/>
      <c r="B63" s="212"/>
      <c r="C63" s="216" t="s">
        <v>574</v>
      </c>
      <c r="D63" s="222">
        <v>5857.7988598385991</v>
      </c>
      <c r="E63" s="222">
        <v>5852.81</v>
      </c>
      <c r="F63" s="222">
        <v>5576.949998932404</v>
      </c>
      <c r="G63" s="222">
        <v>5200.7300333033763</v>
      </c>
      <c r="H63" s="222">
        <v>5637.4755009319433</v>
      </c>
      <c r="I63" s="222">
        <v>7200.5297797881258</v>
      </c>
      <c r="J63" s="222">
        <v>7345.3205451169797</v>
      </c>
      <c r="K63" s="222">
        <v>8995.4376087557048</v>
      </c>
      <c r="L63" s="235">
        <v>10159.010902325199</v>
      </c>
      <c r="M63" s="235">
        <v>11555.14219131688</v>
      </c>
      <c r="N63" s="235">
        <v>14578.217691520507</v>
      </c>
      <c r="O63" s="197"/>
      <c r="P63" s="264"/>
      <c r="Q63" s="264"/>
      <c r="R63" s="264"/>
      <c r="S63" s="266"/>
      <c r="T63" s="266"/>
      <c r="U63" s="266"/>
      <c r="V63" s="266"/>
      <c r="W63" s="266"/>
      <c r="X63" s="261"/>
      <c r="Y63" s="261"/>
      <c r="Z63" s="261"/>
      <c r="AA63" s="261"/>
      <c r="AB63" s="261"/>
      <c r="AC63" s="261"/>
      <c r="AD63" s="261"/>
      <c r="AE63" s="261"/>
      <c r="AF63" s="261"/>
      <c r="AG63" s="261"/>
      <c r="AH63" s="261"/>
    </row>
    <row r="64" spans="1:34">
      <c r="A64" s="211"/>
      <c r="B64" s="212"/>
      <c r="C64" s="212" t="s">
        <v>575</v>
      </c>
      <c r="D64" s="220">
        <v>47295.241876738095</v>
      </c>
      <c r="E64" s="220">
        <v>49528.806708892946</v>
      </c>
      <c r="F64" s="220">
        <v>54899.738908476334</v>
      </c>
      <c r="G64" s="220">
        <v>55326.698274796625</v>
      </c>
      <c r="H64" s="220">
        <v>56116.553413399117</v>
      </c>
      <c r="I64" s="220">
        <v>60996.559270190286</v>
      </c>
      <c r="J64" s="220">
        <v>64210.024580612378</v>
      </c>
      <c r="K64" s="220">
        <v>56889.037100000009</v>
      </c>
      <c r="L64" s="234">
        <v>51190.04638696053</v>
      </c>
      <c r="M64" s="234">
        <v>63681.290957787016</v>
      </c>
      <c r="N64" s="234">
        <v>77842.854748789177</v>
      </c>
      <c r="O64" s="197"/>
      <c r="P64" s="264"/>
      <c r="Q64" s="264"/>
      <c r="R64" s="264"/>
      <c r="S64" s="266"/>
      <c r="T64" s="266"/>
      <c r="U64" s="266"/>
      <c r="V64" s="266"/>
      <c r="W64" s="266"/>
      <c r="X64" s="261"/>
      <c r="Y64" s="261"/>
      <c r="Z64" s="261"/>
      <c r="AA64" s="261"/>
      <c r="AB64" s="261"/>
      <c r="AC64" s="261"/>
      <c r="AD64" s="261"/>
      <c r="AE64" s="261"/>
      <c r="AF64" s="261"/>
      <c r="AG64" s="261"/>
      <c r="AH64" s="261"/>
    </row>
    <row r="65" spans="1:34">
      <c r="A65" s="211"/>
      <c r="B65" s="212"/>
      <c r="C65" s="216" t="s">
        <v>576</v>
      </c>
      <c r="D65" s="222">
        <v>32275.684561923954</v>
      </c>
      <c r="E65" s="222">
        <v>39940.265089509994</v>
      </c>
      <c r="F65" s="222">
        <v>37023.577966958313</v>
      </c>
      <c r="G65" s="222">
        <v>36895.890377513526</v>
      </c>
      <c r="H65" s="222">
        <v>41550.91046377048</v>
      </c>
      <c r="I65" s="222">
        <v>42743.904295182037</v>
      </c>
      <c r="J65" s="222">
        <v>47039.476197063334</v>
      </c>
      <c r="K65" s="222">
        <v>49925.154935521256</v>
      </c>
      <c r="L65" s="235">
        <v>53087.237633951852</v>
      </c>
      <c r="M65" s="235">
        <v>77831.825622937016</v>
      </c>
      <c r="N65" s="235">
        <v>101236.31045295653</v>
      </c>
      <c r="O65" s="197"/>
      <c r="P65" s="264"/>
      <c r="Q65" s="264"/>
      <c r="R65" s="264"/>
      <c r="S65" s="266"/>
      <c r="T65" s="266"/>
      <c r="U65" s="266"/>
      <c r="V65" s="266"/>
      <c r="W65" s="266"/>
      <c r="X65" s="261"/>
      <c r="Y65" s="261"/>
      <c r="Z65" s="261"/>
      <c r="AA65" s="261"/>
      <c r="AB65" s="261"/>
      <c r="AC65" s="261"/>
      <c r="AD65" s="261"/>
      <c r="AE65" s="261"/>
      <c r="AF65" s="261"/>
      <c r="AG65" s="261"/>
      <c r="AH65" s="261"/>
    </row>
    <row r="66" spans="1:34">
      <c r="A66" s="211"/>
      <c r="B66" s="212"/>
      <c r="C66" s="212" t="s">
        <v>577</v>
      </c>
      <c r="D66" s="220">
        <v>2308.8556822869818</v>
      </c>
      <c r="E66" s="220">
        <v>2383.83329499</v>
      </c>
      <c r="F66" s="220">
        <v>2323.8996191380575</v>
      </c>
      <c r="G66" s="220">
        <v>2347.812603068764</v>
      </c>
      <c r="H66" s="220">
        <v>2615.5627385311641</v>
      </c>
      <c r="I66" s="220">
        <v>2754.7827293259243</v>
      </c>
      <c r="J66" s="220">
        <v>2628.0452116817837</v>
      </c>
      <c r="K66" s="220">
        <v>2963.3699882655214</v>
      </c>
      <c r="L66" s="234">
        <v>2908.411215471931</v>
      </c>
      <c r="M66" s="234">
        <v>3135.0715339344188</v>
      </c>
      <c r="N66" s="234">
        <v>3339.4320590908201</v>
      </c>
      <c r="O66" s="197"/>
      <c r="P66" s="264"/>
      <c r="Q66" s="264"/>
      <c r="R66" s="264"/>
      <c r="S66" s="266"/>
      <c r="T66" s="266"/>
      <c r="U66" s="266"/>
      <c r="V66" s="266"/>
      <c r="W66" s="266"/>
      <c r="X66" s="261"/>
      <c r="Y66" s="261"/>
      <c r="Z66" s="261"/>
      <c r="AA66" s="261"/>
      <c r="AB66" s="261"/>
      <c r="AC66" s="261"/>
      <c r="AD66" s="261"/>
      <c r="AE66" s="261"/>
      <c r="AF66" s="261"/>
      <c r="AG66" s="261"/>
      <c r="AH66" s="261"/>
    </row>
    <row r="67" spans="1:34">
      <c r="A67" s="211"/>
      <c r="B67" s="212"/>
      <c r="C67" s="216" t="s">
        <v>578</v>
      </c>
      <c r="D67" s="222">
        <v>9308.5079930659795</v>
      </c>
      <c r="E67" s="222">
        <v>10337.036002949999</v>
      </c>
      <c r="F67" s="222">
        <v>10464.037309949532</v>
      </c>
      <c r="G67" s="222">
        <v>13747.929604983428</v>
      </c>
      <c r="H67" s="222">
        <v>15063.989027858695</v>
      </c>
      <c r="I67" s="222">
        <v>16028.272716869324</v>
      </c>
      <c r="J67" s="222">
        <v>16896.592241219147</v>
      </c>
      <c r="K67" s="222">
        <v>16471.348712417064</v>
      </c>
      <c r="L67" s="235">
        <v>16061.952805037739</v>
      </c>
      <c r="M67" s="235">
        <v>15100.942541794897</v>
      </c>
      <c r="N67" s="235">
        <v>21991.715832681246</v>
      </c>
      <c r="O67" s="197"/>
      <c r="P67" s="264"/>
      <c r="Q67" s="264"/>
      <c r="R67" s="264"/>
      <c r="S67" s="266"/>
      <c r="T67" s="266"/>
      <c r="U67" s="266"/>
      <c r="V67" s="266"/>
      <c r="W67" s="266"/>
      <c r="X67" s="261"/>
      <c r="Y67" s="261"/>
      <c r="Z67" s="261"/>
      <c r="AA67" s="261"/>
      <c r="AB67" s="261"/>
      <c r="AC67" s="261"/>
      <c r="AD67" s="261"/>
      <c r="AE67" s="261"/>
      <c r="AF67" s="261"/>
      <c r="AG67" s="261"/>
      <c r="AH67" s="261"/>
    </row>
    <row r="68" spans="1:34">
      <c r="A68" s="211"/>
      <c r="B68" s="212"/>
      <c r="C68" s="212" t="s">
        <v>579</v>
      </c>
      <c r="D68" s="220">
        <v>749.93450049110584</v>
      </c>
      <c r="E68" s="220">
        <v>889.46284930000013</v>
      </c>
      <c r="F68" s="220">
        <v>911.78601012449133</v>
      </c>
      <c r="G68" s="220">
        <v>928.19697274571058</v>
      </c>
      <c r="H68" s="220">
        <v>1069.0554104098549</v>
      </c>
      <c r="I68" s="220">
        <v>1528.4026042495309</v>
      </c>
      <c r="J68" s="220">
        <v>1665.5133596140824</v>
      </c>
      <c r="K68" s="220">
        <v>1581.8111460974342</v>
      </c>
      <c r="L68" s="234">
        <v>1671.8343690112154</v>
      </c>
      <c r="M68" s="234">
        <v>1729.874415750299</v>
      </c>
      <c r="N68" s="234">
        <v>1909.0240862415108</v>
      </c>
      <c r="O68" s="197"/>
      <c r="P68" s="264"/>
      <c r="Q68" s="264"/>
      <c r="R68" s="264"/>
      <c r="S68" s="266"/>
      <c r="T68" s="266"/>
      <c r="U68" s="266"/>
      <c r="V68" s="266"/>
      <c r="W68" s="266"/>
      <c r="X68" s="261"/>
      <c r="Y68" s="261"/>
      <c r="Z68" s="261"/>
      <c r="AA68" s="261"/>
      <c r="AB68" s="261"/>
      <c r="AC68" s="261"/>
      <c r="AD68" s="261"/>
      <c r="AE68" s="261"/>
      <c r="AF68" s="261"/>
      <c r="AG68" s="261"/>
      <c r="AH68" s="261"/>
    </row>
    <row r="69" spans="1:34">
      <c r="A69" s="211"/>
      <c r="B69" s="212"/>
      <c r="C69" s="216" t="s">
        <v>580</v>
      </c>
      <c r="D69" s="222">
        <v>370.14265095390493</v>
      </c>
      <c r="E69" s="222">
        <v>361.37584000000004</v>
      </c>
      <c r="F69" s="222">
        <v>402.64618287858542</v>
      </c>
      <c r="G69" s="222">
        <v>412.5168183140155</v>
      </c>
      <c r="H69" s="222">
        <v>442.67249001162128</v>
      </c>
      <c r="I69" s="222">
        <v>478.20518707465567</v>
      </c>
      <c r="J69" s="222">
        <v>460.64000101042922</v>
      </c>
      <c r="K69" s="222">
        <v>580.85909890901462</v>
      </c>
      <c r="L69" s="235">
        <v>623.7538363297208</v>
      </c>
      <c r="M69" s="235">
        <v>656.27190581810748</v>
      </c>
      <c r="N69" s="235">
        <v>647.03924672932533</v>
      </c>
      <c r="O69" s="197"/>
      <c r="P69" s="264"/>
      <c r="Q69" s="264"/>
      <c r="R69" s="264"/>
      <c r="S69" s="266"/>
      <c r="T69" s="266"/>
      <c r="U69" s="266"/>
      <c r="V69" s="266"/>
      <c r="W69" s="266"/>
      <c r="X69" s="261"/>
      <c r="Y69" s="261"/>
      <c r="Z69" s="261"/>
      <c r="AA69" s="261"/>
      <c r="AB69" s="261"/>
      <c r="AC69" s="261"/>
      <c r="AD69" s="261"/>
      <c r="AE69" s="261"/>
      <c r="AF69" s="261"/>
      <c r="AG69" s="261"/>
      <c r="AH69" s="261"/>
    </row>
    <row r="70" spans="1:34">
      <c r="A70" s="211"/>
      <c r="B70" s="212"/>
      <c r="C70" s="212" t="s">
        <v>581</v>
      </c>
      <c r="D70" s="221">
        <v>9559.5974970656825</v>
      </c>
      <c r="E70" s="220">
        <v>9999.81</v>
      </c>
      <c r="F70" s="220">
        <v>8985.10914206493</v>
      </c>
      <c r="G70" s="220">
        <v>10359.655163063489</v>
      </c>
      <c r="H70" s="220">
        <v>10858.255963530615</v>
      </c>
      <c r="I70" s="220">
        <v>10807.746741093832</v>
      </c>
      <c r="J70" s="220">
        <v>10647.167549789543</v>
      </c>
      <c r="K70" s="220">
        <v>11577.175185692429</v>
      </c>
      <c r="L70" s="234">
        <v>13831.108353782036</v>
      </c>
      <c r="M70" s="234">
        <v>14597.431833709672</v>
      </c>
      <c r="N70" s="234">
        <v>15957.650318529579</v>
      </c>
      <c r="O70" s="197"/>
      <c r="P70" s="264"/>
      <c r="Q70" s="264"/>
      <c r="R70" s="264"/>
      <c r="S70" s="266"/>
      <c r="T70" s="266"/>
      <c r="U70" s="266"/>
      <c r="V70" s="266"/>
      <c r="W70" s="266"/>
      <c r="X70" s="261"/>
      <c r="Y70" s="261"/>
      <c r="Z70" s="261"/>
      <c r="AA70" s="261"/>
      <c r="AB70" s="261"/>
      <c r="AC70" s="261"/>
      <c r="AD70" s="261"/>
      <c r="AE70" s="261"/>
      <c r="AF70" s="261"/>
      <c r="AG70" s="261"/>
      <c r="AH70" s="261"/>
    </row>
    <row r="71" spans="1:34">
      <c r="A71" s="211"/>
      <c r="B71" s="212"/>
      <c r="C71" s="216" t="s">
        <v>582</v>
      </c>
      <c r="D71" s="218">
        <v>43497.68893755407</v>
      </c>
      <c r="E71" s="218">
        <v>43045</v>
      </c>
      <c r="F71" s="218">
        <v>42287.954186023606</v>
      </c>
      <c r="G71" s="218">
        <v>43111.79973417268</v>
      </c>
      <c r="H71" s="218">
        <v>44186.798677494553</v>
      </c>
      <c r="I71" s="218">
        <v>48318.404363036898</v>
      </c>
      <c r="J71" s="218">
        <v>49639.541355712121</v>
      </c>
      <c r="K71" s="218">
        <v>68271.686148858498</v>
      </c>
      <c r="L71" s="218">
        <v>71712.914955596643</v>
      </c>
      <c r="M71" s="218">
        <v>81916.24829929047</v>
      </c>
      <c r="N71" s="218">
        <v>106386.6756998271</v>
      </c>
      <c r="O71" s="197"/>
      <c r="P71" s="264"/>
      <c r="Q71" s="264"/>
      <c r="R71" s="264"/>
      <c r="S71" s="266"/>
      <c r="T71" s="266"/>
      <c r="U71" s="266"/>
      <c r="V71" s="266"/>
      <c r="W71" s="266"/>
      <c r="X71" s="261"/>
      <c r="Y71" s="261"/>
      <c r="Z71" s="261"/>
      <c r="AA71" s="261"/>
      <c r="AB71" s="261"/>
      <c r="AC71" s="261"/>
      <c r="AD71" s="261"/>
      <c r="AE71" s="261"/>
      <c r="AF71" s="261"/>
      <c r="AG71" s="261"/>
      <c r="AH71" s="261"/>
    </row>
    <row r="72" spans="1:34">
      <c r="A72" s="211"/>
      <c r="B72" s="212"/>
      <c r="C72" s="212" t="s">
        <v>583</v>
      </c>
      <c r="D72" s="225">
        <v>32059.058454447877</v>
      </c>
      <c r="E72" s="225">
        <v>32522.058059972449</v>
      </c>
      <c r="F72" s="225">
        <v>35330.390353364019</v>
      </c>
      <c r="G72" s="225">
        <v>39433.878092458668</v>
      </c>
      <c r="H72" s="225">
        <v>48847.668595240692</v>
      </c>
      <c r="I72" s="225">
        <v>50239.712861395004</v>
      </c>
      <c r="J72" s="225">
        <v>51384.769804086282</v>
      </c>
      <c r="K72" s="225">
        <v>49417.722904517803</v>
      </c>
      <c r="L72" s="233">
        <v>44084.641690421566</v>
      </c>
      <c r="M72" s="233">
        <v>50893.649978317233</v>
      </c>
      <c r="N72" s="233">
        <v>73331.114364932873</v>
      </c>
      <c r="O72" s="197"/>
      <c r="P72" s="264"/>
      <c r="Q72" s="264"/>
      <c r="R72" s="264"/>
      <c r="S72" s="266"/>
      <c r="T72" s="266"/>
      <c r="U72" s="266"/>
      <c r="V72" s="266"/>
      <c r="W72" s="266"/>
      <c r="X72" s="261"/>
      <c r="Y72" s="261"/>
      <c r="Z72" s="261"/>
      <c r="AA72" s="261"/>
      <c r="AB72" s="261"/>
      <c r="AC72" s="261"/>
      <c r="AD72" s="261"/>
      <c r="AE72" s="261"/>
      <c r="AF72" s="261"/>
      <c r="AG72" s="261"/>
      <c r="AH72" s="261"/>
    </row>
    <row r="73" spans="1:34">
      <c r="A73" s="211"/>
      <c r="B73" s="212"/>
      <c r="C73" s="216" t="s">
        <v>584</v>
      </c>
      <c r="D73" s="217">
        <v>40165.796029956859</v>
      </c>
      <c r="E73" s="217">
        <v>38940.359641489995</v>
      </c>
      <c r="F73" s="217">
        <v>40788.221714646868</v>
      </c>
      <c r="G73" s="217">
        <v>41650.615116297915</v>
      </c>
      <c r="H73" s="217">
        <v>42702.201964449821</v>
      </c>
      <c r="I73" s="217">
        <v>43026.544831527455</v>
      </c>
      <c r="J73" s="217">
        <v>43573.515211847684</v>
      </c>
      <c r="K73" s="217">
        <v>46083.852365989165</v>
      </c>
      <c r="L73" s="232">
        <v>48007.918818871993</v>
      </c>
      <c r="M73" s="232">
        <v>48423.67424008737</v>
      </c>
      <c r="N73" s="232">
        <v>49261.29440316774</v>
      </c>
      <c r="O73" s="197"/>
      <c r="P73" s="264"/>
      <c r="Q73" s="264"/>
      <c r="R73" s="264"/>
      <c r="S73" s="266"/>
      <c r="T73" s="266"/>
      <c r="U73" s="266"/>
      <c r="V73" s="266"/>
      <c r="W73" s="266"/>
      <c r="X73" s="261"/>
      <c r="Y73" s="261"/>
      <c r="Z73" s="261"/>
      <c r="AA73" s="261"/>
      <c r="AB73" s="261"/>
      <c r="AC73" s="261"/>
      <c r="AD73" s="261"/>
      <c r="AE73" s="261"/>
      <c r="AF73" s="261"/>
      <c r="AG73" s="261"/>
      <c r="AH73" s="261"/>
    </row>
    <row r="74" spans="1:34">
      <c r="A74" s="211"/>
      <c r="B74" s="212"/>
      <c r="C74" s="212" t="s">
        <v>585</v>
      </c>
      <c r="D74" s="225">
        <v>660020.64379159966</v>
      </c>
      <c r="E74" s="225">
        <v>641253</v>
      </c>
      <c r="F74" s="225">
        <v>651245.92607223475</v>
      </c>
      <c r="G74" s="225">
        <v>626409.18743768695</v>
      </c>
      <c r="H74" s="225">
        <v>640086.90321532963</v>
      </c>
      <c r="I74" s="225">
        <v>699062.38700116449</v>
      </c>
      <c r="J74" s="225">
        <v>704413.50550821039</v>
      </c>
      <c r="K74" s="225">
        <v>734748.93230442016</v>
      </c>
      <c r="L74" s="233">
        <v>703361.63228831417</v>
      </c>
      <c r="M74" s="233">
        <v>703901.79761718004</v>
      </c>
      <c r="N74" s="233">
        <v>754684.13542485982</v>
      </c>
      <c r="O74" s="197"/>
      <c r="P74" s="264"/>
      <c r="Q74" s="264"/>
      <c r="R74" s="264"/>
      <c r="S74" s="266"/>
      <c r="T74" s="266"/>
      <c r="U74" s="266"/>
      <c r="V74" s="266"/>
      <c r="W74" s="266"/>
      <c r="X74" s="261"/>
      <c r="Y74" s="261"/>
      <c r="Z74" s="261"/>
      <c r="AA74" s="261"/>
      <c r="AB74" s="261"/>
      <c r="AC74" s="261"/>
      <c r="AD74" s="261"/>
      <c r="AE74" s="261"/>
      <c r="AF74" s="261"/>
      <c r="AG74" s="261"/>
      <c r="AH74" s="261"/>
    </row>
    <row r="75" spans="1:34">
      <c r="A75" s="196"/>
      <c r="B75" s="212"/>
      <c r="C75" s="213"/>
      <c r="D75" s="214" t="e">
        <v>#REF!</v>
      </c>
      <c r="E75" s="214" t="e">
        <v>#REF!</v>
      </c>
      <c r="F75" s="214" t="e">
        <v>#REF!</v>
      </c>
      <c r="G75" s="214" t="e">
        <v>#REF!</v>
      </c>
      <c r="H75" s="214" t="e">
        <v>#REF!</v>
      </c>
      <c r="I75" s="214" t="e">
        <v>#REF!</v>
      </c>
      <c r="J75" s="214"/>
      <c r="K75" s="214"/>
      <c r="L75" s="227"/>
      <c r="M75" s="227"/>
      <c r="N75" s="227"/>
      <c r="O75" s="197"/>
      <c r="P75" s="266"/>
      <c r="Q75" s="261"/>
      <c r="R75" s="261"/>
      <c r="S75" s="261"/>
      <c r="T75" s="261"/>
      <c r="U75" s="261"/>
      <c r="V75" s="261"/>
      <c r="W75" s="261"/>
      <c r="X75" s="261"/>
      <c r="Y75" s="261"/>
      <c r="Z75" s="261"/>
      <c r="AA75" s="261"/>
      <c r="AB75" s="261"/>
      <c r="AC75" s="261"/>
      <c r="AD75" s="261"/>
      <c r="AE75" s="261"/>
      <c r="AF75" s="261"/>
      <c r="AG75" s="261"/>
      <c r="AH75" s="261"/>
    </row>
    <row r="76" spans="1:34">
      <c r="A76" s="185"/>
      <c r="B76" s="236"/>
      <c r="C76" s="236"/>
      <c r="D76" s="236"/>
      <c r="E76" s="236"/>
      <c r="F76" s="236"/>
      <c r="G76" s="236"/>
      <c r="H76" s="236"/>
      <c r="I76" s="236"/>
      <c r="J76" s="236"/>
      <c r="K76" s="236"/>
      <c r="L76" s="237"/>
      <c r="M76" s="237"/>
      <c r="N76" s="237"/>
      <c r="O76" s="185"/>
      <c r="P76" s="188"/>
      <c r="Q76" s="188"/>
      <c r="R76" s="188"/>
      <c r="S76" s="188"/>
      <c r="T76" s="188"/>
      <c r="U76" s="188"/>
      <c r="V76" s="188"/>
      <c r="W76" s="188"/>
      <c r="X76" s="188"/>
      <c r="Y76" s="188"/>
      <c r="Z76" s="188"/>
      <c r="AA76" s="188"/>
      <c r="AB76" s="188"/>
      <c r="AC76" s="188"/>
      <c r="AD76" s="188"/>
      <c r="AE76" s="188"/>
      <c r="AF76" s="188"/>
      <c r="AG76" s="188"/>
      <c r="AH76" s="188"/>
    </row>
    <row r="77" spans="1:34">
      <c r="A77" s="188"/>
      <c r="B77" s="189"/>
      <c r="C77" s="189"/>
      <c r="D77" s="189"/>
      <c r="E77" s="189"/>
      <c r="F77" s="189"/>
      <c r="G77" s="189"/>
      <c r="H77" s="189"/>
      <c r="I77" s="189"/>
      <c r="J77" s="189"/>
      <c r="K77" s="189"/>
      <c r="L77" s="190"/>
      <c r="M77" s="190"/>
      <c r="N77" s="190"/>
      <c r="O77" s="189"/>
      <c r="P77" s="188"/>
      <c r="Q77" s="188"/>
      <c r="R77" s="188"/>
      <c r="S77" s="188"/>
      <c r="T77" s="188"/>
      <c r="U77" s="188"/>
      <c r="V77" s="188"/>
      <c r="W77" s="188"/>
      <c r="X77" s="188"/>
      <c r="Y77" s="188"/>
      <c r="Z77" s="188"/>
      <c r="AA77" s="188"/>
      <c r="AB77" s="188"/>
      <c r="AC77" s="188"/>
      <c r="AD77" s="188"/>
      <c r="AE77" s="188"/>
      <c r="AF77" s="188"/>
      <c r="AG77" s="188"/>
      <c r="AH77" s="188"/>
    </row>
    <row r="78" spans="1:34">
      <c r="A78" s="238"/>
      <c r="B78" s="238"/>
      <c r="C78" s="239" t="s">
        <v>587</v>
      </c>
      <c r="D78" s="240"/>
      <c r="E78" s="240"/>
      <c r="F78" s="240"/>
      <c r="G78" s="240"/>
      <c r="H78" s="240"/>
      <c r="I78" s="240"/>
      <c r="J78" s="240"/>
      <c r="K78" s="240"/>
      <c r="L78" s="241"/>
      <c r="M78" s="241"/>
      <c r="N78" s="241"/>
      <c r="O78" s="238"/>
      <c r="P78" s="269"/>
      <c r="Q78" s="269"/>
      <c r="R78" s="269"/>
      <c r="S78" s="269"/>
      <c r="T78" s="269"/>
      <c r="U78" s="269"/>
      <c r="V78" s="269"/>
      <c r="W78" s="269"/>
      <c r="X78" s="269"/>
      <c r="Y78" s="269"/>
      <c r="Z78" s="269"/>
      <c r="AA78" s="269"/>
      <c r="AB78" s="269"/>
      <c r="AC78" s="269"/>
      <c r="AD78" s="269"/>
      <c r="AE78" s="269"/>
      <c r="AF78" s="269"/>
      <c r="AG78" s="269"/>
      <c r="AH78" s="269"/>
    </row>
    <row r="79" spans="1:34">
      <c r="A79" s="242"/>
      <c r="B79" s="238"/>
      <c r="C79" s="424" t="s">
        <v>588</v>
      </c>
      <c r="D79" s="424"/>
      <c r="E79" s="424"/>
      <c r="F79" s="424"/>
      <c r="G79" s="424"/>
      <c r="H79" s="424"/>
      <c r="I79" s="424"/>
      <c r="J79" s="424"/>
      <c r="K79" s="424"/>
      <c r="L79" s="424"/>
      <c r="M79" s="424"/>
      <c r="N79" s="424"/>
      <c r="O79" s="238"/>
      <c r="P79" s="269"/>
      <c r="Q79" s="269"/>
      <c r="R79" s="269"/>
      <c r="S79" s="269"/>
      <c r="T79" s="269"/>
      <c r="U79" s="269"/>
      <c r="V79" s="269"/>
      <c r="W79" s="269"/>
      <c r="X79" s="269"/>
      <c r="Y79" s="269"/>
      <c r="Z79" s="269"/>
      <c r="AA79" s="269"/>
      <c r="AB79" s="269"/>
      <c r="AC79" s="269"/>
      <c r="AD79" s="269"/>
      <c r="AE79" s="269"/>
      <c r="AF79" s="269"/>
      <c r="AG79" s="269"/>
      <c r="AH79" s="269"/>
    </row>
    <row r="80" spans="1:34">
      <c r="A80" s="180"/>
      <c r="B80" s="243"/>
      <c r="C80" s="243"/>
      <c r="D80" s="195"/>
      <c r="E80" s="244"/>
      <c r="F80" s="195"/>
      <c r="G80" s="195"/>
      <c r="H80" s="245"/>
      <c r="I80" s="195"/>
      <c r="J80" s="195"/>
      <c r="K80" s="195"/>
      <c r="L80" s="246"/>
      <c r="M80" s="246"/>
      <c r="N80" s="246"/>
      <c r="O80" s="195"/>
      <c r="P80" s="260"/>
      <c r="Q80" s="180"/>
      <c r="R80" s="180"/>
      <c r="S80" s="180"/>
      <c r="T80" s="180"/>
      <c r="U80" s="180"/>
      <c r="V80" s="180"/>
      <c r="W80" s="180"/>
      <c r="X80" s="180"/>
      <c r="Y80" s="180"/>
      <c r="Z80" s="180"/>
      <c r="AA80" s="180"/>
      <c r="AB80" s="180"/>
      <c r="AC80" s="180"/>
      <c r="AD80" s="180"/>
      <c r="AE80" s="180"/>
      <c r="AF80" s="180"/>
      <c r="AG80" s="180"/>
      <c r="AH80" s="180"/>
    </row>
    <row r="81" spans="1:34" ht="15.75">
      <c r="A81" s="180"/>
      <c r="B81" s="259" t="s">
        <v>589</v>
      </c>
      <c r="C81" s="247"/>
      <c r="D81" s="247"/>
      <c r="E81" s="247"/>
      <c r="F81" s="247"/>
      <c r="G81" s="247"/>
      <c r="H81" s="247"/>
      <c r="I81" s="247"/>
      <c r="J81" s="247"/>
      <c r="K81" s="247"/>
      <c r="L81" s="248"/>
      <c r="M81" s="248"/>
      <c r="N81" s="248"/>
      <c r="O81" s="247"/>
      <c r="P81" s="180"/>
      <c r="Q81" s="180"/>
      <c r="R81" s="180"/>
      <c r="S81" s="180"/>
      <c r="T81" s="180"/>
      <c r="U81" s="180"/>
      <c r="V81" s="180"/>
      <c r="W81" s="180"/>
      <c r="X81" s="180"/>
      <c r="Y81" s="180"/>
      <c r="Z81" s="180"/>
      <c r="AA81" s="180"/>
      <c r="AB81" s="180"/>
      <c r="AC81" s="180"/>
      <c r="AD81" s="180"/>
      <c r="AE81" s="180"/>
      <c r="AF81" s="180"/>
      <c r="AG81" s="180"/>
      <c r="AH81" s="180"/>
    </row>
    <row r="82" spans="1:34">
      <c r="A82" s="180"/>
      <c r="B82" s="243"/>
      <c r="C82" s="243"/>
      <c r="D82" s="195"/>
      <c r="E82" s="244"/>
      <c r="F82" s="195"/>
      <c r="G82" s="195"/>
      <c r="H82" s="245"/>
      <c r="I82" s="195"/>
      <c r="J82" s="195"/>
      <c r="K82" s="195"/>
      <c r="L82" s="246"/>
      <c r="M82" s="246"/>
      <c r="N82" s="246"/>
      <c r="O82" s="195"/>
      <c r="P82" s="260"/>
      <c r="Q82" s="180"/>
      <c r="R82" s="180"/>
      <c r="S82" s="180"/>
      <c r="T82" s="180"/>
      <c r="U82" s="180"/>
      <c r="V82" s="180"/>
      <c r="W82" s="180"/>
      <c r="X82" s="180"/>
      <c r="Y82" s="180"/>
      <c r="Z82" s="180"/>
      <c r="AA82" s="180"/>
      <c r="AB82" s="180"/>
      <c r="AC82" s="180"/>
      <c r="AD82" s="180"/>
      <c r="AE82" s="180"/>
      <c r="AF82" s="180"/>
      <c r="AG82" s="180"/>
      <c r="AH82" s="180"/>
    </row>
    <row r="83" spans="1:34">
      <c r="A83" s="180"/>
      <c r="B83" s="243"/>
      <c r="C83" s="243"/>
      <c r="D83" s="195"/>
      <c r="E83" s="244"/>
      <c r="F83" s="195"/>
      <c r="G83" s="195"/>
      <c r="H83" s="245"/>
      <c r="I83" s="195"/>
      <c r="J83" s="195"/>
      <c r="K83" s="195"/>
      <c r="L83" s="246"/>
      <c r="M83" s="246"/>
      <c r="N83" s="246"/>
      <c r="O83" s="195"/>
      <c r="P83" s="260"/>
      <c r="Q83" s="180"/>
      <c r="R83" s="180"/>
      <c r="S83" s="180"/>
      <c r="T83" s="180"/>
      <c r="U83" s="180"/>
      <c r="V83" s="180"/>
      <c r="W83" s="180"/>
      <c r="X83" s="180"/>
      <c r="Y83" s="180"/>
      <c r="Z83" s="180"/>
      <c r="AA83" s="180"/>
      <c r="AB83" s="180"/>
      <c r="AC83" s="180"/>
      <c r="AD83" s="180"/>
      <c r="AE83" s="180"/>
      <c r="AF83" s="180"/>
      <c r="AG83" s="180"/>
      <c r="AH83" s="180"/>
    </row>
    <row r="84" spans="1:34">
      <c r="A84" s="180"/>
      <c r="B84" s="243"/>
      <c r="C84" s="243"/>
      <c r="D84" s="195"/>
      <c r="E84" s="244"/>
      <c r="F84" s="195"/>
      <c r="G84" s="195"/>
      <c r="H84" s="245"/>
      <c r="I84" s="195"/>
      <c r="J84" s="195"/>
      <c r="K84" s="195"/>
      <c r="L84" s="246"/>
      <c r="M84" s="246"/>
      <c r="N84" s="246"/>
      <c r="O84" s="195"/>
      <c r="P84" s="260"/>
      <c r="Q84" s="180"/>
      <c r="R84" s="180"/>
      <c r="S84" s="180"/>
      <c r="T84" s="180"/>
      <c r="U84" s="180"/>
      <c r="V84" s="180"/>
      <c r="W84" s="180"/>
      <c r="X84" s="180"/>
      <c r="Y84" s="180"/>
      <c r="Z84" s="180"/>
      <c r="AA84" s="180"/>
      <c r="AB84" s="180"/>
      <c r="AC84" s="180"/>
      <c r="AD84" s="180"/>
      <c r="AE84" s="180"/>
      <c r="AF84" s="180"/>
      <c r="AG84" s="180"/>
      <c r="AH84" s="180"/>
    </row>
    <row r="85" spans="1:34">
      <c r="A85" s="180"/>
      <c r="B85" s="238"/>
      <c r="C85" s="243"/>
      <c r="D85" s="195"/>
      <c r="E85" s="244"/>
      <c r="F85" s="195"/>
      <c r="G85" s="195"/>
      <c r="H85" s="245"/>
      <c r="I85" s="195"/>
      <c r="J85" s="195"/>
      <c r="K85" s="195"/>
      <c r="L85" s="246"/>
      <c r="M85" s="246"/>
      <c r="N85" s="246"/>
      <c r="O85" s="195"/>
      <c r="P85" s="260"/>
      <c r="Q85" s="180"/>
      <c r="R85" s="180"/>
      <c r="S85" s="180"/>
      <c r="T85" s="180"/>
      <c r="U85" s="180"/>
      <c r="V85" s="180"/>
      <c r="W85" s="180"/>
      <c r="X85" s="180"/>
      <c r="Y85" s="180"/>
      <c r="Z85" s="180"/>
      <c r="AA85" s="180"/>
      <c r="AB85" s="180"/>
      <c r="AC85" s="180"/>
      <c r="AD85" s="180"/>
      <c r="AE85" s="180"/>
      <c r="AF85" s="180"/>
      <c r="AG85" s="180"/>
      <c r="AH85" s="180"/>
    </row>
    <row r="86" spans="1:34">
      <c r="A86" s="180"/>
      <c r="B86" s="219"/>
      <c r="C86" s="243"/>
      <c r="D86" s="195"/>
      <c r="E86" s="244"/>
      <c r="F86" s="195"/>
      <c r="G86" s="195"/>
      <c r="H86" s="245"/>
      <c r="I86" s="195"/>
      <c r="J86" s="195"/>
      <c r="K86" s="195"/>
      <c r="L86" s="246"/>
      <c r="M86" s="246"/>
      <c r="N86" s="246"/>
      <c r="O86" s="195"/>
      <c r="P86" s="260"/>
      <c r="Q86" s="180"/>
      <c r="R86" s="180"/>
      <c r="S86" s="180"/>
      <c r="T86" s="180"/>
      <c r="U86" s="180"/>
      <c r="V86" s="180"/>
      <c r="W86" s="180"/>
      <c r="X86" s="180"/>
      <c r="Y86" s="180"/>
      <c r="Z86" s="180"/>
      <c r="AA86" s="180"/>
      <c r="AB86" s="180"/>
      <c r="AC86" s="180"/>
      <c r="AD86" s="180"/>
      <c r="AE86" s="180"/>
      <c r="AF86" s="180"/>
      <c r="AG86" s="180"/>
      <c r="AH86" s="180"/>
    </row>
    <row r="87" spans="1:34">
      <c r="A87" s="180"/>
      <c r="B87" s="249"/>
      <c r="C87" s="250"/>
      <c r="D87" s="245"/>
      <c r="E87" s="245"/>
      <c r="F87" s="245"/>
      <c r="G87" s="245"/>
      <c r="H87" s="245"/>
      <c r="I87" s="245"/>
      <c r="J87" s="245"/>
      <c r="K87" s="245"/>
      <c r="L87" s="251"/>
      <c r="M87" s="251"/>
      <c r="N87" s="251"/>
      <c r="O87" s="245"/>
      <c r="P87" s="180"/>
      <c r="Q87" s="180"/>
      <c r="R87" s="180"/>
      <c r="S87" s="180"/>
      <c r="T87" s="180"/>
      <c r="U87" s="180"/>
      <c r="V87" s="180"/>
      <c r="W87" s="180"/>
      <c r="X87" s="180"/>
      <c r="Y87" s="180"/>
      <c r="Z87" s="180"/>
      <c r="AA87" s="180"/>
      <c r="AB87" s="180"/>
      <c r="AC87" s="180"/>
      <c r="AD87" s="180"/>
      <c r="AE87" s="180"/>
      <c r="AF87" s="180"/>
      <c r="AG87" s="180"/>
      <c r="AH87" s="180"/>
    </row>
    <row r="88" spans="1:34">
      <c r="A88" s="252"/>
      <c r="B88" s="219"/>
      <c r="C88" s="253"/>
      <c r="D88" s="254"/>
      <c r="E88" s="255"/>
      <c r="F88" s="254"/>
      <c r="G88" s="254"/>
      <c r="H88" s="256"/>
      <c r="I88" s="254"/>
      <c r="J88" s="254"/>
      <c r="K88" s="254"/>
      <c r="L88" s="246"/>
      <c r="M88" s="246"/>
      <c r="N88" s="246"/>
      <c r="O88" s="254"/>
      <c r="P88" s="270"/>
      <c r="Q88" s="271"/>
      <c r="R88" s="271"/>
      <c r="S88" s="271"/>
      <c r="T88" s="271"/>
      <c r="U88" s="271"/>
      <c r="V88" s="271"/>
      <c r="W88" s="271"/>
      <c r="X88" s="271"/>
      <c r="Y88" s="271"/>
      <c r="Z88" s="271"/>
      <c r="AA88" s="271"/>
      <c r="AB88" s="271"/>
      <c r="AC88" s="271"/>
      <c r="AD88" s="271"/>
      <c r="AE88" s="271"/>
      <c r="AF88" s="271"/>
      <c r="AG88" s="271"/>
      <c r="AH88" s="271"/>
    </row>
    <row r="89" spans="1:34">
      <c r="A89" s="180"/>
      <c r="B89" s="257"/>
      <c r="C89" s="250"/>
      <c r="D89" s="245"/>
      <c r="E89" s="245"/>
      <c r="F89" s="245"/>
      <c r="G89" s="245"/>
      <c r="H89" s="245"/>
      <c r="I89" s="245"/>
      <c r="J89" s="245"/>
      <c r="K89" s="245"/>
      <c r="L89" s="251"/>
      <c r="M89" s="251"/>
      <c r="N89" s="251"/>
      <c r="O89" s="245"/>
      <c r="P89" s="180"/>
      <c r="Q89" s="180"/>
      <c r="R89" s="180"/>
      <c r="S89" s="180"/>
      <c r="T89" s="180"/>
      <c r="U89" s="180"/>
      <c r="V89" s="180"/>
      <c r="W89" s="180"/>
      <c r="X89" s="180"/>
      <c r="Y89" s="180"/>
      <c r="Z89" s="180"/>
      <c r="AA89" s="180"/>
      <c r="AB89" s="180"/>
      <c r="AC89" s="180"/>
      <c r="AD89" s="180"/>
      <c r="AE89" s="180"/>
      <c r="AF89" s="180"/>
      <c r="AG89" s="180"/>
      <c r="AH89" s="180"/>
    </row>
  </sheetData>
  <mergeCells count="1">
    <mergeCell ref="C79:N7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7CD8F-206B-42B2-A0BD-50760803EFF3}">
  <dimension ref="A1:X81"/>
  <sheetViews>
    <sheetView topLeftCell="J5" workbookViewId="0">
      <selection activeCell="X10" sqref="X10"/>
    </sheetView>
  </sheetViews>
  <sheetFormatPr defaultRowHeight="15"/>
  <sheetData>
    <row r="1" spans="1:24">
      <c r="A1" s="275"/>
      <c r="B1" s="275"/>
      <c r="C1" s="275"/>
      <c r="D1" s="275"/>
      <c r="E1" s="275"/>
      <c r="F1" s="275"/>
      <c r="G1" s="275"/>
      <c r="H1" s="275"/>
      <c r="I1" s="275"/>
      <c r="J1" s="275"/>
      <c r="K1" s="275"/>
      <c r="L1" s="275"/>
      <c r="M1" s="275"/>
      <c r="N1" s="275"/>
    </row>
    <row r="2" spans="1:24">
      <c r="A2" s="277"/>
      <c r="B2" s="277"/>
      <c r="C2" s="277"/>
      <c r="D2" s="277"/>
      <c r="E2" s="277"/>
      <c r="F2" s="277"/>
      <c r="G2" s="277"/>
      <c r="H2" s="277"/>
      <c r="I2" s="277"/>
      <c r="J2" s="277"/>
      <c r="K2" s="277"/>
      <c r="L2" s="277"/>
      <c r="M2" s="277"/>
      <c r="N2" s="277"/>
    </row>
    <row r="3" spans="1:24">
      <c r="A3" s="278" t="s">
        <v>592</v>
      </c>
      <c r="B3" s="278"/>
      <c r="C3" s="278"/>
      <c r="D3" s="278"/>
      <c r="E3" s="278"/>
      <c r="F3" s="278"/>
      <c r="G3" s="278"/>
      <c r="H3" s="278"/>
      <c r="I3" s="278"/>
      <c r="J3" s="278"/>
      <c r="K3" s="278"/>
      <c r="L3" s="278"/>
      <c r="M3" s="278"/>
      <c r="N3" s="278"/>
    </row>
    <row r="4" spans="1:24">
      <c r="A4" s="279"/>
      <c r="B4" s="279"/>
      <c r="C4" s="280"/>
      <c r="D4" s="280"/>
      <c r="E4" s="280"/>
      <c r="F4" s="280"/>
      <c r="G4" s="280"/>
      <c r="H4" s="280"/>
      <c r="I4" s="280"/>
      <c r="J4" s="280"/>
      <c r="K4" s="280"/>
      <c r="L4" s="280"/>
      <c r="M4" s="280"/>
      <c r="N4" s="279"/>
    </row>
    <row r="5" spans="1:24">
      <c r="A5" s="281" t="s">
        <v>593</v>
      </c>
      <c r="B5" s="281"/>
      <c r="C5" s="281"/>
      <c r="D5" s="281"/>
      <c r="E5" s="281"/>
      <c r="F5" s="281"/>
      <c r="G5" s="281"/>
      <c r="H5" s="281"/>
      <c r="I5" s="281"/>
      <c r="J5" s="281"/>
      <c r="K5" s="281"/>
      <c r="L5" s="281"/>
      <c r="M5" s="281"/>
      <c r="N5" s="281"/>
    </row>
    <row r="6" spans="1:24">
      <c r="A6" s="277"/>
      <c r="B6" s="277"/>
      <c r="C6" s="277"/>
      <c r="D6" s="277"/>
      <c r="E6" s="277"/>
      <c r="F6" s="277"/>
      <c r="G6" s="277"/>
      <c r="H6" s="277"/>
      <c r="I6" s="277"/>
      <c r="J6" s="277"/>
      <c r="K6" s="277"/>
      <c r="L6" s="277"/>
      <c r="M6" s="277"/>
      <c r="N6" s="277"/>
    </row>
    <row r="7" spans="1:24">
      <c r="A7" s="274"/>
      <c r="B7" s="274"/>
      <c r="C7" s="283">
        <v>2014</v>
      </c>
      <c r="D7" s="283">
        <v>2015</v>
      </c>
      <c r="E7" s="283">
        <v>2016</v>
      </c>
      <c r="F7" s="283">
        <v>2017</v>
      </c>
      <c r="G7" s="283">
        <v>2018</v>
      </c>
      <c r="H7" s="283" t="s">
        <v>551</v>
      </c>
      <c r="I7" s="283">
        <v>2020</v>
      </c>
      <c r="J7" s="283">
        <v>2021</v>
      </c>
      <c r="K7" s="283">
        <v>2022</v>
      </c>
      <c r="L7" s="283" t="s">
        <v>552</v>
      </c>
      <c r="M7" s="283" t="s">
        <v>553</v>
      </c>
      <c r="N7" s="282"/>
    </row>
    <row r="8" spans="1:24">
      <c r="A8" s="276"/>
      <c r="B8" s="276"/>
      <c r="C8" s="277"/>
      <c r="D8" s="277"/>
      <c r="E8" s="277"/>
      <c r="F8" s="277"/>
      <c r="G8" s="277"/>
      <c r="H8" s="277"/>
      <c r="I8" s="277"/>
      <c r="J8" s="277"/>
      <c r="K8" s="277"/>
      <c r="L8" s="277"/>
      <c r="M8" s="277"/>
      <c r="N8" s="277"/>
      <c r="X8">
        <v>38.4</v>
      </c>
    </row>
    <row r="9" spans="1:24">
      <c r="A9" s="284" t="s">
        <v>594</v>
      </c>
      <c r="B9" s="285"/>
      <c r="C9" s="286"/>
      <c r="D9" s="286"/>
      <c r="E9" s="286"/>
      <c r="F9" s="286"/>
      <c r="G9" s="286"/>
      <c r="H9" s="286"/>
      <c r="I9" s="286"/>
      <c r="J9" s="286"/>
      <c r="K9" s="286"/>
      <c r="L9" s="286"/>
      <c r="M9" s="286"/>
      <c r="N9" s="287"/>
      <c r="V9">
        <v>23000</v>
      </c>
      <c r="X9">
        <v>21.4</v>
      </c>
    </row>
    <row r="10" spans="1:24">
      <c r="A10" s="288"/>
      <c r="B10" s="294" t="s">
        <v>595</v>
      </c>
      <c r="C10" s="295">
        <v>1.3465168570312589</v>
      </c>
      <c r="D10" s="295">
        <v>1.1623132983385009</v>
      </c>
      <c r="E10" s="295">
        <v>1.103605756007386</v>
      </c>
      <c r="F10" s="295">
        <v>1.1091293622976248</v>
      </c>
      <c r="G10" s="295">
        <v>1.1605306922950029</v>
      </c>
      <c r="H10" s="295">
        <v>1.2808017362697508</v>
      </c>
      <c r="I10" s="295">
        <v>1.2958408576747678</v>
      </c>
      <c r="J10" s="295">
        <v>1.2429942914772987</v>
      </c>
      <c r="K10" s="296">
        <v>1.2087885971307633</v>
      </c>
      <c r="L10" s="296">
        <v>1.7467930732534516</v>
      </c>
      <c r="M10" s="296">
        <v>2.0294680677363757</v>
      </c>
      <c r="N10" s="279"/>
      <c r="P10" t="s">
        <v>616</v>
      </c>
      <c r="Q10">
        <v>4.1201909893571473</v>
      </c>
      <c r="V10">
        <f>V9*1.05</f>
        <v>24150</v>
      </c>
    </row>
    <row r="11" spans="1:24">
      <c r="A11" s="288"/>
      <c r="B11" s="297" t="s">
        <v>596</v>
      </c>
      <c r="C11" s="298">
        <v>0.97101568028029783</v>
      </c>
      <c r="D11" s="298">
        <v>0.90930025276369886</v>
      </c>
      <c r="E11" s="298">
        <v>0.89469105870106003</v>
      </c>
      <c r="F11" s="298">
        <v>0.88357315318155549</v>
      </c>
      <c r="G11" s="298">
        <v>0.89135991395830394</v>
      </c>
      <c r="H11" s="298">
        <v>0.88842181350224214</v>
      </c>
      <c r="I11" s="298">
        <v>1.0123783065797383</v>
      </c>
      <c r="J11" s="298">
        <v>1.0387750453311371</v>
      </c>
      <c r="K11" s="299">
        <v>1.1823661435442996</v>
      </c>
      <c r="L11" s="299">
        <v>1.2085158248904218</v>
      </c>
      <c r="M11" s="299">
        <v>1.2991611084952479</v>
      </c>
      <c r="N11" s="279"/>
      <c r="P11" t="s">
        <v>602</v>
      </c>
      <c r="Q11">
        <v>3.4314625890573818</v>
      </c>
      <c r="V11">
        <f>V10-V9</f>
        <v>1150</v>
      </c>
    </row>
    <row r="12" spans="1:24">
      <c r="A12" s="288"/>
      <c r="B12" s="294" t="s">
        <v>597</v>
      </c>
      <c r="C12" s="300">
        <v>1.309083360627801</v>
      </c>
      <c r="D12" s="300">
        <v>1.2463512739334206</v>
      </c>
      <c r="E12" s="300">
        <v>1.2435962493397963</v>
      </c>
      <c r="F12" s="300">
        <v>1.221937833977387</v>
      </c>
      <c r="G12" s="300">
        <v>1.4491848128955309</v>
      </c>
      <c r="H12" s="300">
        <v>3.1334193382194093</v>
      </c>
      <c r="I12" s="300">
        <v>1.5936661565376737</v>
      </c>
      <c r="J12" s="300">
        <v>1.5171462560710443</v>
      </c>
      <c r="K12" s="301">
        <v>1.5922900672753542</v>
      </c>
      <c r="L12" s="301">
        <v>1.9601292018493175</v>
      </c>
      <c r="M12" s="301">
        <v>2.1786672466802064</v>
      </c>
      <c r="N12" s="279"/>
      <c r="P12" t="s">
        <v>624</v>
      </c>
      <c r="Q12">
        <v>3.3790207262385565</v>
      </c>
    </row>
    <row r="13" spans="1:24">
      <c r="A13" s="288"/>
      <c r="B13" s="297" t="s">
        <v>598</v>
      </c>
      <c r="C13" s="298">
        <v>1.0063652555168234</v>
      </c>
      <c r="D13" s="298">
        <v>1.2007246038082238</v>
      </c>
      <c r="E13" s="298">
        <v>1.1589183801163645</v>
      </c>
      <c r="F13" s="298">
        <v>1.4369965871112631</v>
      </c>
      <c r="G13" s="298">
        <v>1.2982635174166639</v>
      </c>
      <c r="H13" s="298">
        <v>1.2944753156776552</v>
      </c>
      <c r="I13" s="298">
        <v>1.4090793615610249</v>
      </c>
      <c r="J13" s="298">
        <v>1.2703519606384768</v>
      </c>
      <c r="K13" s="299">
        <v>1.1981413162938064</v>
      </c>
      <c r="L13" s="299">
        <v>1.3079334199420436</v>
      </c>
      <c r="M13" s="299">
        <v>1.3651551143938319</v>
      </c>
      <c r="N13" s="279"/>
      <c r="P13" t="s">
        <v>609</v>
      </c>
      <c r="Q13">
        <v>3.1480258529892384</v>
      </c>
    </row>
    <row r="14" spans="1:24">
      <c r="A14" s="288"/>
      <c r="B14" s="302" t="s">
        <v>599</v>
      </c>
      <c r="C14" s="300">
        <v>1.8119292581028477</v>
      </c>
      <c r="D14" s="300">
        <v>1.7486260459743794</v>
      </c>
      <c r="E14" s="300">
        <v>1.5865539280257093</v>
      </c>
      <c r="F14" s="300">
        <v>1.629346096387136</v>
      </c>
      <c r="G14" s="300">
        <v>1.5376220532093252</v>
      </c>
      <c r="H14" s="300">
        <v>1.5933488301178527</v>
      </c>
      <c r="I14" s="300">
        <v>1.6891396148757749</v>
      </c>
      <c r="J14" s="300">
        <v>1.9547330571180437</v>
      </c>
      <c r="K14" s="301">
        <v>1.7826308248057616</v>
      </c>
      <c r="L14" s="301">
        <v>1.7423631899478658</v>
      </c>
      <c r="M14" s="301">
        <v>1.8065856886024478</v>
      </c>
      <c r="N14" s="279"/>
      <c r="P14" t="s">
        <v>606</v>
      </c>
      <c r="Q14">
        <v>3.0759535261611037</v>
      </c>
    </row>
    <row r="15" spans="1:24">
      <c r="A15" s="288"/>
      <c r="B15" s="297" t="s">
        <v>600</v>
      </c>
      <c r="C15" s="298">
        <v>0.94374764445551096</v>
      </c>
      <c r="D15" s="298">
        <v>1.0214012569674655</v>
      </c>
      <c r="E15" s="298">
        <v>0.95097049536041667</v>
      </c>
      <c r="F15" s="298">
        <v>1.0319856960491054</v>
      </c>
      <c r="G15" s="298">
        <v>1.1031679600668578</v>
      </c>
      <c r="H15" s="298">
        <v>1.1800797868255084</v>
      </c>
      <c r="I15" s="298">
        <v>1.3003053877294717</v>
      </c>
      <c r="J15" s="298">
        <v>1.3896161001266913</v>
      </c>
      <c r="K15" s="299">
        <v>1.3406999217999052</v>
      </c>
      <c r="L15" s="299">
        <v>1.3700774469056258</v>
      </c>
      <c r="M15" s="299">
        <v>2.095574480758243</v>
      </c>
      <c r="N15" s="279"/>
      <c r="P15" t="s">
        <v>610</v>
      </c>
      <c r="Q15">
        <v>2.8495515889570782</v>
      </c>
    </row>
    <row r="16" spans="1:24">
      <c r="A16" s="288"/>
      <c r="B16" s="302" t="s">
        <v>601</v>
      </c>
      <c r="C16" s="300">
        <v>1.1493157611670286</v>
      </c>
      <c r="D16" s="300">
        <v>1.1114025022520133</v>
      </c>
      <c r="E16" s="300">
        <v>1.1476870616038346</v>
      </c>
      <c r="F16" s="300">
        <v>1.1382680331980481</v>
      </c>
      <c r="G16" s="300">
        <v>1.2775484860101844</v>
      </c>
      <c r="H16" s="300">
        <v>1.2950584162700127</v>
      </c>
      <c r="I16" s="300">
        <v>1.3771511051747165</v>
      </c>
      <c r="J16" s="300">
        <v>1.3001144750254841</v>
      </c>
      <c r="K16" s="301">
        <v>1.3676463801384378</v>
      </c>
      <c r="L16" s="301">
        <v>2.0140061730168424</v>
      </c>
      <c r="M16" s="301">
        <v>2.374576871428173</v>
      </c>
      <c r="N16" s="279"/>
      <c r="P16" t="s">
        <v>603</v>
      </c>
      <c r="Q16">
        <v>2.4140772955536267</v>
      </c>
    </row>
    <row r="17" spans="1:17">
      <c r="A17" s="288"/>
      <c r="B17" s="297" t="s">
        <v>602</v>
      </c>
      <c r="C17" s="298">
        <v>1.92873799093634</v>
      </c>
      <c r="D17" s="298">
        <v>2.025410958493552</v>
      </c>
      <c r="E17" s="298">
        <v>2.0678304947017976</v>
      </c>
      <c r="F17" s="298">
        <v>2.0133276362500134</v>
      </c>
      <c r="G17" s="298">
        <v>2.0110315617439678</v>
      </c>
      <c r="H17" s="298">
        <v>2.0380487388425617</v>
      </c>
      <c r="I17" s="298">
        <v>2.2993229232101147</v>
      </c>
      <c r="J17" s="298">
        <v>2.0340628830874024</v>
      </c>
      <c r="K17" s="299">
        <v>2.1612932943544729</v>
      </c>
      <c r="L17" s="299">
        <v>3.036916660275077</v>
      </c>
      <c r="M17" s="299">
        <v>3.4314625890573818</v>
      </c>
      <c r="N17" s="279"/>
      <c r="P17" t="s">
        <v>601</v>
      </c>
      <c r="Q17">
        <v>2.374576871428173</v>
      </c>
    </row>
    <row r="18" spans="1:17">
      <c r="A18" s="288"/>
      <c r="B18" s="302" t="s">
        <v>603</v>
      </c>
      <c r="C18" s="300">
        <v>1.4517097879621264</v>
      </c>
      <c r="D18" s="300">
        <v>1.4498966341036497</v>
      </c>
      <c r="E18" s="300">
        <v>1.4198880092681978</v>
      </c>
      <c r="F18" s="300">
        <v>1.3834622913729941</v>
      </c>
      <c r="G18" s="300">
        <v>1.3868813768407706</v>
      </c>
      <c r="H18" s="300">
        <v>1.4521085448801896</v>
      </c>
      <c r="I18" s="300">
        <v>1.5298921105751071</v>
      </c>
      <c r="J18" s="300">
        <v>1.3973291709885902</v>
      </c>
      <c r="K18" s="301">
        <v>1.6753427374917411</v>
      </c>
      <c r="L18" s="301">
        <v>2.0868874863780444</v>
      </c>
      <c r="M18" s="301">
        <v>2.4140772955536267</v>
      </c>
      <c r="N18" s="279"/>
      <c r="P18" t="s">
        <v>370</v>
      </c>
      <c r="Q18">
        <v>2.3322602255087128</v>
      </c>
    </row>
    <row r="19" spans="1:17">
      <c r="A19" s="288"/>
      <c r="B19" s="297" t="s">
        <v>604</v>
      </c>
      <c r="C19" s="298">
        <v>1.8189453615057607</v>
      </c>
      <c r="D19" s="298">
        <v>1.7820666783846959</v>
      </c>
      <c r="E19" s="298">
        <v>1.7891325489707146</v>
      </c>
      <c r="F19" s="298">
        <v>1.7764374063639208</v>
      </c>
      <c r="G19" s="298">
        <v>1.8076689823458656</v>
      </c>
      <c r="H19" s="298">
        <v>1.8115642521005753</v>
      </c>
      <c r="I19" s="298">
        <v>2</v>
      </c>
      <c r="J19" s="298">
        <v>1.908430655972678</v>
      </c>
      <c r="K19" s="299">
        <v>1.8787597769115343</v>
      </c>
      <c r="L19" s="299">
        <v>1.9561660598988746</v>
      </c>
      <c r="M19" s="299">
        <v>2.0597448978198241</v>
      </c>
      <c r="N19" s="279"/>
      <c r="P19" t="s">
        <v>618</v>
      </c>
      <c r="Q19">
        <v>2.2516277550781809</v>
      </c>
    </row>
    <row r="20" spans="1:17">
      <c r="A20" s="288"/>
      <c r="B20" s="302" t="s">
        <v>605</v>
      </c>
      <c r="C20" s="300">
        <v>1.1851482213758722</v>
      </c>
      <c r="D20" s="300">
        <v>1.187280399875325</v>
      </c>
      <c r="E20" s="300">
        <v>1.2014670543613513</v>
      </c>
      <c r="F20" s="300">
        <v>1.2308500817196304</v>
      </c>
      <c r="G20" s="300">
        <v>1.2499266566252623</v>
      </c>
      <c r="H20" s="300">
        <v>1.3486151369638852</v>
      </c>
      <c r="I20" s="300">
        <v>1.5129752098547076</v>
      </c>
      <c r="J20" s="300">
        <v>1.4530777348798067</v>
      </c>
      <c r="K20" s="301">
        <v>1.5055177433607732</v>
      </c>
      <c r="L20" s="301">
        <v>1.6403680556852693</v>
      </c>
      <c r="M20" s="301">
        <v>2.1189770886676191</v>
      </c>
      <c r="N20" s="279"/>
      <c r="P20" t="s">
        <v>614</v>
      </c>
      <c r="Q20">
        <v>2.2213001138901891</v>
      </c>
    </row>
    <row r="21" spans="1:17">
      <c r="A21" s="288"/>
      <c r="B21" s="297" t="s">
        <v>606</v>
      </c>
      <c r="C21" s="298">
        <v>2.2222501141415969</v>
      </c>
      <c r="D21" s="298">
        <v>2.309421332219002</v>
      </c>
      <c r="E21" s="298">
        <v>2.4012362588555951</v>
      </c>
      <c r="F21" s="298">
        <v>2.3788109047084447</v>
      </c>
      <c r="G21" s="298">
        <v>2.5397877462230802</v>
      </c>
      <c r="H21" s="298">
        <v>2.446345001156887</v>
      </c>
      <c r="I21" s="298">
        <v>2.9106537128976377</v>
      </c>
      <c r="J21" s="298">
        <v>3.6996896573979581</v>
      </c>
      <c r="K21" s="299">
        <v>3.8810225503377214</v>
      </c>
      <c r="L21" s="299">
        <v>2.803834474499336</v>
      </c>
      <c r="M21" s="299">
        <v>3.0759535261611037</v>
      </c>
      <c r="N21" s="279"/>
      <c r="P21" t="s">
        <v>615</v>
      </c>
      <c r="Q21">
        <v>2.1976529360586272</v>
      </c>
    </row>
    <row r="22" spans="1:17">
      <c r="A22" s="288"/>
      <c r="B22" s="302" t="s">
        <v>607</v>
      </c>
      <c r="C22" s="300">
        <v>0.85780963079475148</v>
      </c>
      <c r="D22" s="300">
        <v>0.90472125538031201</v>
      </c>
      <c r="E22" s="300">
        <v>1.0020206721049651</v>
      </c>
      <c r="F22" s="300">
        <v>1.1935529505631282</v>
      </c>
      <c r="G22" s="300">
        <v>1.0060680378853315</v>
      </c>
      <c r="H22" s="300">
        <v>1.3352421363787463</v>
      </c>
      <c r="I22" s="300">
        <v>1.7593761323530965</v>
      </c>
      <c r="J22" s="300">
        <v>1.3235963380620581</v>
      </c>
      <c r="K22" s="301">
        <v>1.8390929468341901</v>
      </c>
      <c r="L22" s="301">
        <v>2.0520955175978997</v>
      </c>
      <c r="M22" s="301">
        <v>2.1107658032713594</v>
      </c>
      <c r="N22" s="279"/>
      <c r="P22" t="s">
        <v>597</v>
      </c>
      <c r="Q22">
        <v>2.1786672466802064</v>
      </c>
    </row>
    <row r="23" spans="1:17">
      <c r="A23" s="288"/>
      <c r="B23" s="297" t="s">
        <v>608</v>
      </c>
      <c r="C23" s="298">
        <v>1.1396981810032158</v>
      </c>
      <c r="D23" s="298">
        <v>1.0665243394906863</v>
      </c>
      <c r="E23" s="298">
        <v>1.1782532988633874</v>
      </c>
      <c r="F23" s="298">
        <v>1.2015005849779057</v>
      </c>
      <c r="G23" s="298">
        <v>1.2252611630671999</v>
      </c>
      <c r="H23" s="298">
        <v>1.1713127059833894</v>
      </c>
      <c r="I23" s="298">
        <v>1.5882986200633906</v>
      </c>
      <c r="J23" s="298">
        <v>1.5388287924440436</v>
      </c>
      <c r="K23" s="299">
        <v>1.5229579442634378</v>
      </c>
      <c r="L23" s="299">
        <v>1.4992084830145338</v>
      </c>
      <c r="M23" s="299">
        <v>1.4910941208035369</v>
      </c>
      <c r="N23" s="279"/>
      <c r="P23" t="s">
        <v>622</v>
      </c>
      <c r="Q23">
        <v>2.143210151776056</v>
      </c>
    </row>
    <row r="24" spans="1:17">
      <c r="A24" s="288"/>
      <c r="B24" s="302" t="s">
        <v>609</v>
      </c>
      <c r="C24" s="300">
        <v>0.93562965336074744</v>
      </c>
      <c r="D24" s="300">
        <v>1.0326294110652046</v>
      </c>
      <c r="E24" s="300">
        <v>1.4353487647964778</v>
      </c>
      <c r="F24" s="300">
        <v>1.592351412386541</v>
      </c>
      <c r="G24" s="300">
        <v>2.0600711625024473</v>
      </c>
      <c r="H24" s="300">
        <v>2.0224271395661293</v>
      </c>
      <c r="I24" s="300">
        <v>2.1609453586698208</v>
      </c>
      <c r="J24" s="300">
        <v>2.0873523652077419</v>
      </c>
      <c r="K24" s="301">
        <v>2.1182609254730087</v>
      </c>
      <c r="L24" s="301">
        <v>2.873898633212689</v>
      </c>
      <c r="M24" s="301">
        <v>3.1480258529892384</v>
      </c>
      <c r="N24" s="279"/>
      <c r="P24" t="s">
        <v>605</v>
      </c>
      <c r="Q24">
        <v>2.1189770886676191</v>
      </c>
    </row>
    <row r="25" spans="1:17">
      <c r="A25" s="288"/>
      <c r="B25" s="297" t="s">
        <v>610</v>
      </c>
      <c r="C25" s="298">
        <v>0.8796754293247111</v>
      </c>
      <c r="D25" s="298">
        <v>1.1377749504246839</v>
      </c>
      <c r="E25" s="298">
        <v>1.4775367281895062</v>
      </c>
      <c r="F25" s="298">
        <v>1.7121296024029664</v>
      </c>
      <c r="G25" s="298">
        <v>1.9653796753259889</v>
      </c>
      <c r="H25" s="298">
        <v>2</v>
      </c>
      <c r="I25" s="298">
        <v>2.0655373418427532</v>
      </c>
      <c r="J25" s="298">
        <v>1.9563332622555325</v>
      </c>
      <c r="K25" s="299">
        <v>2.4450680310119663</v>
      </c>
      <c r="L25" s="299">
        <v>2.7807201617958088</v>
      </c>
      <c r="M25" s="299">
        <v>2.8495515889570782</v>
      </c>
      <c r="N25" s="279"/>
      <c r="P25" t="s">
        <v>607</v>
      </c>
      <c r="Q25">
        <v>2.1107658032713594</v>
      </c>
    </row>
    <row r="26" spans="1:17">
      <c r="A26" s="288"/>
      <c r="B26" s="288" t="s">
        <v>611</v>
      </c>
      <c r="C26" s="300">
        <v>0.36769711105550013</v>
      </c>
      <c r="D26" s="300">
        <v>0.41448821826934645</v>
      </c>
      <c r="E26" s="300">
        <v>0.37970764620438352</v>
      </c>
      <c r="F26" s="300">
        <v>0.49478205836402145</v>
      </c>
      <c r="G26" s="300">
        <v>0.50134850255316266</v>
      </c>
      <c r="H26" s="300">
        <v>0.54737038716359143</v>
      </c>
      <c r="I26" s="300">
        <v>0.57830377158148893</v>
      </c>
      <c r="J26" s="300">
        <v>0.47156786021599184</v>
      </c>
      <c r="K26" s="301">
        <v>0.56298573024706977</v>
      </c>
      <c r="L26" s="301">
        <v>1.1167638664846748</v>
      </c>
      <c r="M26" s="301">
        <v>1.2935808360974441</v>
      </c>
      <c r="N26" s="279"/>
      <c r="P26" t="s">
        <v>600</v>
      </c>
      <c r="Q26">
        <v>2.095574480758243</v>
      </c>
    </row>
    <row r="27" spans="1:17">
      <c r="A27" s="288"/>
      <c r="B27" s="289" t="s">
        <v>612</v>
      </c>
      <c r="C27" s="303">
        <v>1.5044671299509531</v>
      </c>
      <c r="D27" s="303">
        <v>1.404165597029424</v>
      </c>
      <c r="E27" s="303">
        <v>1.4230510997139758</v>
      </c>
      <c r="F27" s="303">
        <v>1.3407023346801301</v>
      </c>
      <c r="G27" s="303">
        <v>1.3689303107569379</v>
      </c>
      <c r="H27" s="303">
        <v>1.3333414129661947</v>
      </c>
      <c r="I27" s="303">
        <v>1.732030438054736</v>
      </c>
      <c r="J27" s="303">
        <v>1.5549169344032028</v>
      </c>
      <c r="K27" s="304">
        <v>1.3779831938447202</v>
      </c>
      <c r="L27" s="304">
        <v>1.5447837923097596</v>
      </c>
      <c r="M27" s="304">
        <v>2.0172837757020856</v>
      </c>
      <c r="N27" s="279"/>
      <c r="P27" t="s">
        <v>623</v>
      </c>
      <c r="Q27">
        <v>2.0890202976150429</v>
      </c>
    </row>
    <row r="28" spans="1:17">
      <c r="A28" s="288"/>
      <c r="B28" s="288" t="s">
        <v>613</v>
      </c>
      <c r="C28" s="300">
        <v>1.1516287307443844</v>
      </c>
      <c r="D28" s="300">
        <v>1.132463345615456</v>
      </c>
      <c r="E28" s="300">
        <v>1.1578725093088311</v>
      </c>
      <c r="F28" s="300">
        <v>1.1485319830174696</v>
      </c>
      <c r="G28" s="300">
        <v>1.2169362709342788</v>
      </c>
      <c r="H28" s="300">
        <v>1.3244465996374328</v>
      </c>
      <c r="I28" s="300">
        <v>1.4079708386616576</v>
      </c>
      <c r="J28" s="300">
        <v>1.3602763398820505</v>
      </c>
      <c r="K28" s="301">
        <v>1.4376764616666953</v>
      </c>
      <c r="L28" s="301">
        <v>1.6612832958028494</v>
      </c>
      <c r="M28" s="301">
        <v>2.0495461473730692</v>
      </c>
      <c r="N28" s="279"/>
      <c r="P28" t="s">
        <v>604</v>
      </c>
      <c r="Q28">
        <v>2.0597448978198241</v>
      </c>
    </row>
    <row r="29" spans="1:17">
      <c r="A29" s="288"/>
      <c r="B29" s="289" t="s">
        <v>614</v>
      </c>
      <c r="C29" s="303">
        <v>1.0884017428847053</v>
      </c>
      <c r="D29" s="303">
        <v>1.0471012262914132</v>
      </c>
      <c r="E29" s="303">
        <v>0.97011591726828827</v>
      </c>
      <c r="F29" s="303">
        <v>0.89499284507256438</v>
      </c>
      <c r="G29" s="303">
        <v>0.94298767912150849</v>
      </c>
      <c r="H29" s="303">
        <v>1.159116242078446</v>
      </c>
      <c r="I29" s="303">
        <v>1.240586528631805</v>
      </c>
      <c r="J29" s="303">
        <v>1.4537089524974143</v>
      </c>
      <c r="K29" s="304">
        <v>1.6060699708120847</v>
      </c>
      <c r="L29" s="304">
        <v>1.8082085530643788</v>
      </c>
      <c r="M29" s="304">
        <v>2.2213001138901891</v>
      </c>
      <c r="N29" s="279"/>
      <c r="P29" t="s">
        <v>613</v>
      </c>
      <c r="Q29">
        <v>2.0495461473730692</v>
      </c>
    </row>
    <row r="30" spans="1:17">
      <c r="A30" s="288"/>
      <c r="B30" s="288" t="s">
        <v>615</v>
      </c>
      <c r="C30" s="300">
        <v>1.539005243238692</v>
      </c>
      <c r="D30" s="300">
        <v>1.5822974793771785</v>
      </c>
      <c r="E30" s="300">
        <v>1.7336897813847629</v>
      </c>
      <c r="F30" s="300">
        <v>1.7051625361234575</v>
      </c>
      <c r="G30" s="300">
        <v>1.7152869857858282</v>
      </c>
      <c r="H30" s="300">
        <v>1.8437329660577775</v>
      </c>
      <c r="I30" s="300">
        <v>1.9659946671673967</v>
      </c>
      <c r="J30" s="300">
        <v>1.6763174519476571</v>
      </c>
      <c r="K30" s="301">
        <v>1.4643749114211491</v>
      </c>
      <c r="L30" s="301">
        <v>1.8123892503233801</v>
      </c>
      <c r="M30" s="301">
        <v>2.1976529360586272</v>
      </c>
      <c r="N30" s="279"/>
      <c r="P30" t="s">
        <v>595</v>
      </c>
      <c r="Q30">
        <v>2.0294680677363757</v>
      </c>
    </row>
    <row r="31" spans="1:17">
      <c r="A31" s="288"/>
      <c r="B31" s="289" t="s">
        <v>616</v>
      </c>
      <c r="C31" s="303">
        <v>1.8752685360706713</v>
      </c>
      <c r="D31" s="303">
        <v>2.2251437845895716</v>
      </c>
      <c r="E31" s="303">
        <v>2.0004550856909797</v>
      </c>
      <c r="F31" s="303">
        <v>1.8948458117930895</v>
      </c>
      <c r="G31" s="303">
        <v>2.0156425332404089</v>
      </c>
      <c r="H31" s="303">
        <v>1.9863960343055451</v>
      </c>
      <c r="I31" s="303">
        <v>2.2311645058591152</v>
      </c>
      <c r="J31" s="303">
        <v>2.2158163573412506</v>
      </c>
      <c r="K31" s="304">
        <v>2.2253083736183719</v>
      </c>
      <c r="L31" s="304">
        <v>3.2601531625165792</v>
      </c>
      <c r="M31" s="304">
        <v>4.1201909893571473</v>
      </c>
      <c r="N31" s="279"/>
      <c r="P31" t="s">
        <v>612</v>
      </c>
      <c r="Q31">
        <v>2.0172837757020856</v>
      </c>
    </row>
    <row r="32" spans="1:17">
      <c r="A32" s="288"/>
      <c r="B32" s="288" t="s">
        <v>617</v>
      </c>
      <c r="C32" s="300">
        <v>1.3077681447603451</v>
      </c>
      <c r="D32" s="300">
        <v>1.3264656346005246</v>
      </c>
      <c r="E32" s="300">
        <v>1.2675186459168004</v>
      </c>
      <c r="F32" s="300">
        <v>1.2371815900517291</v>
      </c>
      <c r="G32" s="300">
        <v>1.3400892147045451</v>
      </c>
      <c r="H32" s="300">
        <v>1.3745431787261013</v>
      </c>
      <c r="I32" s="300">
        <v>1.4300030966812953</v>
      </c>
      <c r="J32" s="300">
        <v>1.5249698050076177</v>
      </c>
      <c r="K32" s="301">
        <v>1.4010320424364349</v>
      </c>
      <c r="L32" s="301">
        <v>1.4768234988331752</v>
      </c>
      <c r="M32" s="301">
        <v>1.5475688452189258</v>
      </c>
      <c r="N32" s="279"/>
      <c r="P32" t="s">
        <v>619</v>
      </c>
      <c r="Q32">
        <v>2</v>
      </c>
    </row>
    <row r="33" spans="1:17">
      <c r="A33" s="288"/>
      <c r="B33" s="289" t="s">
        <v>618</v>
      </c>
      <c r="C33" s="303">
        <v>1.3476645895502306</v>
      </c>
      <c r="D33" s="303">
        <v>1.4507224821133848</v>
      </c>
      <c r="E33" s="303">
        <v>1.4277481133229453</v>
      </c>
      <c r="F33" s="303">
        <v>1.7337088298771755</v>
      </c>
      <c r="G33" s="303">
        <v>1.7916555494333513</v>
      </c>
      <c r="H33" s="303">
        <v>1.8356143805902454</v>
      </c>
      <c r="I33" s="303">
        <v>2.0089352922483621</v>
      </c>
      <c r="J33" s="303">
        <v>1.8526117451160138</v>
      </c>
      <c r="K33" s="304">
        <v>1.7352961048135909</v>
      </c>
      <c r="L33" s="304">
        <v>1.5971568724538199</v>
      </c>
      <c r="M33" s="304">
        <v>2.2516277550781809</v>
      </c>
      <c r="N33" s="279"/>
      <c r="P33" t="s">
        <v>599</v>
      </c>
      <c r="Q33">
        <v>1.8065856886024478</v>
      </c>
    </row>
    <row r="34" spans="1:17">
      <c r="A34" s="288"/>
      <c r="B34" s="288" t="s">
        <v>619</v>
      </c>
      <c r="C34" s="300">
        <v>0.98430535106210615</v>
      </c>
      <c r="D34" s="300">
        <v>1.110079520332764</v>
      </c>
      <c r="E34" s="300">
        <v>1.1162404099998646</v>
      </c>
      <c r="F34" s="300">
        <v>1.1038980044697568</v>
      </c>
      <c r="G34" s="300">
        <v>1.2221620412210987</v>
      </c>
      <c r="H34" s="300">
        <v>1.7044912993189161</v>
      </c>
      <c r="I34" s="300">
        <v>1.9213751887686881</v>
      </c>
      <c r="J34" s="300">
        <v>1.7417133556601336</v>
      </c>
      <c r="K34" s="301">
        <v>1.8070444653085729</v>
      </c>
      <c r="L34" s="301">
        <v>1.8403974021029317</v>
      </c>
      <c r="M34" s="301">
        <v>2</v>
      </c>
      <c r="N34" s="279"/>
      <c r="P34" t="s">
        <v>617</v>
      </c>
      <c r="Q34">
        <v>1.5475688452189258</v>
      </c>
    </row>
    <row r="35" spans="1:17">
      <c r="A35" s="288"/>
      <c r="B35" s="289" t="s">
        <v>620</v>
      </c>
      <c r="C35" s="303">
        <v>0.9737384612141603</v>
      </c>
      <c r="D35" s="303">
        <v>0.93011911981149309</v>
      </c>
      <c r="E35" s="303">
        <v>1.0042865127567493</v>
      </c>
      <c r="F35" s="303">
        <v>0.98163648949145865</v>
      </c>
      <c r="G35" s="303">
        <v>1.0084746165101541</v>
      </c>
      <c r="H35" s="303">
        <v>1.0523524465093761</v>
      </c>
      <c r="I35" s="303">
        <v>1.0585916083421971</v>
      </c>
      <c r="J35" s="303">
        <v>1.233377333096692</v>
      </c>
      <c r="K35" s="304">
        <v>1.2926493124012086</v>
      </c>
      <c r="L35" s="304">
        <v>1.3387935100893653</v>
      </c>
      <c r="M35" s="304">
        <v>1.2908213732437304</v>
      </c>
      <c r="N35" s="279"/>
      <c r="P35" t="s">
        <v>608</v>
      </c>
      <c r="Q35">
        <v>1.4910941208035369</v>
      </c>
    </row>
    <row r="36" spans="1:17">
      <c r="A36" s="288"/>
      <c r="B36" s="288" t="s">
        <v>621</v>
      </c>
      <c r="C36" s="300">
        <v>0.92075114661129887</v>
      </c>
      <c r="D36" s="300">
        <v>0.92754699969946897</v>
      </c>
      <c r="E36" s="300">
        <v>0.80885572764307889</v>
      </c>
      <c r="F36" s="300">
        <v>0.90564580229369318</v>
      </c>
      <c r="G36" s="300">
        <v>0.92803226955980744</v>
      </c>
      <c r="H36" s="300">
        <v>0.90574566463778383</v>
      </c>
      <c r="I36" s="300">
        <v>1.0044601924915773</v>
      </c>
      <c r="J36" s="300">
        <v>1.0264699866643758</v>
      </c>
      <c r="K36" s="301">
        <v>1.1594048323760728</v>
      </c>
      <c r="L36" s="301">
        <v>1.1937602649722381</v>
      </c>
      <c r="M36" s="301">
        <v>1.282549642204323</v>
      </c>
      <c r="N36" s="279"/>
      <c r="P36" t="s">
        <v>598</v>
      </c>
      <c r="Q36">
        <v>1.3651551143938319</v>
      </c>
    </row>
    <row r="37" spans="1:17">
      <c r="A37" s="288"/>
      <c r="B37" s="289" t="s">
        <v>622</v>
      </c>
      <c r="C37" s="299">
        <v>1.0644305762881403</v>
      </c>
      <c r="D37" s="299">
        <v>1.0105553676113777</v>
      </c>
      <c r="E37" s="299">
        <v>0.97490662298746045</v>
      </c>
      <c r="F37" s="299">
        <v>0.96663926774156095</v>
      </c>
      <c r="G37" s="299">
        <v>0.97101005540377805</v>
      </c>
      <c r="H37" s="299">
        <v>1.0407382658924766</v>
      </c>
      <c r="I37" s="299">
        <v>1.0947325536148964</v>
      </c>
      <c r="J37" s="299">
        <v>1.4211675326464202</v>
      </c>
      <c r="K37" s="299">
        <v>1.4528600048486808</v>
      </c>
      <c r="L37" s="299">
        <v>1.6594402994141382</v>
      </c>
      <c r="M37" s="299">
        <v>2.143210151776056</v>
      </c>
      <c r="N37" s="279"/>
      <c r="P37" t="s">
        <v>596</v>
      </c>
      <c r="Q37">
        <v>1.2991611084952479</v>
      </c>
    </row>
    <row r="38" spans="1:17">
      <c r="A38" s="288"/>
      <c r="B38" s="288" t="s">
        <v>623</v>
      </c>
      <c r="C38" s="305">
        <v>1.4466412684504484</v>
      </c>
      <c r="D38" s="305">
        <v>1.3833632282677384</v>
      </c>
      <c r="E38" s="305">
        <v>1.4544851145157458</v>
      </c>
      <c r="F38" s="305">
        <v>1.5101281410725891</v>
      </c>
      <c r="G38" s="305">
        <v>1.8159145073377114</v>
      </c>
      <c r="H38" s="305">
        <v>1.8525008335678617</v>
      </c>
      <c r="I38" s="305">
        <v>1.8601267928464018</v>
      </c>
      <c r="J38" s="305">
        <v>1.6052848775823185</v>
      </c>
      <c r="K38" s="306">
        <v>1.3569587787944699</v>
      </c>
      <c r="L38" s="306">
        <v>1.49884416942347</v>
      </c>
      <c r="M38" s="306">
        <v>2.0890202976150429</v>
      </c>
      <c r="N38" s="279"/>
      <c r="P38" t="s">
        <v>611</v>
      </c>
      <c r="Q38">
        <v>1.2935808360974441</v>
      </c>
    </row>
    <row r="39" spans="1:17">
      <c r="A39" s="288"/>
      <c r="B39" s="289" t="s">
        <v>370</v>
      </c>
      <c r="C39" s="298">
        <v>2.1423756962030893</v>
      </c>
      <c r="D39" s="298">
        <v>2.0318995706903014</v>
      </c>
      <c r="E39" s="298">
        <v>2.0882048758689429</v>
      </c>
      <c r="F39" s="298">
        <v>2.0772049630479397</v>
      </c>
      <c r="G39" s="298">
        <v>2.1001678509959567</v>
      </c>
      <c r="H39" s="298">
        <v>2.0819421993884295</v>
      </c>
      <c r="I39" s="298">
        <v>2.3520820343983333</v>
      </c>
      <c r="J39" s="298">
        <v>2.2890188999592396</v>
      </c>
      <c r="K39" s="299">
        <v>2.2852877176642599</v>
      </c>
      <c r="L39" s="299">
        <v>2.3026834331913704</v>
      </c>
      <c r="M39" s="299">
        <v>2.3322602255087128</v>
      </c>
      <c r="N39" s="279"/>
      <c r="P39" t="s">
        <v>620</v>
      </c>
      <c r="Q39">
        <v>1.2908213732437304</v>
      </c>
    </row>
    <row r="40" spans="1:17">
      <c r="A40" s="288"/>
      <c r="B40" s="288" t="s">
        <v>624</v>
      </c>
      <c r="C40" s="305">
        <v>3.7139172994177043</v>
      </c>
      <c r="D40" s="305">
        <v>3.5050687840225803</v>
      </c>
      <c r="E40" s="305">
        <v>3.49608027384535</v>
      </c>
      <c r="F40" s="305">
        <v>3.2820879654442607</v>
      </c>
      <c r="G40" s="305">
        <v>3.2571300122054732</v>
      </c>
      <c r="H40" s="305">
        <v>3.4715857523401015</v>
      </c>
      <c r="I40" s="305">
        <v>3.5773430775485204</v>
      </c>
      <c r="J40" s="305">
        <v>3.5268367534098526</v>
      </c>
      <c r="K40" s="306">
        <v>3.3120710807410436</v>
      </c>
      <c r="L40" s="306">
        <v>3.232423677565305</v>
      </c>
      <c r="M40" s="306">
        <v>3.3790207262385565</v>
      </c>
      <c r="N40" s="279"/>
      <c r="P40" t="s">
        <v>621</v>
      </c>
      <c r="Q40">
        <v>1.282549642204323</v>
      </c>
    </row>
    <row r="41" spans="1:17">
      <c r="A41" s="307" t="s">
        <v>625</v>
      </c>
      <c r="B41" s="308"/>
      <c r="C41" s="309">
        <v>1.4278082919106425</v>
      </c>
      <c r="D41" s="309">
        <v>1.4235905263572248</v>
      </c>
      <c r="E41" s="309">
        <v>1.4385267420172207</v>
      </c>
      <c r="F41" s="309">
        <v>1.4777917414522164</v>
      </c>
      <c r="G41" s="309">
        <v>1.5116958768416593</v>
      </c>
      <c r="H41" s="309">
        <v>1.5406884358348552</v>
      </c>
      <c r="I41" s="309">
        <v>1.7213964363124601</v>
      </c>
      <c r="J41" s="309">
        <v>1.6580387561465986</v>
      </c>
      <c r="K41" s="310">
        <v>1.6586735405031181</v>
      </c>
      <c r="L41" s="310">
        <v>1.7754774900155899</v>
      </c>
      <c r="M41" s="310">
        <v>2.0154548520439497</v>
      </c>
      <c r="N41" s="311"/>
    </row>
    <row r="42" spans="1:17">
      <c r="A42" s="307" t="s">
        <v>626</v>
      </c>
      <c r="B42" s="308"/>
      <c r="C42" s="309">
        <v>2.5785805502066639</v>
      </c>
      <c r="D42" s="309">
        <v>2.4765060155213505</v>
      </c>
      <c r="E42" s="309">
        <v>2.4789265762768897</v>
      </c>
      <c r="F42" s="309">
        <v>2.3874315163230011</v>
      </c>
      <c r="G42" s="309">
        <v>2.3961537030455871</v>
      </c>
      <c r="H42" s="309">
        <v>2.522916612237466</v>
      </c>
      <c r="I42" s="309">
        <v>2.6851882905258178</v>
      </c>
      <c r="J42" s="309">
        <v>2.6255994241879068</v>
      </c>
      <c r="K42" s="310">
        <v>2.5076563765782325</v>
      </c>
      <c r="L42" s="310">
        <v>2.5252496924979835</v>
      </c>
      <c r="M42" s="310">
        <v>2.7127497283473159</v>
      </c>
      <c r="N42" s="311"/>
    </row>
    <row r="43" spans="1:17">
      <c r="A43" s="284" t="s">
        <v>627</v>
      </c>
      <c r="B43" s="285"/>
      <c r="C43" s="312"/>
      <c r="D43" s="313"/>
      <c r="E43" s="313"/>
      <c r="F43" s="313"/>
      <c r="G43" s="313"/>
      <c r="H43" s="313"/>
      <c r="I43" s="313"/>
      <c r="J43" s="313"/>
      <c r="K43" s="313"/>
      <c r="L43" s="313"/>
      <c r="M43" s="313"/>
      <c r="N43" s="287"/>
    </row>
    <row r="44" spans="1:17">
      <c r="A44" s="293"/>
      <c r="B44" s="294" t="s">
        <v>595</v>
      </c>
      <c r="C44" s="295">
        <v>-2.7368168941900861</v>
      </c>
      <c r="D44" s="295">
        <v>-11.764668351469176</v>
      </c>
      <c r="E44" s="295">
        <v>-1.9033642547949481</v>
      </c>
      <c r="F44" s="295">
        <v>4.3218158734147361</v>
      </c>
      <c r="G44" s="295">
        <v>8.839957180925694</v>
      </c>
      <c r="H44" s="295">
        <v>12.667540598282457</v>
      </c>
      <c r="I44" s="295">
        <v>-2.1667338051549523</v>
      </c>
      <c r="J44" s="295">
        <v>4.4670723812812341</v>
      </c>
      <c r="K44" s="295">
        <v>1.959131626786248</v>
      </c>
      <c r="L44" s="296">
        <v>49.271643036467204</v>
      </c>
      <c r="M44" s="296">
        <v>19.76139132076802</v>
      </c>
      <c r="N44" s="279"/>
    </row>
    <row r="45" spans="1:17">
      <c r="A45" s="293"/>
      <c r="B45" s="297" t="s">
        <v>596</v>
      </c>
      <c r="C45" s="298">
        <v>-2.2522511516156585</v>
      </c>
      <c r="D45" s="298">
        <v>-4.4441945705039565</v>
      </c>
      <c r="E45" s="298">
        <v>-0.3603787033340855</v>
      </c>
      <c r="F45" s="298">
        <v>0.35673014137973524</v>
      </c>
      <c r="G45" s="298">
        <v>2.6901680544451523</v>
      </c>
      <c r="H45" s="298">
        <v>1.9039858670446108</v>
      </c>
      <c r="I45" s="298">
        <v>7.9571576241606934</v>
      </c>
      <c r="J45" s="298">
        <v>9.6371843358321598</v>
      </c>
      <c r="K45" s="298">
        <v>17.24910869085199</v>
      </c>
      <c r="L45" s="299">
        <v>3.7047200858726814</v>
      </c>
      <c r="M45" s="299">
        <v>8.8917043074540061</v>
      </c>
      <c r="N45" s="279"/>
    </row>
    <row r="46" spans="1:17">
      <c r="A46" s="293"/>
      <c r="B46" s="294" t="s">
        <v>597</v>
      </c>
      <c r="C46" s="300">
        <v>-9.0840544364998994</v>
      </c>
      <c r="D46" s="300">
        <v>-1.5573647508574706</v>
      </c>
      <c r="E46" s="300">
        <v>2.7988982405939167</v>
      </c>
      <c r="F46" s="300">
        <v>0.95650082474494358</v>
      </c>
      <c r="G46" s="300">
        <v>21.793330523597156</v>
      </c>
      <c r="H46" s="300">
        <v>124.94424435448184</v>
      </c>
      <c r="I46" s="300">
        <v>-51.156886634813681</v>
      </c>
      <c r="J46" s="300">
        <v>2.492389049666377</v>
      </c>
      <c r="K46" s="300">
        <v>9.073866438950029</v>
      </c>
      <c r="L46" s="301">
        <v>25.374106447566636</v>
      </c>
      <c r="M46" s="301">
        <v>13.294872662542767</v>
      </c>
      <c r="N46" s="279"/>
    </row>
    <row r="47" spans="1:17">
      <c r="A47" s="293"/>
      <c r="B47" s="297" t="s">
        <v>598</v>
      </c>
      <c r="C47" s="298">
        <v>4.952269109577756</v>
      </c>
      <c r="D47" s="298">
        <v>20.088502554065069</v>
      </c>
      <c r="E47" s="298">
        <v>-2.4793583902647964</v>
      </c>
      <c r="F47" s="298">
        <v>27.756425017145681</v>
      </c>
      <c r="G47" s="298">
        <v>-7.1762297133475039</v>
      </c>
      <c r="H47" s="298">
        <v>1.6110734098499613</v>
      </c>
      <c r="I47" s="298">
        <v>3.3690359409353388</v>
      </c>
      <c r="J47" s="298">
        <v>-5.0788083677561602</v>
      </c>
      <c r="K47" s="298">
        <v>-2.0815686155729596</v>
      </c>
      <c r="L47" s="299">
        <v>10.327212629282268</v>
      </c>
      <c r="M47" s="299">
        <v>5.4631907766997889</v>
      </c>
      <c r="N47" s="279"/>
    </row>
    <row r="48" spans="1:17">
      <c r="A48" s="293"/>
      <c r="B48" s="302" t="s">
        <v>599</v>
      </c>
      <c r="C48" s="300">
        <v>25.917065385182923</v>
      </c>
      <c r="D48" s="300">
        <v>-1.0336265958526658</v>
      </c>
      <c r="E48" s="300">
        <v>-5.9575534902818088</v>
      </c>
      <c r="F48" s="300">
        <v>6.1527339161856487</v>
      </c>
      <c r="G48" s="300">
        <v>-2.8140754627999365</v>
      </c>
      <c r="H48" s="300">
        <v>7.191736009881633</v>
      </c>
      <c r="I48" s="300">
        <v>-3.0207615823734657</v>
      </c>
      <c r="J48" s="300">
        <v>30.815264430375077</v>
      </c>
      <c r="K48" s="300">
        <v>-2.3958622497922244</v>
      </c>
      <c r="L48" s="301">
        <v>0.73284178457677651</v>
      </c>
      <c r="M48" s="301">
        <v>7.1061074181185013</v>
      </c>
      <c r="N48" s="279"/>
    </row>
    <row r="49" spans="1:14">
      <c r="A49" s="293"/>
      <c r="B49" s="297" t="s">
        <v>600</v>
      </c>
      <c r="C49" s="298">
        <v>-4.9073911109639656</v>
      </c>
      <c r="D49" s="298">
        <v>14.137573051199247</v>
      </c>
      <c r="E49" s="298">
        <v>-4.6135264259166586</v>
      </c>
      <c r="F49" s="298">
        <v>14.320189901076908</v>
      </c>
      <c r="G49" s="298">
        <v>10.325207330867524</v>
      </c>
      <c r="H49" s="298">
        <v>10.144200991490692</v>
      </c>
      <c r="I49" s="298">
        <v>4.1077073346986515</v>
      </c>
      <c r="J49" s="298">
        <v>10.604406618110174</v>
      </c>
      <c r="K49" s="298">
        <v>-1.2526656643354284</v>
      </c>
      <c r="L49" s="299">
        <v>2.0093009299060771</v>
      </c>
      <c r="M49" s="299">
        <v>54.650071990684943</v>
      </c>
      <c r="N49" s="279"/>
    </row>
    <row r="50" spans="1:14">
      <c r="A50" s="293"/>
      <c r="B50" s="302" t="s">
        <v>601</v>
      </c>
      <c r="C50" s="300">
        <v>-4.8398653803395586</v>
      </c>
      <c r="D50" s="300">
        <v>-1.0278472769420954</v>
      </c>
      <c r="E50" s="300">
        <v>6.6183047232239112</v>
      </c>
      <c r="F50" s="300">
        <v>1.9754691983406181</v>
      </c>
      <c r="G50" s="300">
        <v>14.47038316594098</v>
      </c>
      <c r="H50" s="300">
        <v>2.8787328305408533</v>
      </c>
      <c r="I50" s="300">
        <v>3.7625235952729597</v>
      </c>
      <c r="J50" s="300">
        <v>0.87281994422565568</v>
      </c>
      <c r="K50" s="300">
        <v>8.0668286047176352</v>
      </c>
      <c r="L50" s="301">
        <v>50.040955890545426</v>
      </c>
      <c r="M50" s="301">
        <v>20.657173895038117</v>
      </c>
      <c r="N50" s="279"/>
    </row>
    <row r="51" spans="1:14">
      <c r="A51" s="293"/>
      <c r="B51" s="297" t="s">
        <v>602</v>
      </c>
      <c r="C51" s="298">
        <v>3.7417059126344521</v>
      </c>
      <c r="D51" s="298">
        <v>7.415857283409566</v>
      </c>
      <c r="E51" s="298">
        <v>5.2407427430219089</v>
      </c>
      <c r="F51" s="298">
        <v>2.6806590965888999</v>
      </c>
      <c r="G51" s="298">
        <v>3.7339825814646233</v>
      </c>
      <c r="H51" s="298">
        <v>5.3355714024817757</v>
      </c>
      <c r="I51" s="298">
        <v>12.04696357968329</v>
      </c>
      <c r="J51" s="298">
        <v>-5.0148783803585335</v>
      </c>
      <c r="K51" s="298">
        <v>5.7499335186491862</v>
      </c>
      <c r="L51" s="299">
        <v>36.117410493649452</v>
      </c>
      <c r="M51" s="299">
        <v>12.555510716155949</v>
      </c>
      <c r="N51" s="279"/>
    </row>
    <row r="52" spans="1:14">
      <c r="A52" s="293"/>
      <c r="B52" s="302" t="s">
        <v>603</v>
      </c>
      <c r="C52" s="300">
        <v>-6.0346102957133718</v>
      </c>
      <c r="D52" s="300">
        <v>0.41951528784858194</v>
      </c>
      <c r="E52" s="300">
        <v>0.6835609274143728</v>
      </c>
      <c r="F52" s="300">
        <v>0.54646301734757596</v>
      </c>
      <c r="G52" s="300">
        <v>1.3887652021169705</v>
      </c>
      <c r="H52" s="300">
        <v>5.9845759613400773</v>
      </c>
      <c r="I52" s="300">
        <v>2.8745548077800942</v>
      </c>
      <c r="J52" s="300">
        <v>-6.073787496933603</v>
      </c>
      <c r="K52" s="300">
        <v>21.497282781748716</v>
      </c>
      <c r="L52" s="301">
        <v>23.276128785436146</v>
      </c>
      <c r="M52" s="301">
        <v>15.242019961504848</v>
      </c>
      <c r="N52" s="279"/>
    </row>
    <row r="53" spans="1:14">
      <c r="A53" s="293"/>
      <c r="B53" s="297" t="s">
        <v>604</v>
      </c>
      <c r="C53" s="298">
        <v>-1.213158682804194</v>
      </c>
      <c r="D53" s="298">
        <v>-0.99957683684518406</v>
      </c>
      <c r="E53" s="298">
        <v>1.3822078659821324</v>
      </c>
      <c r="F53" s="298">
        <v>1.7337257590402055</v>
      </c>
      <c r="G53" s="298">
        <v>3.6078496636074098</v>
      </c>
      <c r="H53" s="298">
        <v>2.1079133135153416</v>
      </c>
      <c r="I53" s="298">
        <v>1.2203738651883622</v>
      </c>
      <c r="J53" s="298">
        <v>2.2003973814367805</v>
      </c>
      <c r="K53" s="298">
        <v>0.93210938922656528</v>
      </c>
      <c r="L53" s="299">
        <v>5.0247111839494041</v>
      </c>
      <c r="M53" s="299">
        <v>6.0541226779341484</v>
      </c>
      <c r="N53" s="279"/>
    </row>
    <row r="54" spans="1:14">
      <c r="A54" s="293"/>
      <c r="B54" s="302" t="s">
        <v>605</v>
      </c>
      <c r="C54" s="300">
        <v>-1.3940128741825042</v>
      </c>
      <c r="D54" s="300">
        <v>1.4234036677905682</v>
      </c>
      <c r="E54" s="300">
        <v>3.3622957092654726</v>
      </c>
      <c r="F54" s="300">
        <v>5.5022539353673849</v>
      </c>
      <c r="G54" s="300">
        <v>2.5692322245305377</v>
      </c>
      <c r="H54" s="300">
        <v>9.0872665929021537</v>
      </c>
      <c r="I54" s="300">
        <v>7.4783358418991197</v>
      </c>
      <c r="J54" s="300">
        <v>-0.95829229128390203</v>
      </c>
      <c r="K54" s="300">
        <v>5.5582459802394846</v>
      </c>
      <c r="L54" s="301">
        <v>8.8385639831148666</v>
      </c>
      <c r="M54" s="301">
        <v>29.447100743086764</v>
      </c>
      <c r="N54" s="279"/>
    </row>
    <row r="55" spans="1:14">
      <c r="A55" s="293"/>
      <c r="B55" s="297" t="s">
        <v>606</v>
      </c>
      <c r="C55" s="298">
        <v>0.44036097262403207</v>
      </c>
      <c r="D55" s="298">
        <v>3.7188861271453488</v>
      </c>
      <c r="E55" s="298">
        <v>3.4690805107072009</v>
      </c>
      <c r="F55" s="298">
        <v>0.14808220965223384</v>
      </c>
      <c r="G55" s="298">
        <v>8.5484261412192897</v>
      </c>
      <c r="H55" s="298">
        <v>-1.941942042094924</v>
      </c>
      <c r="I55" s="298">
        <v>8.2487831085024776</v>
      </c>
      <c r="J55" s="298">
        <v>37.704413356953673</v>
      </c>
      <c r="K55" s="298">
        <v>10.915051960771249</v>
      </c>
      <c r="L55" s="299">
        <v>-26.321932541953441</v>
      </c>
      <c r="M55" s="299">
        <v>11.854749406665333</v>
      </c>
      <c r="N55" s="279"/>
    </row>
    <row r="56" spans="1:14">
      <c r="A56" s="293"/>
      <c r="B56" s="302" t="s">
        <v>607</v>
      </c>
      <c r="C56" s="300">
        <v>-5.2247324052206778</v>
      </c>
      <c r="D56" s="300">
        <v>9.3788292141726348</v>
      </c>
      <c r="E56" s="300">
        <v>13.192340732079643</v>
      </c>
      <c r="F56" s="300">
        <v>24.203150793034943</v>
      </c>
      <c r="G56" s="300">
        <v>-11.188111902956033</v>
      </c>
      <c r="H56" s="300">
        <v>39.174615957953954</v>
      </c>
      <c r="I56" s="300">
        <v>25.852238283943009</v>
      </c>
      <c r="J56" s="300">
        <v>-19.456768259118117</v>
      </c>
      <c r="K56" s="300">
        <v>45.315155290335895</v>
      </c>
      <c r="L56" s="301">
        <v>10.569120047446079</v>
      </c>
      <c r="M56" s="301">
        <v>4.9874761827003011</v>
      </c>
      <c r="N56" s="279"/>
    </row>
    <row r="57" spans="1:14">
      <c r="A57" s="293"/>
      <c r="B57" s="297" t="s">
        <v>608</v>
      </c>
      <c r="C57" s="298">
        <v>-9.8061855683458266</v>
      </c>
      <c r="D57" s="298">
        <v>-5.8287058887802274</v>
      </c>
      <c r="E57" s="298">
        <v>12.053466541847314</v>
      </c>
      <c r="F57" s="298">
        <v>3.7544351041094215</v>
      </c>
      <c r="G57" s="298">
        <v>2.7719759659628362</v>
      </c>
      <c r="H57" s="298">
        <v>-3.9440044123568274</v>
      </c>
      <c r="I57" s="298">
        <v>23.328617531297468</v>
      </c>
      <c r="J57" s="298">
        <v>4.9058357982689538</v>
      </c>
      <c r="K57" s="298">
        <v>3.0710760568907425</v>
      </c>
      <c r="L57" s="299">
        <v>-0.55802902595246673</v>
      </c>
      <c r="M57" s="299">
        <v>0.11738108690142468</v>
      </c>
      <c r="N57" s="279"/>
    </row>
    <row r="58" spans="1:14">
      <c r="A58" s="293"/>
      <c r="B58" s="302" t="s">
        <v>609</v>
      </c>
      <c r="C58" s="300">
        <v>2.3940632818099106</v>
      </c>
      <c r="D58" s="300">
        <v>14.655386229566547</v>
      </c>
      <c r="E58" s="300">
        <v>42.291762346012128</v>
      </c>
      <c r="F58" s="300">
        <v>14.613096836409989</v>
      </c>
      <c r="G58" s="300">
        <v>34.535538035495605</v>
      </c>
      <c r="H58" s="300">
        <v>-1.2505460995445361</v>
      </c>
      <c r="I58" s="300">
        <v>3.0946448035179541</v>
      </c>
      <c r="J58" s="300">
        <v>3.0968909696997615</v>
      </c>
      <c r="K58" s="300">
        <v>4.4792346747628109</v>
      </c>
      <c r="L58" s="301">
        <v>35.289222316443116</v>
      </c>
      <c r="M58" s="301">
        <v>11.562425826701572</v>
      </c>
      <c r="N58" s="279"/>
    </row>
    <row r="59" spans="1:14">
      <c r="A59" s="293"/>
      <c r="B59" s="297" t="s">
        <v>610</v>
      </c>
      <c r="C59" s="298">
        <v>19.384024540572263</v>
      </c>
      <c r="D59" s="298">
        <v>31.958915514224984</v>
      </c>
      <c r="E59" s="298">
        <v>33.132946392858351</v>
      </c>
      <c r="F59" s="298">
        <v>20.839854747805141</v>
      </c>
      <c r="G59" s="298">
        <v>19.37550644979904</v>
      </c>
      <c r="H59" s="298">
        <v>6.2385042538467994</v>
      </c>
      <c r="I59" s="298">
        <v>3.5147004367721113</v>
      </c>
      <c r="J59" s="298">
        <v>0.66548331521090187</v>
      </c>
      <c r="K59" s="298">
        <v>28.031967913531307</v>
      </c>
      <c r="L59" s="299">
        <v>13.345497089837499</v>
      </c>
      <c r="M59" s="299">
        <v>4.2543444558356347</v>
      </c>
      <c r="N59" s="279"/>
    </row>
    <row r="60" spans="1:14">
      <c r="A60" s="293"/>
      <c r="B60" s="288" t="s">
        <v>611</v>
      </c>
      <c r="C60" s="300">
        <v>4.9160711017961933</v>
      </c>
      <c r="D60" s="300">
        <v>15.29665444599868</v>
      </c>
      <c r="E60" s="300">
        <v>-3.8200432089966152</v>
      </c>
      <c r="F60" s="300">
        <v>32.0351784518516</v>
      </c>
      <c r="G60" s="300">
        <v>2.5939588184893836</v>
      </c>
      <c r="H60" s="300">
        <v>12.373832162752851</v>
      </c>
      <c r="I60" s="300">
        <v>4.7233495180098117</v>
      </c>
      <c r="J60" s="300">
        <v>-12.622829384731549</v>
      </c>
      <c r="K60" s="300">
        <v>21.061030794042757</v>
      </c>
      <c r="L60" s="301">
        <v>31.170329692788279</v>
      </c>
      <c r="M60" s="301">
        <v>17.860256740341619</v>
      </c>
      <c r="N60" s="279"/>
    </row>
    <row r="61" spans="1:14">
      <c r="A61" s="293"/>
      <c r="B61" s="289" t="s">
        <v>612</v>
      </c>
      <c r="C61" s="303">
        <v>4.4923673399756225</v>
      </c>
      <c r="D61" s="303">
        <v>-3.5024801938243422</v>
      </c>
      <c r="E61" s="303">
        <v>4.3338613086440603</v>
      </c>
      <c r="F61" s="303">
        <v>-1.3432184382530354</v>
      </c>
      <c r="G61" s="303">
        <v>7.2901984817254739</v>
      </c>
      <c r="H61" s="303">
        <v>1.3575483992672055</v>
      </c>
      <c r="I61" s="303">
        <v>10.017646316105132</v>
      </c>
      <c r="J61" s="303">
        <v>1.4838732988541325</v>
      </c>
      <c r="K61" s="303">
        <v>-5.9786795631627694</v>
      </c>
      <c r="L61" s="304">
        <v>18.813675697219256</v>
      </c>
      <c r="M61" s="304">
        <v>34.969145356170436</v>
      </c>
      <c r="N61" s="279"/>
    </row>
    <row r="62" spans="1:14">
      <c r="A62" s="293"/>
      <c r="B62" s="288" t="s">
        <v>613</v>
      </c>
      <c r="C62" s="300">
        <v>0.19396107692655207</v>
      </c>
      <c r="D62" s="300">
        <v>0.26047654653655883</v>
      </c>
      <c r="E62" s="300">
        <v>4.4335740848862937</v>
      </c>
      <c r="F62" s="300">
        <v>2.1703767030246013</v>
      </c>
      <c r="G62" s="300">
        <v>8.4114293951852446</v>
      </c>
      <c r="H62" s="300">
        <v>10.901669079232157</v>
      </c>
      <c r="I62" s="300">
        <v>2.1766433249294392</v>
      </c>
      <c r="J62" s="300">
        <v>2.5897387047855824</v>
      </c>
      <c r="K62" s="300">
        <v>10.326394450395938</v>
      </c>
      <c r="L62" s="301">
        <v>15.743337155602743</v>
      </c>
      <c r="M62" s="301">
        <v>24.245146519224271</v>
      </c>
      <c r="N62" s="279"/>
    </row>
    <row r="63" spans="1:14">
      <c r="A63" s="293"/>
      <c r="B63" s="289" t="s">
        <v>614</v>
      </c>
      <c r="C63" s="303">
        <v>-3.5803796906001883</v>
      </c>
      <c r="D63" s="303">
        <v>-8.516611713663691E-2</v>
      </c>
      <c r="E63" s="303">
        <v>-4.7132915824637518</v>
      </c>
      <c r="F63" s="303">
        <v>-6.7459806112847964</v>
      </c>
      <c r="G63" s="303">
        <v>8.3977723287274042</v>
      </c>
      <c r="H63" s="303">
        <v>27.726138740608096</v>
      </c>
      <c r="I63" s="303">
        <v>2.010834893500224</v>
      </c>
      <c r="J63" s="303">
        <v>22.464874793458666</v>
      </c>
      <c r="K63" s="303">
        <v>12.935149396588885</v>
      </c>
      <c r="L63" s="304">
        <v>13.742787584489502</v>
      </c>
      <c r="M63" s="304">
        <v>26.162166160753241</v>
      </c>
      <c r="N63" s="279"/>
    </row>
    <row r="64" spans="1:14">
      <c r="A64" s="293"/>
      <c r="B64" s="288" t="s">
        <v>615</v>
      </c>
      <c r="C64" s="300">
        <v>5.3797724718113615</v>
      </c>
      <c r="D64" s="300">
        <v>4.722599448747955</v>
      </c>
      <c r="E64" s="300">
        <v>10.84405734051137</v>
      </c>
      <c r="F64" s="300">
        <v>0.77770746238352562</v>
      </c>
      <c r="G64" s="300">
        <v>1.4276202326034992</v>
      </c>
      <c r="H64" s="300">
        <v>8.6961966834298678</v>
      </c>
      <c r="I64" s="300">
        <v>5.2682730778103926</v>
      </c>
      <c r="J64" s="300">
        <v>-11.401626970912071</v>
      </c>
      <c r="K64" s="300">
        <v>-10.017731013836206</v>
      </c>
      <c r="L64" s="301">
        <v>24.401705902748194</v>
      </c>
      <c r="M64" s="301">
        <v>22.238185781110431</v>
      </c>
      <c r="N64" s="279"/>
    </row>
    <row r="65" spans="1:14">
      <c r="A65" s="293"/>
      <c r="B65" s="289" t="s">
        <v>616</v>
      </c>
      <c r="C65" s="303">
        <v>11.377674757173573</v>
      </c>
      <c r="D65" s="303">
        <v>23.747228390712571</v>
      </c>
      <c r="E65" s="303">
        <v>-7.3026233451758626</v>
      </c>
      <c r="F65" s="303">
        <v>-0.34488181979260846</v>
      </c>
      <c r="G65" s="303">
        <v>12.616635724541258</v>
      </c>
      <c r="H65" s="303">
        <v>2.871161710046688</v>
      </c>
      <c r="I65" s="303">
        <v>10.0495543697104</v>
      </c>
      <c r="J65" s="303">
        <v>6.1345894379624788</v>
      </c>
      <c r="K65" s="303">
        <v>6.3336462400856997</v>
      </c>
      <c r="L65" s="304">
        <v>46.611180185347976</v>
      </c>
      <c r="M65" s="304">
        <v>30.070584420574399</v>
      </c>
      <c r="N65" s="279"/>
    </row>
    <row r="66" spans="1:14">
      <c r="A66" s="293"/>
      <c r="B66" s="288" t="s">
        <v>617</v>
      </c>
      <c r="C66" s="300">
        <v>-8.5174680786750159</v>
      </c>
      <c r="D66" s="300">
        <v>3.2473927789523405</v>
      </c>
      <c r="E66" s="300">
        <v>-2.514172277814164</v>
      </c>
      <c r="F66" s="300">
        <v>1.0290024463094571</v>
      </c>
      <c r="G66" s="300">
        <v>11.404237932466611</v>
      </c>
      <c r="H66" s="300">
        <v>5.3227547840409617</v>
      </c>
      <c r="I66" s="300">
        <v>-4.6006356978705369</v>
      </c>
      <c r="J66" s="300">
        <v>12.759475183044945</v>
      </c>
      <c r="K66" s="300">
        <v>-1.8546038129298226</v>
      </c>
      <c r="L66" s="301">
        <v>7.7932693030723588</v>
      </c>
      <c r="M66" s="301">
        <v>6.518528299733406</v>
      </c>
      <c r="N66" s="279"/>
    </row>
    <row r="67" spans="1:14">
      <c r="A67" s="293"/>
      <c r="B67" s="289" t="s">
        <v>618</v>
      </c>
      <c r="C67" s="303">
        <v>8.6086724642138623</v>
      </c>
      <c r="D67" s="303">
        <v>11.049332617538511</v>
      </c>
      <c r="E67" s="303">
        <v>1.2286046693006591</v>
      </c>
      <c r="F67" s="303">
        <v>31.382650861837714</v>
      </c>
      <c r="G67" s="303">
        <v>9.572782671204628</v>
      </c>
      <c r="H67" s="303">
        <v>6.4012506065114883</v>
      </c>
      <c r="I67" s="303">
        <v>5.4174241959081382</v>
      </c>
      <c r="J67" s="303">
        <v>-2.516741380339993</v>
      </c>
      <c r="K67" s="303">
        <v>-2.485503248866916</v>
      </c>
      <c r="L67" s="304">
        <v>-5.9831470986605577</v>
      </c>
      <c r="M67" s="304">
        <v>45.631411892434848</v>
      </c>
      <c r="N67" s="279"/>
    </row>
    <row r="68" spans="1:14">
      <c r="A68" s="293"/>
      <c r="B68" s="288" t="s">
        <v>619</v>
      </c>
      <c r="C68" s="300">
        <v>3.254812388306294</v>
      </c>
      <c r="D68" s="300">
        <v>18.605404701013505</v>
      </c>
      <c r="E68" s="300">
        <v>2.5097350431284804</v>
      </c>
      <c r="F68" s="300">
        <v>1.7998699737648449</v>
      </c>
      <c r="G68" s="300">
        <v>15.175489879854842</v>
      </c>
      <c r="H68" s="300">
        <v>42.967575802602354</v>
      </c>
      <c r="I68" s="300">
        <v>8.9708532937154306</v>
      </c>
      <c r="J68" s="300">
        <v>-5.0256104541871132</v>
      </c>
      <c r="K68" s="300">
        <v>5.6911486011387735</v>
      </c>
      <c r="L68" s="301">
        <v>3.471638567486246</v>
      </c>
      <c r="M68" s="301">
        <v>10.356224062283093</v>
      </c>
      <c r="N68" s="279"/>
    </row>
    <row r="69" spans="1:14">
      <c r="A69" s="293"/>
      <c r="B69" s="289" t="s">
        <v>620</v>
      </c>
      <c r="C69" s="303">
        <v>-4.4182104439418506</v>
      </c>
      <c r="D69" s="303">
        <v>-2.3684952088908751</v>
      </c>
      <c r="E69" s="303">
        <v>11.420338138428242</v>
      </c>
      <c r="F69" s="303">
        <v>2.4514414528565176</v>
      </c>
      <c r="G69" s="303">
        <v>7.3101678183338237</v>
      </c>
      <c r="H69" s="303">
        <v>8.0268591034653003</v>
      </c>
      <c r="I69" s="303">
        <v>-3.6731483762605377</v>
      </c>
      <c r="J69" s="303">
        <v>26.09827579777717</v>
      </c>
      <c r="K69" s="303">
        <v>7.3847061191384178</v>
      </c>
      <c r="L69" s="304">
        <v>5.2132856897087576</v>
      </c>
      <c r="M69" s="304">
        <v>-1.4068344244102304</v>
      </c>
      <c r="N69" s="279"/>
    </row>
    <row r="70" spans="1:14">
      <c r="A70" s="293"/>
      <c r="B70" s="288" t="s">
        <v>621</v>
      </c>
      <c r="C70" s="300">
        <v>0.36060347233972667</v>
      </c>
      <c r="D70" s="300">
        <v>4.6049271746999798</v>
      </c>
      <c r="E70" s="300">
        <v>-10.14720137617684</v>
      </c>
      <c r="F70" s="300">
        <v>15.298044790167831</v>
      </c>
      <c r="G70" s="300">
        <v>4.8129092389565864</v>
      </c>
      <c r="H70" s="300">
        <v>-0.46516883196001668</v>
      </c>
      <c r="I70" s="300">
        <v>-1.4857786285250807</v>
      </c>
      <c r="J70" s="300">
        <v>8.734789149826705</v>
      </c>
      <c r="K70" s="300">
        <v>19.468766188103579</v>
      </c>
      <c r="L70" s="301">
        <v>5.5405789639272784</v>
      </c>
      <c r="M70" s="301">
        <v>9.3182040533922539</v>
      </c>
      <c r="N70" s="279"/>
    </row>
    <row r="71" spans="1:14">
      <c r="A71" s="293"/>
      <c r="B71" s="289" t="s">
        <v>622</v>
      </c>
      <c r="C71" s="299">
        <v>4.2777801218716327</v>
      </c>
      <c r="D71" s="299">
        <v>-1.0407195154757742</v>
      </c>
      <c r="E71" s="299">
        <v>-1.7587311278345896</v>
      </c>
      <c r="F71" s="299">
        <v>1.9481801945892219</v>
      </c>
      <c r="G71" s="299">
        <v>2.493514420530607</v>
      </c>
      <c r="H71" s="299">
        <v>9.3503168575248772</v>
      </c>
      <c r="I71" s="299">
        <v>2.734231417802957</v>
      </c>
      <c r="J71" s="299">
        <v>37.534885061951393</v>
      </c>
      <c r="K71" s="299">
        <v>5.040491894743826</v>
      </c>
      <c r="L71" s="299">
        <v>14.228027615404493</v>
      </c>
      <c r="M71" s="299">
        <v>29.872495272404453</v>
      </c>
      <c r="N71" s="279"/>
    </row>
    <row r="72" spans="1:14">
      <c r="A72" s="293"/>
      <c r="B72" s="288" t="s">
        <v>623</v>
      </c>
      <c r="C72" s="305">
        <v>0.7845060554969141</v>
      </c>
      <c r="D72" s="305">
        <v>1.4442083699446329</v>
      </c>
      <c r="E72" s="305">
        <v>8.6351616746174198</v>
      </c>
      <c r="F72" s="305">
        <v>11.614611947540897</v>
      </c>
      <c r="G72" s="305">
        <v>23.872342661074253</v>
      </c>
      <c r="H72" s="305">
        <v>2.8497660301641137</v>
      </c>
      <c r="I72" s="305">
        <v>2.2791868772227053</v>
      </c>
      <c r="J72" s="305">
        <v>-3.8280737795813979</v>
      </c>
      <c r="K72" s="305">
        <v>-10.791839244395218</v>
      </c>
      <c r="L72" s="306">
        <v>15.445307088375614</v>
      </c>
      <c r="M72" s="306">
        <v>44.086962511383845</v>
      </c>
      <c r="N72" s="279"/>
    </row>
    <row r="73" spans="1:14">
      <c r="A73" s="293"/>
      <c r="B73" s="289" t="s">
        <v>370</v>
      </c>
      <c r="C73" s="298">
        <v>-1.1072929134085197</v>
      </c>
      <c r="D73" s="298">
        <v>-3.0509451065102611</v>
      </c>
      <c r="E73" s="298">
        <v>4.7453646811931982</v>
      </c>
      <c r="F73" s="298">
        <v>2.11431968690452</v>
      </c>
      <c r="G73" s="298">
        <v>2.5247810751789279</v>
      </c>
      <c r="H73" s="298">
        <v>0.75954600033893982</v>
      </c>
      <c r="I73" s="298">
        <v>1.2712393766729946</v>
      </c>
      <c r="J73" s="298">
        <v>5.7611536318256995</v>
      </c>
      <c r="K73" s="298">
        <v>4.1751423852377956</v>
      </c>
      <c r="L73" s="299">
        <v>0.86601425648957786</v>
      </c>
      <c r="M73" s="299">
        <v>1.7297740748201118</v>
      </c>
      <c r="N73" s="279"/>
    </row>
    <row r="74" spans="1:14">
      <c r="A74" s="293"/>
      <c r="B74" s="288" t="s">
        <v>624</v>
      </c>
      <c r="C74" s="305">
        <v>-5.1874461456057785</v>
      </c>
      <c r="D74" s="305">
        <v>-2.843493452535939</v>
      </c>
      <c r="E74" s="305">
        <v>1.5583437539059775</v>
      </c>
      <c r="F74" s="305">
        <v>-3.8137265263741504</v>
      </c>
      <c r="G74" s="305">
        <v>2.1835113615735757</v>
      </c>
      <c r="H74" s="305">
        <v>9.2136682518553457</v>
      </c>
      <c r="I74" s="305">
        <v>0.76547080869293627</v>
      </c>
      <c r="J74" s="305">
        <v>4.3064800091139332</v>
      </c>
      <c r="K74" s="305">
        <v>-4.2718401669077366</v>
      </c>
      <c r="L74" s="306">
        <v>7.6797667667549696E-2</v>
      </c>
      <c r="M74" s="306">
        <v>7.2144066089312675</v>
      </c>
      <c r="N74" s="279"/>
    </row>
    <row r="75" spans="1:14">
      <c r="A75" s="307" t="s">
        <v>625</v>
      </c>
      <c r="B75" s="314"/>
      <c r="C75" s="315">
        <v>-0.88265697072912319</v>
      </c>
      <c r="D75" s="315">
        <v>1.630657956851822</v>
      </c>
      <c r="E75" s="315">
        <v>2.9704550087432224</v>
      </c>
      <c r="F75" s="315">
        <v>5.8863848480410264</v>
      </c>
      <c r="G75" s="315">
        <v>4.2495899837448947</v>
      </c>
      <c r="H75" s="315">
        <v>3.6150637335633506</v>
      </c>
      <c r="I75" s="315">
        <v>4.7127809705958423</v>
      </c>
      <c r="J75" s="315">
        <v>2.5425964160291192</v>
      </c>
      <c r="K75" s="315">
        <v>3.7317687243965336</v>
      </c>
      <c r="L75" s="316">
        <v>9.2634409994305944</v>
      </c>
      <c r="M75" s="316">
        <v>17.946747118910466</v>
      </c>
      <c r="N75" s="311"/>
    </row>
    <row r="76" spans="1:14">
      <c r="A76" s="307" t="s">
        <v>626</v>
      </c>
      <c r="B76" s="314"/>
      <c r="C76" s="315">
        <v>-4.0413973519260793</v>
      </c>
      <c r="D76" s="315">
        <v>-1.613146395082532</v>
      </c>
      <c r="E76" s="315">
        <v>1.9594630343328534</v>
      </c>
      <c r="F76" s="315">
        <v>-1.0310262186955965</v>
      </c>
      <c r="G76" s="315">
        <v>2.8176403593038524</v>
      </c>
      <c r="H76" s="315">
        <v>7.4713909354271468</v>
      </c>
      <c r="I76" s="315">
        <v>1.9497900179761274</v>
      </c>
      <c r="J76" s="315">
        <v>3.7629158668018636</v>
      </c>
      <c r="K76" s="315">
        <v>-1.8344285355610501</v>
      </c>
      <c r="L76" s="316">
        <v>3.0331246048233451</v>
      </c>
      <c r="M76" s="316">
        <v>10.876994467834589</v>
      </c>
      <c r="N76" s="311"/>
    </row>
    <row r="77" spans="1:14">
      <c r="A77" s="290"/>
      <c r="B77" s="290"/>
      <c r="C77" s="290"/>
      <c r="D77" s="290"/>
      <c r="E77" s="290"/>
      <c r="F77" s="290"/>
      <c r="G77" s="290"/>
      <c r="H77" s="290"/>
      <c r="I77" s="290"/>
      <c r="J77" s="290"/>
      <c r="K77" s="290"/>
      <c r="L77" s="290"/>
      <c r="M77" s="290"/>
      <c r="N77" s="274"/>
    </row>
    <row r="78" spans="1:14">
      <c r="A78" s="277"/>
      <c r="B78" s="277"/>
      <c r="C78" s="277"/>
      <c r="D78" s="277"/>
      <c r="E78" s="277"/>
      <c r="F78" s="277"/>
      <c r="G78" s="277"/>
      <c r="H78" s="277"/>
      <c r="I78" s="277"/>
      <c r="J78" s="277"/>
      <c r="K78" s="277"/>
      <c r="L78" s="277"/>
      <c r="M78" s="277"/>
      <c r="N78" s="277"/>
    </row>
    <row r="79" spans="1:14">
      <c r="A79" s="291"/>
      <c r="B79" s="425" t="s">
        <v>628</v>
      </c>
      <c r="C79" s="425"/>
      <c r="D79" s="425"/>
      <c r="E79" s="425"/>
      <c r="F79" s="425"/>
      <c r="G79" s="425"/>
      <c r="H79" s="425"/>
      <c r="I79" s="425"/>
      <c r="J79" s="425"/>
      <c r="K79" s="425"/>
      <c r="L79" s="425"/>
      <c r="M79" s="425"/>
      <c r="N79" s="291"/>
    </row>
    <row r="80" spans="1:14">
      <c r="A80" s="291"/>
      <c r="B80" s="425" t="s">
        <v>629</v>
      </c>
      <c r="C80" s="425"/>
      <c r="D80" s="425"/>
      <c r="E80" s="425"/>
      <c r="F80" s="425"/>
      <c r="G80" s="425"/>
      <c r="H80" s="425"/>
      <c r="I80" s="425"/>
      <c r="J80" s="425"/>
      <c r="K80" s="425"/>
      <c r="L80" s="425"/>
      <c r="M80" s="425"/>
      <c r="N80" s="291"/>
    </row>
    <row r="81" spans="1:14" ht="15.75">
      <c r="A81" s="317" t="s">
        <v>630</v>
      </c>
      <c r="B81" s="292"/>
      <c r="C81" s="292"/>
      <c r="D81" s="292"/>
      <c r="E81" s="292"/>
      <c r="F81" s="292"/>
      <c r="G81" s="292"/>
      <c r="H81" s="292"/>
      <c r="I81" s="292"/>
      <c r="J81" s="292"/>
      <c r="K81" s="292"/>
      <c r="L81" s="292"/>
      <c r="M81" s="292"/>
      <c r="N81" s="292"/>
    </row>
  </sheetData>
  <autoFilter ref="P9:Q40" xr:uid="{22C7CD8F-206B-42B2-A0BD-50760803EFF3}">
    <sortState xmlns:xlrd2="http://schemas.microsoft.com/office/spreadsheetml/2017/richdata2" ref="P10:Q40">
      <sortCondition descending="1" ref="Q9:Q40"/>
    </sortState>
  </autoFilter>
  <mergeCells count="2">
    <mergeCell ref="B79:M79"/>
    <mergeCell ref="B80:M8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4AAA1-9445-44C6-9074-7789AAD44C34}">
  <dimension ref="A1:AH97"/>
  <sheetViews>
    <sheetView topLeftCell="A33" workbookViewId="0">
      <selection activeCell="C11" sqref="C11:C41"/>
    </sheetView>
  </sheetViews>
  <sheetFormatPr defaultRowHeight="15"/>
  <sheetData>
    <row r="1" spans="1:34">
      <c r="A1" s="322"/>
      <c r="B1" s="363"/>
      <c r="C1" s="323"/>
      <c r="D1" s="364"/>
      <c r="E1" s="364"/>
      <c r="F1" s="364"/>
      <c r="G1" s="364"/>
      <c r="H1" s="364"/>
      <c r="I1" s="365"/>
      <c r="J1" s="365"/>
      <c r="K1" s="365"/>
      <c r="L1" s="365"/>
      <c r="M1" s="365"/>
      <c r="N1" s="365"/>
      <c r="O1" s="365"/>
      <c r="P1" s="322"/>
      <c r="Q1" s="322"/>
      <c r="R1" s="322"/>
      <c r="S1" s="322"/>
      <c r="T1" s="322"/>
      <c r="U1" s="322"/>
      <c r="V1" s="322"/>
      <c r="W1" s="322"/>
      <c r="X1" s="322"/>
      <c r="Y1" s="322"/>
      <c r="Z1" s="322"/>
      <c r="AA1" s="322"/>
      <c r="AB1" s="322"/>
      <c r="AC1" s="322"/>
      <c r="AD1" s="322"/>
      <c r="AE1" s="322"/>
      <c r="AF1" s="322"/>
      <c r="AG1" s="322"/>
      <c r="AH1" s="322"/>
    </row>
    <row r="2" spans="1:34">
      <c r="A2" s="324"/>
      <c r="B2" s="325"/>
      <c r="C2" s="325"/>
      <c r="D2" s="325"/>
      <c r="E2" s="325"/>
      <c r="F2" s="325"/>
      <c r="G2" s="325"/>
      <c r="H2" s="325"/>
      <c r="I2" s="325"/>
      <c r="J2" s="325"/>
      <c r="K2" s="325"/>
      <c r="L2" s="325"/>
      <c r="M2" s="325"/>
      <c r="N2" s="325"/>
      <c r="O2" s="325"/>
      <c r="P2" s="326"/>
      <c r="Q2" s="326"/>
      <c r="R2" s="326"/>
      <c r="S2" s="326"/>
      <c r="T2" s="326"/>
      <c r="U2" s="326"/>
      <c r="V2" s="326"/>
      <c r="W2" s="326"/>
      <c r="X2" s="326"/>
      <c r="Y2" s="326"/>
      <c r="Z2" s="326"/>
      <c r="AA2" s="326"/>
      <c r="AB2" s="326"/>
      <c r="AC2" s="326"/>
      <c r="AD2" s="326"/>
      <c r="AE2" s="326"/>
      <c r="AF2" s="326"/>
      <c r="AG2" s="326"/>
      <c r="AH2" s="326"/>
    </row>
    <row r="3" spans="1:34">
      <c r="A3" s="326"/>
      <c r="B3" s="327"/>
      <c r="C3" s="327"/>
      <c r="D3" s="366"/>
      <c r="E3" s="366"/>
      <c r="F3" s="366"/>
      <c r="G3" s="366"/>
      <c r="H3" s="366"/>
      <c r="I3" s="366"/>
      <c r="J3" s="366"/>
      <c r="K3" s="366"/>
      <c r="L3" s="366"/>
      <c r="M3" s="366"/>
      <c r="N3" s="366"/>
      <c r="O3" s="366"/>
      <c r="P3" s="326"/>
      <c r="Q3" s="326"/>
      <c r="R3" s="326"/>
      <c r="S3" s="326"/>
      <c r="T3" s="326"/>
      <c r="U3" s="326"/>
      <c r="V3" s="326"/>
      <c r="W3" s="326"/>
      <c r="X3" s="326"/>
      <c r="Y3" s="326"/>
      <c r="Z3" s="326"/>
      <c r="AA3" s="326"/>
      <c r="AB3" s="326"/>
      <c r="AC3" s="326"/>
      <c r="AD3" s="326"/>
      <c r="AE3" s="326"/>
      <c r="AF3" s="326"/>
      <c r="AG3" s="326"/>
      <c r="AH3" s="326"/>
    </row>
    <row r="4" spans="1:34">
      <c r="A4" s="322"/>
      <c r="B4" s="328" t="s">
        <v>910</v>
      </c>
      <c r="C4" s="328"/>
      <c r="D4" s="328"/>
      <c r="E4" s="328"/>
      <c r="F4" s="328"/>
      <c r="G4" s="328"/>
      <c r="H4" s="328"/>
      <c r="I4" s="328"/>
      <c r="J4" s="328"/>
      <c r="K4" s="328"/>
      <c r="L4" s="328"/>
      <c r="M4" s="328"/>
      <c r="N4" s="328"/>
      <c r="O4" s="328"/>
      <c r="P4" s="389"/>
      <c r="Q4" s="322"/>
      <c r="R4" s="322"/>
      <c r="S4" s="322"/>
      <c r="T4" s="322"/>
      <c r="U4" s="322"/>
      <c r="V4" s="322"/>
      <c r="W4" s="322"/>
      <c r="X4" s="322"/>
      <c r="Y4" s="322"/>
      <c r="Z4" s="322"/>
      <c r="AA4" s="322"/>
      <c r="AB4" s="322"/>
      <c r="AC4" s="322"/>
      <c r="AD4" s="322"/>
      <c r="AE4" s="322"/>
      <c r="AF4" s="322"/>
      <c r="AG4" s="322"/>
      <c r="AH4" s="322"/>
    </row>
    <row r="5" spans="1:34">
      <c r="A5" s="330"/>
      <c r="B5" s="367"/>
      <c r="C5" s="331"/>
      <c r="D5" s="368"/>
      <c r="E5" s="368"/>
      <c r="F5" s="368"/>
      <c r="G5" s="368"/>
      <c r="H5" s="368"/>
      <c r="I5" s="368"/>
      <c r="J5" s="368"/>
      <c r="K5" s="368"/>
      <c r="L5" s="368"/>
      <c r="M5" s="368"/>
      <c r="N5" s="368"/>
      <c r="O5" s="368"/>
      <c r="P5" s="367"/>
      <c r="Q5" s="390"/>
      <c r="R5" s="390"/>
      <c r="S5" s="390"/>
      <c r="T5" s="390"/>
      <c r="U5" s="390"/>
      <c r="V5" s="390"/>
      <c r="W5" s="390"/>
      <c r="X5" s="390"/>
      <c r="Y5" s="390"/>
      <c r="Z5" s="390"/>
      <c r="AA5" s="390"/>
      <c r="AB5" s="390"/>
      <c r="AC5" s="390"/>
      <c r="AD5" s="390"/>
      <c r="AE5" s="390"/>
      <c r="AF5" s="390"/>
      <c r="AG5" s="390"/>
      <c r="AH5" s="390"/>
    </row>
    <row r="6" spans="1:34">
      <c r="A6" s="324"/>
      <c r="B6" s="332" t="s">
        <v>911</v>
      </c>
      <c r="C6" s="332"/>
      <c r="D6" s="332"/>
      <c r="E6" s="332"/>
      <c r="F6" s="332"/>
      <c r="G6" s="332"/>
      <c r="H6" s="332"/>
      <c r="I6" s="332"/>
      <c r="J6" s="332"/>
      <c r="K6" s="332"/>
      <c r="L6" s="332"/>
      <c r="M6" s="332"/>
      <c r="N6" s="332"/>
      <c r="O6" s="332"/>
      <c r="P6" s="326"/>
      <c r="Q6" s="402"/>
      <c r="R6" s="326"/>
      <c r="S6" s="326"/>
      <c r="T6" s="326"/>
      <c r="U6" s="326"/>
      <c r="V6" s="326"/>
      <c r="W6" s="326"/>
      <c r="X6" s="326"/>
      <c r="Y6" s="326"/>
      <c r="Z6" s="326"/>
      <c r="AA6" s="326"/>
      <c r="AB6" s="326"/>
      <c r="AC6" s="326"/>
      <c r="AD6" s="326"/>
      <c r="AE6" s="326"/>
      <c r="AF6" s="326"/>
      <c r="AG6" s="326"/>
      <c r="AH6" s="326"/>
    </row>
    <row r="7" spans="1:34">
      <c r="A7" s="326"/>
      <c r="B7" s="327"/>
      <c r="C7" s="327"/>
      <c r="D7" s="366"/>
      <c r="E7" s="366"/>
      <c r="F7" s="366"/>
      <c r="G7" s="366"/>
      <c r="H7" s="366"/>
      <c r="I7" s="366"/>
      <c r="J7" s="366"/>
      <c r="K7" s="366"/>
      <c r="L7" s="366"/>
      <c r="M7" s="366"/>
      <c r="N7" s="366"/>
      <c r="O7" s="366"/>
      <c r="P7" s="326"/>
      <c r="Q7" s="326"/>
      <c r="R7" s="326"/>
      <c r="S7" s="326"/>
      <c r="T7" s="326"/>
      <c r="U7" s="326"/>
      <c r="V7" s="326"/>
      <c r="W7" s="326"/>
      <c r="X7" s="326"/>
      <c r="Y7" s="326"/>
      <c r="Z7" s="326"/>
      <c r="AA7" s="326"/>
      <c r="AB7" s="326"/>
      <c r="AC7" s="326"/>
      <c r="AD7" s="326"/>
      <c r="AE7" s="326"/>
      <c r="AF7" s="326"/>
      <c r="AG7" s="326"/>
      <c r="AH7" s="326"/>
    </row>
    <row r="8" spans="1:34">
      <c r="A8" s="333"/>
      <c r="B8" s="326"/>
      <c r="C8" s="324"/>
      <c r="D8" s="334">
        <v>2014</v>
      </c>
      <c r="E8" s="334">
        <v>2015</v>
      </c>
      <c r="F8" s="334">
        <v>2016</v>
      </c>
      <c r="G8" s="334">
        <v>2017</v>
      </c>
      <c r="H8" s="334">
        <v>2018</v>
      </c>
      <c r="I8" s="334" t="s">
        <v>551</v>
      </c>
      <c r="J8" s="334">
        <v>2020</v>
      </c>
      <c r="K8" s="334">
        <v>2021</v>
      </c>
      <c r="L8" s="334">
        <v>2022</v>
      </c>
      <c r="M8" s="334" t="s">
        <v>552</v>
      </c>
      <c r="N8" s="334" t="s">
        <v>553</v>
      </c>
      <c r="O8" s="369"/>
      <c r="P8" s="395"/>
      <c r="Q8" s="395"/>
      <c r="R8" s="395"/>
      <c r="S8" s="391"/>
      <c r="T8" s="391"/>
      <c r="U8" s="391"/>
      <c r="V8" s="391"/>
      <c r="W8" s="391"/>
      <c r="X8" s="391"/>
      <c r="Y8" s="391"/>
      <c r="Z8" s="391"/>
      <c r="AA8" s="391"/>
      <c r="AB8" s="391"/>
      <c r="AC8" s="391"/>
      <c r="AD8" s="391"/>
      <c r="AE8" s="391"/>
      <c r="AF8" s="391"/>
      <c r="AG8" s="391"/>
      <c r="AH8" s="391"/>
    </row>
    <row r="9" spans="1:34">
      <c r="A9" s="326"/>
      <c r="B9" s="326"/>
      <c r="C9" s="326"/>
      <c r="D9" s="366"/>
      <c r="E9" s="366"/>
      <c r="F9" s="366"/>
      <c r="G9" s="366"/>
      <c r="H9" s="366"/>
      <c r="I9" s="366"/>
      <c r="J9" s="366"/>
      <c r="K9" s="366"/>
      <c r="L9" s="366"/>
      <c r="M9" s="366"/>
      <c r="N9" s="366"/>
      <c r="O9" s="370"/>
      <c r="P9" s="326"/>
      <c r="Q9" s="326"/>
      <c r="R9" s="326"/>
      <c r="S9" s="326"/>
      <c r="T9" s="326"/>
      <c r="U9" s="326"/>
      <c r="V9" s="326"/>
      <c r="W9" s="326"/>
      <c r="X9" s="326"/>
      <c r="Y9" s="326"/>
      <c r="Z9" s="326"/>
      <c r="AA9" s="326"/>
      <c r="AB9" s="326"/>
      <c r="AC9" s="326"/>
      <c r="AD9" s="326"/>
      <c r="AE9" s="326"/>
      <c r="AF9" s="326"/>
      <c r="AG9" s="326"/>
      <c r="AH9" s="326"/>
    </row>
    <row r="10" spans="1:34">
      <c r="A10" s="322"/>
      <c r="B10" s="335" t="s">
        <v>912</v>
      </c>
      <c r="C10" s="336"/>
      <c r="D10" s="371"/>
      <c r="E10" s="371"/>
      <c r="F10" s="371"/>
      <c r="G10" s="371"/>
      <c r="H10" s="371"/>
      <c r="I10" s="371"/>
      <c r="J10" s="371"/>
      <c r="K10" s="371"/>
      <c r="L10" s="371"/>
      <c r="M10" s="371"/>
      <c r="N10" s="371"/>
      <c r="O10" s="372"/>
      <c r="P10" s="389"/>
      <c r="Q10" s="322"/>
      <c r="R10" s="322"/>
      <c r="S10" s="322"/>
      <c r="T10" s="322"/>
      <c r="U10" s="322"/>
      <c r="V10" s="322"/>
      <c r="W10" s="322"/>
      <c r="X10" s="322"/>
      <c r="Y10" s="322"/>
      <c r="Z10" s="322"/>
      <c r="AA10" s="322"/>
      <c r="AB10" s="322"/>
      <c r="AC10" s="322"/>
      <c r="AD10" s="322"/>
      <c r="AE10" s="322"/>
      <c r="AF10" s="322"/>
      <c r="AG10" s="322"/>
      <c r="AH10" s="322"/>
    </row>
    <row r="11" spans="1:34">
      <c r="A11" s="337"/>
      <c r="B11" s="373"/>
      <c r="C11" s="339" t="s">
        <v>595</v>
      </c>
      <c r="D11" s="340">
        <v>178.35898374258969</v>
      </c>
      <c r="E11" s="340">
        <v>132.37558467067828</v>
      </c>
      <c r="F11" s="340">
        <v>130.90962587335625</v>
      </c>
      <c r="G11" s="340">
        <v>144.7741888414532</v>
      </c>
      <c r="H11" s="340">
        <v>175.8941254236673</v>
      </c>
      <c r="I11" s="340">
        <v>197.2258263663069</v>
      </c>
      <c r="J11" s="340">
        <v>196.86414309795052</v>
      </c>
      <c r="K11" s="340">
        <v>223.54009337927837</v>
      </c>
      <c r="L11" s="340">
        <v>230.67312799046277</v>
      </c>
      <c r="M11" s="340">
        <v>397.27314865003081</v>
      </c>
      <c r="N11" s="340">
        <v>516.11402430603755</v>
      </c>
      <c r="O11" s="374"/>
      <c r="P11" s="392"/>
      <c r="Q11" s="392"/>
      <c r="R11" s="392"/>
      <c r="S11" s="399"/>
      <c r="T11" s="399"/>
      <c r="U11" s="399"/>
      <c r="V11" s="399"/>
      <c r="W11" s="399"/>
      <c r="X11" s="399"/>
      <c r="Y11" s="399"/>
      <c r="Z11" s="399"/>
      <c r="AA11" s="399"/>
      <c r="AB11" s="390"/>
      <c r="AC11" s="390"/>
      <c r="AD11" s="390"/>
      <c r="AE11" s="390"/>
      <c r="AF11" s="390"/>
      <c r="AG11" s="390"/>
      <c r="AH11" s="390"/>
    </row>
    <row r="12" spans="1:34">
      <c r="A12" s="337"/>
      <c r="B12" s="373"/>
      <c r="C12" s="342" t="s">
        <v>596</v>
      </c>
      <c r="D12" s="343">
        <v>5200.0649562285716</v>
      </c>
      <c r="E12" s="343">
        <v>4204.4455870250968</v>
      </c>
      <c r="F12" s="343">
        <v>4258.1076634662604</v>
      </c>
      <c r="G12" s="343">
        <v>4440.7219255172568</v>
      </c>
      <c r="H12" s="343">
        <v>4844.9438511525632</v>
      </c>
      <c r="I12" s="343">
        <v>4761.2725086907976</v>
      </c>
      <c r="J12" s="343">
        <v>5323.5234259391891</v>
      </c>
      <c r="K12" s="343">
        <v>6244.5695965709538</v>
      </c>
      <c r="L12" s="343">
        <v>6903.7803154863132</v>
      </c>
      <c r="M12" s="343">
        <v>7622.159565087255</v>
      </c>
      <c r="N12" s="343">
        <v>8519.1692341443268</v>
      </c>
      <c r="O12" s="374"/>
      <c r="P12" s="392"/>
      <c r="Q12" s="392"/>
      <c r="R12" s="392"/>
      <c r="S12" s="399"/>
      <c r="T12" s="399"/>
      <c r="U12" s="399"/>
      <c r="V12" s="399"/>
      <c r="W12" s="399"/>
      <c r="X12" s="399"/>
      <c r="Y12" s="399"/>
      <c r="Z12" s="399"/>
      <c r="AA12" s="399"/>
      <c r="AB12" s="390"/>
      <c r="AC12" s="390"/>
      <c r="AD12" s="390"/>
      <c r="AE12" s="390"/>
      <c r="AF12" s="390"/>
      <c r="AG12" s="390"/>
      <c r="AH12" s="390"/>
    </row>
    <row r="13" spans="1:34">
      <c r="A13" s="337"/>
      <c r="B13" s="373"/>
      <c r="C13" s="339" t="s">
        <v>597</v>
      </c>
      <c r="D13" s="340">
        <v>747.22737675484314</v>
      </c>
      <c r="E13" s="340">
        <v>632.71869935075324</v>
      </c>
      <c r="F13" s="340">
        <v>670.61571483283876</v>
      </c>
      <c r="G13" s="340">
        <v>724.46443229606643</v>
      </c>
      <c r="H13" s="340">
        <v>962.23357115228873</v>
      </c>
      <c r="I13" s="340">
        <v>2158.5904667075724</v>
      </c>
      <c r="J13" s="340">
        <v>1120.5263311472943</v>
      </c>
      <c r="K13" s="340">
        <v>1275.9236736227842</v>
      </c>
      <c r="L13" s="350">
        <v>1439.7805246317234</v>
      </c>
      <c r="M13" s="350">
        <v>1991.7123031081458</v>
      </c>
      <c r="N13" s="350">
        <v>2325.0941779859731</v>
      </c>
      <c r="O13" s="374"/>
      <c r="P13" s="392"/>
      <c r="Q13" s="392"/>
      <c r="R13" s="392"/>
      <c r="S13" s="399"/>
      <c r="T13" s="399"/>
      <c r="U13" s="399"/>
      <c r="V13" s="399"/>
      <c r="W13" s="399"/>
      <c r="X13" s="399"/>
      <c r="Y13" s="399"/>
      <c r="Z13" s="399"/>
      <c r="AA13" s="399"/>
      <c r="AB13" s="390"/>
      <c r="AC13" s="390"/>
      <c r="AD13" s="390"/>
      <c r="AE13" s="390"/>
      <c r="AF13" s="390"/>
      <c r="AG13" s="390"/>
      <c r="AH13" s="390"/>
    </row>
    <row r="14" spans="1:34">
      <c r="A14" s="337"/>
      <c r="B14" s="375"/>
      <c r="C14" s="342" t="s">
        <v>598</v>
      </c>
      <c r="D14" s="343">
        <v>18172.422382596298</v>
      </c>
      <c r="E14" s="343">
        <v>18689.4079203168</v>
      </c>
      <c r="F14" s="343">
        <v>17708.22913570426</v>
      </c>
      <c r="G14" s="343">
        <v>23699.964683683553</v>
      </c>
      <c r="H14" s="343">
        <v>22398.895821579579</v>
      </c>
      <c r="I14" s="343">
        <v>22572.158350459722</v>
      </c>
      <c r="J14" s="343">
        <v>23329.915627461654</v>
      </c>
      <c r="K14" s="343">
        <v>25501.959911268506</v>
      </c>
      <c r="L14" s="343">
        <v>25897.620867666774</v>
      </c>
      <c r="M14" s="343">
        <v>27990.900009500925</v>
      </c>
      <c r="N14" s="343">
        <v>30495.234537639531</v>
      </c>
      <c r="O14" s="374"/>
      <c r="P14" s="392"/>
      <c r="Q14" s="392"/>
      <c r="R14" s="392"/>
      <c r="S14" s="399"/>
      <c r="T14" s="399"/>
      <c r="U14" s="399"/>
      <c r="V14" s="399"/>
      <c r="W14" s="399"/>
      <c r="X14" s="399"/>
      <c r="Y14" s="399"/>
      <c r="Z14" s="399"/>
      <c r="AA14" s="399"/>
      <c r="AB14" s="390"/>
      <c r="AC14" s="390"/>
      <c r="AD14" s="390"/>
      <c r="AE14" s="390"/>
      <c r="AF14" s="390"/>
      <c r="AG14" s="390"/>
      <c r="AH14" s="390"/>
    </row>
    <row r="15" spans="1:34">
      <c r="A15" s="337"/>
      <c r="B15" s="373"/>
      <c r="C15" s="339" t="s">
        <v>599</v>
      </c>
      <c r="D15" s="340">
        <v>1063.8004594225333</v>
      </c>
      <c r="E15" s="340">
        <v>882.72589776537359</v>
      </c>
      <c r="F15" s="340">
        <v>836.88626519095362</v>
      </c>
      <c r="G15" s="340">
        <v>926.37807593781338</v>
      </c>
      <c r="H15" s="340">
        <v>966.07152224647837</v>
      </c>
      <c r="I15" s="340">
        <v>1001.2230919437819</v>
      </c>
      <c r="J15" s="340">
        <v>982.64792349337506</v>
      </c>
      <c r="K15" s="340">
        <v>1361.4873637189733</v>
      </c>
      <c r="L15" s="340">
        <v>1284.5113758630678</v>
      </c>
      <c r="M15" s="340">
        <v>1441.1140952126582</v>
      </c>
      <c r="N15" s="340">
        <v>1624.0340337495388</v>
      </c>
      <c r="O15" s="374"/>
      <c r="P15" s="392"/>
      <c r="Q15" s="392"/>
      <c r="R15" s="392"/>
      <c r="S15" s="399"/>
      <c r="T15" s="399"/>
      <c r="U15" s="399"/>
      <c r="V15" s="399"/>
      <c r="W15" s="399"/>
      <c r="X15" s="399"/>
      <c r="Y15" s="399"/>
      <c r="Z15" s="399"/>
      <c r="AA15" s="399"/>
      <c r="AB15" s="390"/>
      <c r="AC15" s="390"/>
      <c r="AD15" s="390"/>
      <c r="AE15" s="390"/>
      <c r="AF15" s="390"/>
      <c r="AG15" s="390"/>
      <c r="AH15" s="390"/>
    </row>
    <row r="16" spans="1:34">
      <c r="A16" s="337"/>
      <c r="B16" s="373"/>
      <c r="C16" s="342" t="s">
        <v>600</v>
      </c>
      <c r="D16" s="343">
        <v>1975.3109641008787</v>
      </c>
      <c r="E16" s="343">
        <v>1921.3952310622012</v>
      </c>
      <c r="F16" s="343">
        <v>1865.7358913858932</v>
      </c>
      <c r="G16" s="343">
        <v>2258.9244306035093</v>
      </c>
      <c r="H16" s="343">
        <v>2749.7674822738945</v>
      </c>
      <c r="I16" s="343">
        <v>2981.517861724079</v>
      </c>
      <c r="J16" s="343">
        <v>3199.3460750462687</v>
      </c>
      <c r="K16" s="343">
        <v>3914.7015750818005</v>
      </c>
      <c r="L16" s="343">
        <v>3894.7089121890958</v>
      </c>
      <c r="M16" s="343">
        <v>4538.0207810554384</v>
      </c>
      <c r="N16" s="343">
        <v>6834.2901490863424</v>
      </c>
      <c r="O16" s="374"/>
      <c r="P16" s="392"/>
      <c r="Q16" s="392"/>
      <c r="R16" s="392"/>
      <c r="S16" s="399"/>
      <c r="T16" s="399"/>
      <c r="U16" s="399"/>
      <c r="V16" s="399"/>
      <c r="W16" s="399"/>
      <c r="X16" s="399"/>
      <c r="Y16" s="399"/>
      <c r="Z16" s="399"/>
      <c r="AA16" s="399"/>
      <c r="AB16" s="390"/>
      <c r="AC16" s="390"/>
      <c r="AD16" s="390"/>
      <c r="AE16" s="390"/>
      <c r="AF16" s="390"/>
      <c r="AG16" s="390"/>
      <c r="AH16" s="390"/>
    </row>
    <row r="17" spans="1:34">
      <c r="A17" s="337"/>
      <c r="B17" s="373"/>
      <c r="C17" s="339" t="s">
        <v>601</v>
      </c>
      <c r="D17" s="340">
        <v>4056.8723328306901</v>
      </c>
      <c r="E17" s="340">
        <v>3363.9813726668267</v>
      </c>
      <c r="F17" s="340">
        <v>3593.4042815133344</v>
      </c>
      <c r="G17" s="340">
        <v>3780.323740991038</v>
      </c>
      <c r="H17" s="340">
        <v>4558.7890149746454</v>
      </c>
      <c r="I17" s="340">
        <v>4487.4486489079236</v>
      </c>
      <c r="J17" s="340">
        <v>4885.5973147193872</v>
      </c>
      <c r="K17" s="340">
        <v>5274.3980719172132</v>
      </c>
      <c r="L17" s="340">
        <v>5472.7844488602004</v>
      </c>
      <c r="M17" s="340">
        <v>8140.2645523949504</v>
      </c>
      <c r="N17" s="340">
        <v>9939.6068266993461</v>
      </c>
      <c r="O17" s="374"/>
      <c r="P17" s="392"/>
      <c r="Q17" s="392"/>
      <c r="R17" s="392"/>
      <c r="S17" s="399"/>
      <c r="T17" s="399"/>
      <c r="U17" s="399"/>
      <c r="V17" s="399"/>
      <c r="W17" s="399"/>
      <c r="X17" s="399"/>
      <c r="Y17" s="399"/>
      <c r="Z17" s="399"/>
      <c r="AA17" s="399"/>
      <c r="AB17" s="390"/>
      <c r="AC17" s="390"/>
      <c r="AD17" s="390"/>
      <c r="AE17" s="390"/>
      <c r="AF17" s="390"/>
      <c r="AG17" s="390"/>
      <c r="AH17" s="390"/>
    </row>
    <row r="18" spans="1:34">
      <c r="A18" s="337"/>
      <c r="B18" s="373"/>
      <c r="C18" s="342" t="s">
        <v>602</v>
      </c>
      <c r="D18" s="343">
        <v>513.52674004160679</v>
      </c>
      <c r="E18" s="343">
        <v>463.42669671334841</v>
      </c>
      <c r="F18" s="343">
        <v>497.43393468038829</v>
      </c>
      <c r="G18" s="343">
        <v>541.19492741992485</v>
      </c>
      <c r="H18" s="343">
        <v>615.22282168614686</v>
      </c>
      <c r="I18" s="343">
        <v>637.07541883272188</v>
      </c>
      <c r="J18" s="343">
        <v>719.48742426911031</v>
      </c>
      <c r="K18" s="343">
        <v>749.27529072130756</v>
      </c>
      <c r="L18" s="343">
        <v>819.63154370259554</v>
      </c>
      <c r="M18" s="343">
        <v>1237.7407499258536</v>
      </c>
      <c r="N18" s="343">
        <v>1437.3146798734472</v>
      </c>
      <c r="O18" s="374"/>
      <c r="P18" s="392"/>
      <c r="Q18" s="392"/>
      <c r="R18" s="392"/>
      <c r="S18" s="399"/>
      <c r="T18" s="399"/>
      <c r="U18" s="399"/>
      <c r="V18" s="399"/>
      <c r="W18" s="399"/>
      <c r="X18" s="399"/>
      <c r="Y18" s="399"/>
      <c r="Z18" s="399"/>
      <c r="AA18" s="399"/>
      <c r="AB18" s="390"/>
      <c r="AC18" s="390"/>
      <c r="AD18" s="390"/>
      <c r="AE18" s="390"/>
      <c r="AF18" s="390"/>
      <c r="AG18" s="390"/>
      <c r="AH18" s="390"/>
    </row>
    <row r="19" spans="1:34">
      <c r="A19" s="337"/>
      <c r="B19" s="373"/>
      <c r="C19" s="338" t="s">
        <v>603</v>
      </c>
      <c r="D19" s="340">
        <v>3991.2436896527006</v>
      </c>
      <c r="E19" s="340">
        <v>3400.8547976392697</v>
      </c>
      <c r="F19" s="340">
        <v>3417.7441436291374</v>
      </c>
      <c r="G19" s="340">
        <v>3535.5424913033085</v>
      </c>
      <c r="H19" s="340">
        <v>3825.4817302921888</v>
      </c>
      <c r="I19" s="340">
        <v>3899.5586930052978</v>
      </c>
      <c r="J19" s="340">
        <v>4156.2338780600439</v>
      </c>
      <c r="K19" s="340">
        <v>4145.3552405878163</v>
      </c>
      <c r="L19" s="340">
        <v>4726.2250335568924</v>
      </c>
      <c r="M19" s="340">
        <v>6266.3756589816494</v>
      </c>
      <c r="N19" s="340">
        <v>7307.8708515702065</v>
      </c>
      <c r="O19" s="374"/>
      <c r="P19" s="392"/>
      <c r="Q19" s="392"/>
      <c r="R19" s="392"/>
      <c r="S19" s="399"/>
      <c r="T19" s="399"/>
      <c r="U19" s="399"/>
      <c r="V19" s="399"/>
      <c r="W19" s="399"/>
      <c r="X19" s="399"/>
      <c r="Y19" s="399"/>
      <c r="Z19" s="399"/>
      <c r="AA19" s="399"/>
      <c r="AB19" s="390"/>
      <c r="AC19" s="390"/>
      <c r="AD19" s="390"/>
      <c r="AE19" s="390"/>
      <c r="AF19" s="390"/>
      <c r="AG19" s="390"/>
      <c r="AH19" s="390"/>
    </row>
    <row r="20" spans="1:34">
      <c r="A20" s="337"/>
      <c r="B20" s="373"/>
      <c r="C20" s="342" t="s">
        <v>604</v>
      </c>
      <c r="D20" s="343">
        <v>52022.405546384296</v>
      </c>
      <c r="E20" s="343">
        <v>43496.122663485585</v>
      </c>
      <c r="F20" s="343">
        <v>44209.046442192994</v>
      </c>
      <c r="G20" s="343">
        <v>46133.458139920134</v>
      </c>
      <c r="H20" s="343">
        <v>50506.961954589802</v>
      </c>
      <c r="I20" s="343">
        <v>49493.21861265714</v>
      </c>
      <c r="J20" s="343">
        <v>52519.498955298222</v>
      </c>
      <c r="K20" s="343">
        <v>56457.016751062154</v>
      </c>
      <c r="L20" s="343">
        <v>52237.655088477222</v>
      </c>
      <c r="M20" s="343">
        <v>59378.765541740657</v>
      </c>
      <c r="N20" s="343">
        <v>64271.20080443062</v>
      </c>
      <c r="O20" s="374"/>
      <c r="P20" s="392"/>
      <c r="Q20" s="392"/>
      <c r="R20" s="392"/>
      <c r="S20" s="399"/>
      <c r="T20" s="399"/>
      <c r="U20" s="399"/>
      <c r="V20" s="399"/>
      <c r="W20" s="399"/>
      <c r="X20" s="399"/>
      <c r="Y20" s="399"/>
      <c r="Z20" s="399"/>
      <c r="AA20" s="399"/>
      <c r="AB20" s="390"/>
      <c r="AC20" s="390"/>
      <c r="AD20" s="390"/>
      <c r="AE20" s="390"/>
      <c r="AF20" s="390"/>
      <c r="AG20" s="390"/>
      <c r="AH20" s="390"/>
    </row>
    <row r="21" spans="1:34">
      <c r="A21" s="337"/>
      <c r="B21" s="373"/>
      <c r="C21" s="339" t="s">
        <v>605</v>
      </c>
      <c r="D21" s="340">
        <v>46175.785106164127</v>
      </c>
      <c r="E21" s="340">
        <v>39833.435635739697</v>
      </c>
      <c r="F21" s="340">
        <v>41606.347415164586</v>
      </c>
      <c r="G21" s="340">
        <v>45470.394654694275</v>
      </c>
      <c r="H21" s="340">
        <v>49772.313517307695</v>
      </c>
      <c r="I21" s="340">
        <v>52549.24846568636</v>
      </c>
      <c r="J21" s="340">
        <v>58652.183568760287</v>
      </c>
      <c r="K21" s="340">
        <v>62054.008456572992</v>
      </c>
      <c r="L21" s="340">
        <v>61405.458785685791</v>
      </c>
      <c r="M21" s="340">
        <v>73137.628915704481</v>
      </c>
      <c r="N21" s="340">
        <v>97685.590083952178</v>
      </c>
      <c r="O21" s="374"/>
      <c r="P21" s="392"/>
      <c r="Q21" s="392"/>
      <c r="R21" s="392"/>
      <c r="S21" s="399"/>
      <c r="T21" s="399"/>
      <c r="U21" s="399"/>
      <c r="V21" s="399"/>
      <c r="W21" s="399"/>
      <c r="X21" s="399"/>
      <c r="Y21" s="399"/>
      <c r="Z21" s="399"/>
      <c r="AA21" s="399"/>
      <c r="AB21" s="390"/>
      <c r="AC21" s="390"/>
      <c r="AD21" s="390"/>
      <c r="AE21" s="390"/>
      <c r="AF21" s="390"/>
      <c r="AG21" s="390"/>
      <c r="AH21" s="390"/>
    </row>
    <row r="22" spans="1:34">
      <c r="A22" s="337"/>
      <c r="B22" s="373"/>
      <c r="C22" s="342" t="s">
        <v>606</v>
      </c>
      <c r="D22" s="343">
        <v>5233.824111445273</v>
      </c>
      <c r="E22" s="343">
        <v>4519.6214504523878</v>
      </c>
      <c r="F22" s="343">
        <v>4636.6695292751574</v>
      </c>
      <c r="G22" s="343">
        <v>4752.2399668025637</v>
      </c>
      <c r="H22" s="343">
        <v>5388.0556341368738</v>
      </c>
      <c r="I22" s="343">
        <v>5019.0879727316196</v>
      </c>
      <c r="J22" s="343">
        <v>5491.9380399106249</v>
      </c>
      <c r="K22" s="343">
        <v>8005.5508919819194</v>
      </c>
      <c r="L22" s="343">
        <v>8487.7348298572779</v>
      </c>
      <c r="M22" s="343">
        <v>6731.2514908613093</v>
      </c>
      <c r="N22" s="343">
        <v>7684.0846794103709</v>
      </c>
      <c r="O22" s="374"/>
      <c r="P22" s="392"/>
      <c r="Q22" s="392"/>
      <c r="R22" s="392"/>
      <c r="S22" s="399"/>
      <c r="T22" s="399"/>
      <c r="U22" s="399"/>
      <c r="V22" s="399"/>
      <c r="W22" s="399"/>
      <c r="X22" s="399"/>
      <c r="Y22" s="399"/>
      <c r="Z22" s="399"/>
      <c r="AA22" s="399"/>
      <c r="AB22" s="390"/>
      <c r="AC22" s="390"/>
      <c r="AD22" s="390"/>
      <c r="AE22" s="390"/>
      <c r="AF22" s="390"/>
      <c r="AG22" s="390"/>
      <c r="AH22" s="390"/>
    </row>
    <row r="23" spans="1:34">
      <c r="A23" s="337"/>
      <c r="B23" s="373"/>
      <c r="C23" s="339" t="s">
        <v>607</v>
      </c>
      <c r="D23" s="340">
        <v>1209.8016540450253</v>
      </c>
      <c r="E23" s="340">
        <v>1132.4748024629248</v>
      </c>
      <c r="F23" s="340">
        <v>1288.7017905032851</v>
      </c>
      <c r="G23" s="340">
        <v>1708.1245491969994</v>
      </c>
      <c r="H23" s="340">
        <v>1615.4013041125272</v>
      </c>
      <c r="I23" s="340">
        <v>2189.9358418691877</v>
      </c>
      <c r="J23" s="340">
        <v>2767.3026796700656</v>
      </c>
      <c r="K23" s="340">
        <v>2410.4007315732779</v>
      </c>
      <c r="L23" s="340">
        <v>3269.6908121592951</v>
      </c>
      <c r="M23" s="340">
        <v>4359.9546153813271</v>
      </c>
      <c r="N23" s="340">
        <v>4888.7890113063722</v>
      </c>
      <c r="O23" s="374"/>
      <c r="P23" s="392"/>
      <c r="Q23" s="392"/>
      <c r="R23" s="392"/>
      <c r="S23" s="399"/>
      <c r="T23" s="399"/>
      <c r="U23" s="399"/>
      <c r="V23" s="399"/>
      <c r="W23" s="399"/>
      <c r="X23" s="399"/>
      <c r="Y23" s="399"/>
      <c r="Z23" s="399"/>
      <c r="AA23" s="399"/>
      <c r="AB23" s="390"/>
      <c r="AC23" s="390"/>
      <c r="AD23" s="390"/>
      <c r="AE23" s="390"/>
      <c r="AF23" s="390"/>
      <c r="AG23" s="390"/>
      <c r="AH23" s="390"/>
    </row>
    <row r="24" spans="1:34">
      <c r="A24" s="337"/>
      <c r="B24" s="373"/>
      <c r="C24" s="342" t="s">
        <v>608</v>
      </c>
      <c r="D24" s="343">
        <v>24487.285386806871</v>
      </c>
      <c r="E24" s="343">
        <v>19576.277086996564</v>
      </c>
      <c r="F24" s="343">
        <v>22381.994917390271</v>
      </c>
      <c r="G24" s="343">
        <v>23902.397419989833</v>
      </c>
      <c r="H24" s="343">
        <v>25641.134265449433</v>
      </c>
      <c r="I24" s="343">
        <v>23558.550464965705</v>
      </c>
      <c r="J24" s="343">
        <v>30084.38992831422</v>
      </c>
      <c r="K24" s="343">
        <v>33140.094900098018</v>
      </c>
      <c r="L24" s="343">
        <v>31512.265242494079</v>
      </c>
      <c r="M24" s="343">
        <v>33856.66122064209</v>
      </c>
      <c r="N24" s="343">
        <v>34461.719985204632</v>
      </c>
      <c r="O24" s="374"/>
      <c r="P24" s="392"/>
      <c r="Q24" s="392"/>
      <c r="R24" s="392"/>
      <c r="S24" s="399"/>
      <c r="T24" s="399"/>
      <c r="U24" s="399"/>
      <c r="V24" s="399"/>
      <c r="W24" s="399"/>
      <c r="X24" s="399"/>
      <c r="Y24" s="399"/>
      <c r="Z24" s="399"/>
      <c r="AA24" s="399"/>
      <c r="AB24" s="390"/>
      <c r="AC24" s="390"/>
      <c r="AD24" s="390"/>
      <c r="AE24" s="390"/>
      <c r="AF24" s="390"/>
      <c r="AG24" s="390"/>
      <c r="AH24" s="390"/>
    </row>
    <row r="25" spans="1:34">
      <c r="A25" s="337"/>
      <c r="B25" s="373"/>
      <c r="C25" s="339" t="s">
        <v>609</v>
      </c>
      <c r="D25" s="340">
        <v>293.7411330074504</v>
      </c>
      <c r="E25" s="340">
        <v>281.55555858210698</v>
      </c>
      <c r="F25" s="340">
        <v>402.98682069326338</v>
      </c>
      <c r="G25" s="340">
        <v>485.23763385544186</v>
      </c>
      <c r="H25" s="340">
        <v>709.58491152153658</v>
      </c>
      <c r="I25" s="340">
        <v>692.26321065220827</v>
      </c>
      <c r="J25" s="340">
        <v>742.57384255948591</v>
      </c>
      <c r="K25" s="340">
        <v>823.86428889842284</v>
      </c>
      <c r="L25" s="340">
        <v>856.92806726344577</v>
      </c>
      <c r="M25" s="340">
        <v>1254.1595651932946</v>
      </c>
      <c r="N25" s="340">
        <v>1421.3953942366036</v>
      </c>
      <c r="O25" s="374"/>
      <c r="P25" s="392"/>
      <c r="Q25" s="392"/>
      <c r="R25" s="392"/>
      <c r="S25" s="399"/>
      <c r="T25" s="399"/>
      <c r="U25" s="399"/>
      <c r="V25" s="399"/>
      <c r="W25" s="399"/>
      <c r="X25" s="399"/>
      <c r="Y25" s="399"/>
      <c r="Z25" s="399"/>
      <c r="AA25" s="399"/>
      <c r="AB25" s="390"/>
      <c r="AC25" s="390"/>
      <c r="AD25" s="390"/>
      <c r="AE25" s="390"/>
      <c r="AF25" s="390"/>
      <c r="AG25" s="390"/>
      <c r="AH25" s="390"/>
    </row>
    <row r="26" spans="1:34">
      <c r="A26" s="337"/>
      <c r="B26" s="373"/>
      <c r="C26" s="342" t="s">
        <v>610</v>
      </c>
      <c r="D26" s="343">
        <v>427.61799317995388</v>
      </c>
      <c r="E26" s="343">
        <v>471.49146326391718</v>
      </c>
      <c r="F26" s="343">
        <v>635.86503722796806</v>
      </c>
      <c r="G26" s="343">
        <v>817.40227264361079</v>
      </c>
      <c r="H26" s="343">
        <v>1056.8997073629268</v>
      </c>
      <c r="I26" s="343">
        <v>1093.5036761282088</v>
      </c>
      <c r="J26" s="343">
        <v>1175.6902743857468</v>
      </c>
      <c r="K26" s="343">
        <v>1307.6784489626671</v>
      </c>
      <c r="L26" s="343">
        <v>1737.7053716651571</v>
      </c>
      <c r="M26" s="343">
        <v>2165.0365344022548</v>
      </c>
      <c r="N26" s="343">
        <v>2300.0721691371359</v>
      </c>
      <c r="O26" s="374"/>
      <c r="P26" s="392"/>
      <c r="Q26" s="392"/>
      <c r="R26" s="392"/>
      <c r="S26" s="399"/>
      <c r="T26" s="399"/>
      <c r="U26" s="399"/>
      <c r="V26" s="399"/>
      <c r="W26" s="399"/>
      <c r="X26" s="399"/>
      <c r="Y26" s="399"/>
      <c r="Z26" s="399"/>
      <c r="AA26" s="399"/>
      <c r="AB26" s="390"/>
      <c r="AC26" s="390"/>
      <c r="AD26" s="390"/>
      <c r="AE26" s="390"/>
      <c r="AF26" s="390"/>
      <c r="AG26" s="390"/>
      <c r="AH26" s="390"/>
    </row>
    <row r="27" spans="1:34">
      <c r="A27" s="337"/>
      <c r="B27" s="373"/>
      <c r="C27" s="339" t="s">
        <v>611</v>
      </c>
      <c r="D27" s="340">
        <v>252.94590600393533</v>
      </c>
      <c r="E27" s="340">
        <v>249.53118533770495</v>
      </c>
      <c r="F27" s="340">
        <v>236.03236666036551</v>
      </c>
      <c r="G27" s="340">
        <v>325.66268998344441</v>
      </c>
      <c r="H27" s="340">
        <v>355.7809341118994</v>
      </c>
      <c r="I27" s="340">
        <v>381.2571253210013</v>
      </c>
      <c r="J27" s="340">
        <v>425.77415876037304</v>
      </c>
      <c r="K27" s="340">
        <v>403.36946620210921</v>
      </c>
      <c r="L27" s="340">
        <v>461.47613292423193</v>
      </c>
      <c r="M27" s="340">
        <v>642.45877471391532</v>
      </c>
      <c r="N27" s="340">
        <v>785.0576205641861</v>
      </c>
      <c r="O27" s="374"/>
      <c r="P27" s="392"/>
      <c r="Q27" s="392"/>
      <c r="R27" s="392"/>
      <c r="S27" s="399"/>
      <c r="T27" s="399"/>
      <c r="U27" s="399"/>
      <c r="V27" s="399"/>
      <c r="W27" s="399"/>
      <c r="X27" s="399"/>
      <c r="Y27" s="399"/>
      <c r="Z27" s="399"/>
      <c r="AA27" s="399"/>
      <c r="AB27" s="390"/>
      <c r="AC27" s="390"/>
      <c r="AD27" s="390"/>
      <c r="AE27" s="390"/>
      <c r="AF27" s="390"/>
      <c r="AG27" s="390"/>
      <c r="AH27" s="390"/>
    </row>
    <row r="28" spans="1:34">
      <c r="A28" s="337"/>
      <c r="B28" s="373"/>
      <c r="C28" s="342" t="s">
        <v>612</v>
      </c>
      <c r="D28" s="343">
        <v>69.130849165028067</v>
      </c>
      <c r="E28" s="343">
        <v>56.940904915513585</v>
      </c>
      <c r="F28" s="343">
        <v>62.268797659940248</v>
      </c>
      <c r="G28" s="343">
        <v>65.089534335830393</v>
      </c>
      <c r="H28" s="343">
        <v>75.420512079871088</v>
      </c>
      <c r="I28" s="343">
        <v>73.904673895710388</v>
      </c>
      <c r="J28" s="343">
        <v>82.737221937403945</v>
      </c>
      <c r="K28" s="343">
        <v>91.188351104783749</v>
      </c>
      <c r="L28" s="343">
        <v>86.030089530309695</v>
      </c>
      <c r="M28" s="343">
        <v>114.40222301274395</v>
      </c>
      <c r="N28" s="343">
        <v>161.83229552351051</v>
      </c>
      <c r="O28" s="374"/>
      <c r="P28" s="392"/>
      <c r="Q28" s="392"/>
      <c r="R28" s="392"/>
      <c r="S28" s="399"/>
      <c r="T28" s="399"/>
      <c r="U28" s="399"/>
      <c r="V28" s="399"/>
      <c r="W28" s="399"/>
      <c r="X28" s="399"/>
      <c r="Y28" s="399"/>
      <c r="Z28" s="399"/>
      <c r="AA28" s="399"/>
      <c r="AB28" s="390"/>
      <c r="AC28" s="390"/>
      <c r="AD28" s="390"/>
      <c r="AE28" s="390"/>
      <c r="AF28" s="390"/>
      <c r="AG28" s="390"/>
      <c r="AH28" s="390"/>
    </row>
    <row r="29" spans="1:34">
      <c r="A29" s="337"/>
      <c r="B29" s="373"/>
      <c r="C29" s="338" t="s">
        <v>613</v>
      </c>
      <c r="D29" s="346">
        <v>10348.712066590839</v>
      </c>
      <c r="E29" s="346">
        <v>8672.6677477843405</v>
      </c>
      <c r="F29" s="346">
        <v>9111.6572054141689</v>
      </c>
      <c r="G29" s="346">
        <v>9642.8059335370272</v>
      </c>
      <c r="H29" s="346">
        <v>11172.408429929601</v>
      </c>
      <c r="I29" s="346">
        <v>12066.897870036673</v>
      </c>
      <c r="J29" s="346">
        <v>12838.12570227074</v>
      </c>
      <c r="K29" s="346">
        <v>13915.741463731634</v>
      </c>
      <c r="L29" s="346">
        <v>13899.447115177831</v>
      </c>
      <c r="M29" s="346">
        <v>16764.49664657523</v>
      </c>
      <c r="N29" s="346">
        <v>21459.679463224318</v>
      </c>
      <c r="O29" s="374"/>
      <c r="P29" s="392"/>
      <c r="Q29" s="392"/>
      <c r="R29" s="392"/>
      <c r="S29" s="399"/>
      <c r="T29" s="399"/>
      <c r="U29" s="399"/>
      <c r="V29" s="399"/>
      <c r="W29" s="399"/>
      <c r="X29" s="399"/>
      <c r="Y29" s="399"/>
      <c r="Z29" s="399"/>
      <c r="AA29" s="399"/>
      <c r="AB29" s="390"/>
      <c r="AC29" s="390"/>
      <c r="AD29" s="390"/>
      <c r="AE29" s="390"/>
      <c r="AF29" s="390"/>
      <c r="AG29" s="390"/>
      <c r="AH29" s="390"/>
    </row>
    <row r="30" spans="1:34">
      <c r="A30" s="337"/>
      <c r="B30" s="373"/>
      <c r="C30" s="342" t="s">
        <v>614</v>
      </c>
      <c r="D30" s="348">
        <v>123.83835030542187</v>
      </c>
      <c r="E30" s="348">
        <v>105.41160501579732</v>
      </c>
      <c r="F30" s="348">
        <v>103.66674378019952</v>
      </c>
      <c r="G30" s="348">
        <v>101.45630684704568</v>
      </c>
      <c r="H30" s="348">
        <v>119.70307334042485</v>
      </c>
      <c r="I30" s="348">
        <v>146.15650723428936</v>
      </c>
      <c r="J30" s="348">
        <v>153.64691705551803</v>
      </c>
      <c r="K30" s="348">
        <v>203.63568964855418</v>
      </c>
      <c r="L30" s="348">
        <v>220.59387528948872</v>
      </c>
      <c r="M30" s="348">
        <v>267.05432120207792</v>
      </c>
      <c r="N30" s="348">
        <v>352.58696707778955</v>
      </c>
      <c r="O30" s="374"/>
      <c r="P30" s="392"/>
      <c r="Q30" s="392"/>
      <c r="R30" s="392"/>
      <c r="S30" s="399"/>
      <c r="T30" s="399"/>
      <c r="U30" s="399"/>
      <c r="V30" s="399"/>
      <c r="W30" s="399"/>
      <c r="X30" s="399"/>
      <c r="Y30" s="399"/>
      <c r="Z30" s="399"/>
      <c r="AA30" s="399"/>
      <c r="AB30" s="390"/>
      <c r="AC30" s="390"/>
      <c r="AD30" s="390"/>
      <c r="AE30" s="390"/>
      <c r="AF30" s="390"/>
      <c r="AG30" s="390"/>
      <c r="AH30" s="390"/>
    </row>
    <row r="31" spans="1:34">
      <c r="A31" s="337"/>
      <c r="B31" s="373"/>
      <c r="C31" s="338" t="s">
        <v>615</v>
      </c>
      <c r="D31" s="346">
        <v>7721.7621065267776</v>
      </c>
      <c r="E31" s="346">
        <v>6141.8413927571701</v>
      </c>
      <c r="F31" s="346">
        <v>6431.2291167899884</v>
      </c>
      <c r="G31" s="346">
        <v>6850.4169087359478</v>
      </c>
      <c r="H31" s="346">
        <v>7543.638152987839</v>
      </c>
      <c r="I31" s="346">
        <v>7536.1201853859766</v>
      </c>
      <c r="J31" s="346">
        <v>7227.6451747475321</v>
      </c>
      <c r="K31" s="346">
        <v>8438.045631519848</v>
      </c>
      <c r="L31" s="346">
        <v>8694.3892303334487</v>
      </c>
      <c r="M31" s="346">
        <v>8799.3854209225537</v>
      </c>
      <c r="N31" s="346">
        <v>10605.517023039392</v>
      </c>
      <c r="O31" s="374"/>
      <c r="P31" s="392"/>
      <c r="Q31" s="392"/>
      <c r="R31" s="392"/>
      <c r="S31" s="399"/>
      <c r="T31" s="399"/>
      <c r="U31" s="399"/>
      <c r="V31" s="399"/>
      <c r="W31" s="399"/>
      <c r="X31" s="399"/>
      <c r="Y31" s="399"/>
      <c r="Z31" s="399"/>
      <c r="AA31" s="399"/>
      <c r="AB31" s="390"/>
      <c r="AC31" s="390"/>
      <c r="AD31" s="390"/>
      <c r="AE31" s="390"/>
      <c r="AF31" s="390"/>
      <c r="AG31" s="390"/>
      <c r="AH31" s="390"/>
    </row>
    <row r="32" spans="1:34">
      <c r="A32" s="337"/>
      <c r="B32" s="373"/>
      <c r="C32" s="342" t="s">
        <v>616</v>
      </c>
      <c r="D32" s="348">
        <v>10106.656046142907</v>
      </c>
      <c r="E32" s="348">
        <v>10588.468942518764</v>
      </c>
      <c r="F32" s="348">
        <v>9397.4673198940436</v>
      </c>
      <c r="G32" s="348">
        <v>9940.3920358106043</v>
      </c>
      <c r="H32" s="348">
        <v>11857.419824400848</v>
      </c>
      <c r="I32" s="348">
        <v>11824.142709798416</v>
      </c>
      <c r="J32" s="348">
        <v>13362.748038566846</v>
      </c>
      <c r="K32" s="348">
        <v>15099.087281450007</v>
      </c>
      <c r="L32" s="348">
        <v>15337.995639194194</v>
      </c>
      <c r="M32" s="348">
        <v>26475.839505626594</v>
      </c>
      <c r="N32" s="348">
        <v>34974.527950522031</v>
      </c>
      <c r="O32" s="374"/>
      <c r="P32" s="392"/>
      <c r="Q32" s="392"/>
      <c r="R32" s="392"/>
      <c r="S32" s="399"/>
      <c r="T32" s="399"/>
      <c r="U32" s="399"/>
      <c r="V32" s="399"/>
      <c r="W32" s="399"/>
      <c r="X32" s="399"/>
      <c r="Y32" s="399"/>
      <c r="Z32" s="399"/>
      <c r="AA32" s="399"/>
      <c r="AB32" s="390"/>
      <c r="AC32" s="390"/>
      <c r="AD32" s="390"/>
      <c r="AE32" s="390"/>
      <c r="AF32" s="390"/>
      <c r="AG32" s="390"/>
      <c r="AH32" s="390"/>
    </row>
    <row r="33" spans="1:34">
      <c r="A33" s="337"/>
      <c r="B33" s="373"/>
      <c r="C33" s="338" t="s">
        <v>617</v>
      </c>
      <c r="D33" s="346">
        <v>3007.3631055769488</v>
      </c>
      <c r="E33" s="346">
        <v>2645.164972422584</v>
      </c>
      <c r="F33" s="346">
        <v>2615.7709981706062</v>
      </c>
      <c r="G33" s="346">
        <v>2737.6302737976616</v>
      </c>
      <c r="H33" s="346">
        <v>3248.6885701269448</v>
      </c>
      <c r="I33" s="346">
        <v>3299.0882026708214</v>
      </c>
      <c r="J33" s="346">
        <v>3272.5408994959034</v>
      </c>
      <c r="K33" s="346">
        <v>3899.4194954671375</v>
      </c>
      <c r="L33" s="346">
        <v>3578.1995853561034</v>
      </c>
      <c r="M33" s="346">
        <v>4240.8876771734158</v>
      </c>
      <c r="N33" s="346">
        <v>4626.8578648905022</v>
      </c>
      <c r="O33" s="374"/>
      <c r="P33" s="392"/>
      <c r="Q33" s="392"/>
      <c r="R33" s="392"/>
      <c r="S33" s="393"/>
      <c r="T33" s="399"/>
      <c r="U33" s="399"/>
      <c r="V33" s="399"/>
      <c r="W33" s="399"/>
      <c r="X33" s="399"/>
      <c r="Y33" s="399"/>
      <c r="Z33" s="399"/>
      <c r="AA33" s="399"/>
      <c r="AB33" s="390"/>
      <c r="AC33" s="390"/>
      <c r="AD33" s="390"/>
      <c r="AE33" s="390"/>
      <c r="AF33" s="390"/>
      <c r="AG33" s="390"/>
      <c r="AH33" s="390"/>
    </row>
    <row r="34" spans="1:34">
      <c r="A34" s="337"/>
      <c r="B34" s="373"/>
      <c r="C34" s="342" t="s">
        <v>618</v>
      </c>
      <c r="D34" s="348">
        <v>2691.4718233801773</v>
      </c>
      <c r="E34" s="348">
        <v>2580.6072870089838</v>
      </c>
      <c r="F34" s="348">
        <v>2645.4430452836564</v>
      </c>
      <c r="G34" s="348">
        <v>3643.3426886922803</v>
      </c>
      <c r="H34" s="348">
        <v>4359.3781509319833</v>
      </c>
      <c r="I34" s="348">
        <v>4607.7147883933903</v>
      </c>
      <c r="J34" s="348">
        <v>5056.4700412362072</v>
      </c>
      <c r="K34" s="348">
        <v>5298.7474827935675</v>
      </c>
      <c r="L34" s="348">
        <v>5196.6838314660945</v>
      </c>
      <c r="M34" s="348">
        <v>5604.7222126474016</v>
      </c>
      <c r="N34" s="348">
        <v>8644.4655814870766</v>
      </c>
      <c r="O34" s="374"/>
      <c r="P34" s="392"/>
      <c r="Q34" s="392"/>
      <c r="R34" s="392"/>
      <c r="S34" s="399"/>
      <c r="T34" s="399"/>
      <c r="U34" s="399"/>
      <c r="V34" s="399"/>
      <c r="W34" s="399"/>
      <c r="X34" s="399"/>
      <c r="Y34" s="399"/>
      <c r="Z34" s="399"/>
      <c r="AA34" s="399"/>
      <c r="AB34" s="390"/>
      <c r="AC34" s="390"/>
      <c r="AD34" s="390"/>
      <c r="AE34" s="390"/>
      <c r="AF34" s="390"/>
      <c r="AG34" s="390"/>
      <c r="AH34" s="390"/>
    </row>
    <row r="35" spans="1:34">
      <c r="A35" s="337"/>
      <c r="B35" s="373"/>
      <c r="C35" s="338" t="s">
        <v>619</v>
      </c>
      <c r="D35" s="346">
        <v>998.70877698201241</v>
      </c>
      <c r="E35" s="346">
        <v>986.97168891141655</v>
      </c>
      <c r="F35" s="346">
        <v>1003.8124734809277</v>
      </c>
      <c r="G35" s="346">
        <v>1055.5046209771488</v>
      </c>
      <c r="H35" s="346">
        <v>1297.7672938795265</v>
      </c>
      <c r="I35" s="346">
        <v>1802.0453960452874</v>
      </c>
      <c r="J35" s="346">
        <v>2049.1932170432137</v>
      </c>
      <c r="K35" s="346">
        <v>2066.4049456351545</v>
      </c>
      <c r="L35" s="346">
        <v>2090.3107796326717</v>
      </c>
      <c r="M35" s="346">
        <v>2444.6351216503954</v>
      </c>
      <c r="N35" s="346">
        <v>2840.608785519401</v>
      </c>
      <c r="O35" s="374"/>
      <c r="P35" s="392"/>
      <c r="Q35" s="392"/>
      <c r="R35" s="392"/>
      <c r="S35" s="399"/>
      <c r="T35" s="399"/>
      <c r="U35" s="399"/>
      <c r="V35" s="399"/>
      <c r="W35" s="399"/>
      <c r="X35" s="399"/>
      <c r="Y35" s="399"/>
      <c r="Z35" s="399"/>
      <c r="AA35" s="399"/>
      <c r="AB35" s="390"/>
      <c r="AC35" s="390"/>
      <c r="AD35" s="390"/>
      <c r="AE35" s="390"/>
      <c r="AF35" s="390"/>
      <c r="AG35" s="390"/>
      <c r="AH35" s="390"/>
    </row>
    <row r="36" spans="1:34">
      <c r="A36" s="337"/>
      <c r="B36" s="373"/>
      <c r="C36" s="342" t="s">
        <v>620</v>
      </c>
      <c r="D36" s="348">
        <v>486.96788515745521</v>
      </c>
      <c r="E36" s="348">
        <v>400.99226563231559</v>
      </c>
      <c r="F36" s="348">
        <v>449.4626170440809</v>
      </c>
      <c r="G36" s="348">
        <v>476.7996415490237</v>
      </c>
      <c r="H36" s="348">
        <v>546.61864263584323</v>
      </c>
      <c r="I36" s="348">
        <v>572.40250344442654</v>
      </c>
      <c r="J36" s="348">
        <v>568.37384303807858</v>
      </c>
      <c r="K36" s="348">
        <v>763.13129661922846</v>
      </c>
      <c r="L36" s="348">
        <v>777.02087886479183</v>
      </c>
      <c r="M36" s="348">
        <v>913.54519928108755</v>
      </c>
      <c r="N36" s="348">
        <v>948.96948276052831</v>
      </c>
      <c r="O36" s="374"/>
      <c r="P36" s="392"/>
      <c r="Q36" s="392"/>
      <c r="R36" s="392"/>
      <c r="S36" s="399"/>
      <c r="T36" s="399"/>
      <c r="U36" s="399"/>
      <c r="V36" s="399"/>
      <c r="W36" s="399"/>
      <c r="X36" s="399"/>
      <c r="Y36" s="399"/>
      <c r="Z36" s="399"/>
      <c r="AA36" s="399"/>
      <c r="AB36" s="390"/>
      <c r="AC36" s="390"/>
      <c r="AD36" s="390"/>
      <c r="AE36" s="390"/>
      <c r="AF36" s="390"/>
      <c r="AG36" s="390"/>
      <c r="AH36" s="390"/>
    </row>
    <row r="37" spans="1:34">
      <c r="A37" s="337"/>
      <c r="B37" s="373"/>
      <c r="C37" s="338" t="s">
        <v>621</v>
      </c>
      <c r="D37" s="346">
        <v>12634.323715682363</v>
      </c>
      <c r="E37" s="346">
        <v>11096.055751244148</v>
      </c>
      <c r="F37" s="346">
        <v>9974.9382867478671</v>
      </c>
      <c r="G37" s="346">
        <v>11889.14471112257</v>
      </c>
      <c r="H37" s="346">
        <v>13199.859717376607</v>
      </c>
      <c r="I37" s="346">
        <v>12630.388260245571</v>
      </c>
      <c r="J37" s="346">
        <v>12828.01851091302</v>
      </c>
      <c r="K37" s="346">
        <v>14849.044437689532</v>
      </c>
      <c r="L37" s="346">
        <v>16450.978248291762</v>
      </c>
      <c r="M37" s="346">
        <v>18875.146774379053</v>
      </c>
      <c r="N37" s="346">
        <v>21269.292206478982</v>
      </c>
      <c r="O37" s="374"/>
      <c r="P37" s="392"/>
      <c r="Q37" s="392"/>
      <c r="R37" s="392"/>
      <c r="S37" s="399"/>
      <c r="T37" s="399"/>
      <c r="U37" s="399"/>
      <c r="V37" s="399"/>
      <c r="W37" s="399"/>
      <c r="X37" s="399"/>
      <c r="Y37" s="399"/>
      <c r="Z37" s="399"/>
      <c r="AA37" s="399"/>
      <c r="AB37" s="390"/>
      <c r="AC37" s="390"/>
      <c r="AD37" s="390"/>
      <c r="AE37" s="390"/>
      <c r="AF37" s="390"/>
      <c r="AG37" s="390"/>
      <c r="AH37" s="390"/>
    </row>
    <row r="38" spans="1:34">
      <c r="A38" s="337"/>
      <c r="B38" s="373"/>
      <c r="C38" s="342" t="s">
        <v>622</v>
      </c>
      <c r="D38" s="344">
        <v>6205.4244494362611</v>
      </c>
      <c r="E38" s="344">
        <v>5103.2379686279419</v>
      </c>
      <c r="F38" s="344">
        <v>5016.9401784436823</v>
      </c>
      <c r="G38" s="344">
        <v>5228.7668347234976</v>
      </c>
      <c r="H38" s="344">
        <v>5396.019680526033</v>
      </c>
      <c r="I38" s="344">
        <v>5559.7051040636679</v>
      </c>
      <c r="J38" s="344">
        <v>5984.4291568172948</v>
      </c>
      <c r="K38" s="344">
        <v>9070.5366048723045</v>
      </c>
      <c r="L38" s="344">
        <v>8561.7913608069339</v>
      </c>
      <c r="M38" s="344">
        <v>9847.8952048202391</v>
      </c>
      <c r="N38" s="344">
        <v>13427.987162794068</v>
      </c>
      <c r="O38" s="374"/>
      <c r="P38" s="392"/>
      <c r="Q38" s="392"/>
      <c r="R38" s="392"/>
      <c r="S38" s="399"/>
      <c r="T38" s="399"/>
      <c r="U38" s="399"/>
      <c r="V38" s="399"/>
      <c r="W38" s="399"/>
      <c r="X38" s="399"/>
      <c r="Y38" s="399"/>
      <c r="Z38" s="399"/>
      <c r="AA38" s="399"/>
      <c r="AB38" s="390"/>
      <c r="AC38" s="390"/>
      <c r="AD38" s="390"/>
      <c r="AE38" s="390"/>
      <c r="AF38" s="390"/>
      <c r="AG38" s="390"/>
      <c r="AH38" s="390"/>
    </row>
    <row r="39" spans="1:34">
      <c r="A39" s="337"/>
      <c r="B39" s="373"/>
      <c r="C39" s="338" t="s">
        <v>623</v>
      </c>
      <c r="D39" s="350">
        <v>13576.887548785857</v>
      </c>
      <c r="E39" s="350">
        <v>11953.247309560638</v>
      </c>
      <c r="F39" s="350">
        <v>12643.546805555548</v>
      </c>
      <c r="G39" s="350">
        <v>12970.991508249042</v>
      </c>
      <c r="H39" s="350">
        <v>14167.56999405293</v>
      </c>
      <c r="I39" s="350">
        <v>14088.653530335467</v>
      </c>
      <c r="J39" s="350">
        <v>13395.870364157719</v>
      </c>
      <c r="K39" s="350">
        <v>13136.639632521243</v>
      </c>
      <c r="L39" s="352">
        <v>12291.88895422446</v>
      </c>
      <c r="M39" s="352">
        <v>16613.983397139949</v>
      </c>
      <c r="N39" s="352">
        <v>22776.382187304534</v>
      </c>
      <c r="O39" s="374"/>
      <c r="P39" s="392"/>
      <c r="Q39" s="392"/>
      <c r="R39" s="392"/>
      <c r="S39" s="399"/>
      <c r="T39" s="399"/>
      <c r="U39" s="399"/>
      <c r="V39" s="399"/>
      <c r="W39" s="399"/>
      <c r="X39" s="399"/>
      <c r="Y39" s="399"/>
      <c r="Z39" s="399"/>
      <c r="AA39" s="399"/>
      <c r="AB39" s="390"/>
      <c r="AC39" s="390"/>
      <c r="AD39" s="390"/>
      <c r="AE39" s="390"/>
      <c r="AF39" s="390"/>
      <c r="AG39" s="390"/>
      <c r="AH39" s="390"/>
    </row>
    <row r="40" spans="1:34">
      <c r="A40" s="337"/>
      <c r="B40" s="373"/>
      <c r="C40" s="342" t="s">
        <v>370</v>
      </c>
      <c r="D40" s="343">
        <v>65691.739301558438</v>
      </c>
      <c r="E40" s="343">
        <v>59505.333907991066</v>
      </c>
      <c r="F40" s="343">
        <v>56362.451682059029</v>
      </c>
      <c r="G40" s="343">
        <v>55718.632516808488</v>
      </c>
      <c r="H40" s="343">
        <v>60380.340002947247</v>
      </c>
      <c r="I40" s="343">
        <v>59399.303580534041</v>
      </c>
      <c r="J40" s="343">
        <v>63499.958390543485</v>
      </c>
      <c r="K40" s="343">
        <v>71926.971066237151</v>
      </c>
      <c r="L40" s="351">
        <v>70846.410211204289</v>
      </c>
      <c r="M40" s="351">
        <v>76939.040441372461</v>
      </c>
      <c r="N40" s="351">
        <v>82107.131339519896</v>
      </c>
      <c r="O40" s="374"/>
      <c r="P40" s="392"/>
      <c r="Q40" s="392"/>
      <c r="R40" s="392"/>
      <c r="S40" s="399"/>
      <c r="T40" s="399"/>
      <c r="U40" s="399"/>
      <c r="V40" s="399"/>
      <c r="W40" s="399"/>
      <c r="X40" s="399"/>
      <c r="Y40" s="399"/>
      <c r="Z40" s="399"/>
      <c r="AA40" s="399"/>
      <c r="AB40" s="390"/>
      <c r="AC40" s="390"/>
      <c r="AD40" s="390"/>
      <c r="AE40" s="390"/>
      <c r="AF40" s="390"/>
      <c r="AG40" s="390"/>
      <c r="AH40" s="390"/>
    </row>
    <row r="41" spans="1:34">
      <c r="A41" s="337"/>
      <c r="B41" s="375"/>
      <c r="C41" s="338" t="s">
        <v>624</v>
      </c>
      <c r="D41" s="350">
        <v>653942</v>
      </c>
      <c r="E41" s="350">
        <v>641253</v>
      </c>
      <c r="F41" s="350">
        <v>656059</v>
      </c>
      <c r="G41" s="350">
        <v>642933</v>
      </c>
      <c r="H41" s="350">
        <v>672255</v>
      </c>
      <c r="I41" s="350">
        <v>750886</v>
      </c>
      <c r="J41" s="350">
        <v>770650</v>
      </c>
      <c r="K41" s="350">
        <v>824094</v>
      </c>
      <c r="L41" s="352">
        <v>834977</v>
      </c>
      <c r="M41" s="352">
        <v>875603</v>
      </c>
      <c r="N41" s="352">
        <v>967707</v>
      </c>
      <c r="O41" s="374"/>
      <c r="P41" s="392"/>
      <c r="Q41" s="392"/>
      <c r="R41" s="392"/>
      <c r="S41" s="403"/>
      <c r="T41" s="403"/>
      <c r="U41" s="403"/>
      <c r="V41" s="403"/>
      <c r="W41" s="403"/>
      <c r="X41" s="403"/>
      <c r="Y41" s="403"/>
      <c r="Z41" s="403"/>
      <c r="AA41" s="403"/>
      <c r="AB41" s="403"/>
      <c r="AC41" s="404"/>
      <c r="AD41" s="404"/>
      <c r="AE41" s="390"/>
      <c r="AF41" s="390"/>
      <c r="AG41" s="390"/>
      <c r="AH41" s="390"/>
    </row>
    <row r="42" spans="1:34">
      <c r="A42" s="337"/>
      <c r="B42" s="376" t="s">
        <v>625</v>
      </c>
      <c r="C42" s="339"/>
      <c r="D42" s="377">
        <v>289275.58340913878</v>
      </c>
      <c r="E42" s="377">
        <v>254422.33810172338</v>
      </c>
      <c r="F42" s="377">
        <v>255594.7463821951</v>
      </c>
      <c r="G42" s="377">
        <v>275102.41410599259</v>
      </c>
      <c r="H42" s="377">
        <v>300167.05973043118</v>
      </c>
      <c r="I42" s="377">
        <v>301674.23924443015</v>
      </c>
      <c r="J42" s="377">
        <v>325952.58803383884</v>
      </c>
      <c r="K42" s="377">
        <v>358835.89628605021</v>
      </c>
      <c r="L42" s="377">
        <v>355382.35388548224</v>
      </c>
      <c r="M42" s="377">
        <v>419204.61646353913</v>
      </c>
      <c r="N42" s="377">
        <v>506692.47657343885</v>
      </c>
      <c r="O42" s="378"/>
      <c r="P42" s="400"/>
      <c r="Q42" s="400"/>
      <c r="R42" s="400"/>
      <c r="S42" s="400"/>
      <c r="T42" s="400"/>
      <c r="U42" s="400"/>
      <c r="V42" s="400"/>
      <c r="W42" s="400"/>
      <c r="X42" s="400"/>
      <c r="Y42" s="400"/>
      <c r="Z42" s="400"/>
      <c r="AA42" s="400"/>
      <c r="AB42" s="400"/>
      <c r="AC42" s="400"/>
      <c r="AD42" s="390"/>
      <c r="AE42" s="390"/>
      <c r="AF42" s="390"/>
      <c r="AG42" s="390"/>
      <c r="AH42" s="390"/>
    </row>
    <row r="43" spans="1:34">
      <c r="A43" s="337"/>
      <c r="B43" s="376" t="s">
        <v>626</v>
      </c>
      <c r="C43" s="379"/>
      <c r="D43" s="380">
        <v>943217.58340913872</v>
      </c>
      <c r="E43" s="380">
        <v>895675.33810172335</v>
      </c>
      <c r="F43" s="380">
        <v>911653.74638219504</v>
      </c>
      <c r="G43" s="380">
        <v>918035.41410599253</v>
      </c>
      <c r="H43" s="380">
        <v>972422.05973043118</v>
      </c>
      <c r="I43" s="380">
        <v>1052560.2392444301</v>
      </c>
      <c r="J43" s="380">
        <v>1096602.5880338389</v>
      </c>
      <c r="K43" s="380">
        <v>1182929.8962860503</v>
      </c>
      <c r="L43" s="380">
        <v>1190359.3538854823</v>
      </c>
      <c r="M43" s="380">
        <v>1294807.6164635392</v>
      </c>
      <c r="N43" s="380">
        <v>1474399.4765734388</v>
      </c>
      <c r="O43" s="378"/>
      <c r="P43" s="400"/>
      <c r="Q43" s="400"/>
      <c r="R43" s="400"/>
      <c r="S43" s="400"/>
      <c r="T43" s="400"/>
      <c r="U43" s="400"/>
      <c r="V43" s="400"/>
      <c r="W43" s="400"/>
      <c r="X43" s="400"/>
      <c r="Y43" s="400"/>
      <c r="Z43" s="400"/>
      <c r="AA43" s="400"/>
      <c r="AB43" s="400"/>
      <c r="AC43" s="400"/>
      <c r="AD43" s="390"/>
      <c r="AE43" s="390"/>
      <c r="AF43" s="390"/>
      <c r="AG43" s="390"/>
      <c r="AH43" s="390"/>
    </row>
    <row r="44" spans="1:34">
      <c r="A44" s="322"/>
      <c r="B44" s="335" t="s">
        <v>913</v>
      </c>
      <c r="C44" s="336"/>
      <c r="D44" s="381"/>
      <c r="E44" s="381"/>
      <c r="F44" s="381"/>
      <c r="G44" s="381"/>
      <c r="H44" s="381"/>
      <c r="I44" s="381"/>
      <c r="J44" s="381"/>
      <c r="K44" s="381"/>
      <c r="L44" s="381"/>
      <c r="M44" s="381"/>
      <c r="N44" s="381"/>
      <c r="O44" s="382"/>
      <c r="P44" s="367"/>
      <c r="Q44" s="390"/>
      <c r="R44" s="390"/>
      <c r="S44" s="396"/>
      <c r="T44" s="396"/>
      <c r="U44" s="396"/>
      <c r="V44" s="396"/>
      <c r="W44" s="396"/>
      <c r="X44" s="396"/>
      <c r="Y44" s="396"/>
      <c r="Z44" s="396"/>
      <c r="AA44" s="396"/>
      <c r="AB44" s="396"/>
      <c r="AC44" s="396"/>
      <c r="AD44" s="405"/>
      <c r="AE44" s="322"/>
      <c r="AF44" s="322"/>
      <c r="AG44" s="322"/>
      <c r="AH44" s="322"/>
    </row>
    <row r="45" spans="1:34">
      <c r="A45" s="337"/>
      <c r="B45" s="373"/>
      <c r="C45" s="339" t="s">
        <v>595</v>
      </c>
      <c r="D45" s="340">
        <v>150.02559881337785</v>
      </c>
      <c r="E45" s="340">
        <v>132.37558467067828</v>
      </c>
      <c r="F45" s="340">
        <v>129.85599510998077</v>
      </c>
      <c r="G45" s="340">
        <v>135.46813211922458</v>
      </c>
      <c r="H45" s="340">
        <v>147.44345699236388</v>
      </c>
      <c r="I45" s="340">
        <v>166.12091676638269</v>
      </c>
      <c r="J45" s="340">
        <v>162.52151870537216</v>
      </c>
      <c r="K45" s="340">
        <v>169.78147258109865</v>
      </c>
      <c r="L45" s="341">
        <v>173.10771510685836</v>
      </c>
      <c r="M45" s="341">
        <v>258.40073056289424</v>
      </c>
      <c r="N45" s="341">
        <v>309.46431010515118</v>
      </c>
      <c r="O45" s="383"/>
      <c r="P45" s="392"/>
      <c r="Q45" s="392"/>
      <c r="R45" s="392"/>
      <c r="S45" s="399"/>
      <c r="T45" s="399"/>
      <c r="U45" s="399"/>
      <c r="V45" s="399"/>
      <c r="W45" s="399"/>
      <c r="X45" s="399"/>
      <c r="Y45" s="399"/>
      <c r="Z45" s="399"/>
      <c r="AA45" s="399"/>
      <c r="AB45" s="390"/>
      <c r="AC45" s="390"/>
      <c r="AD45" s="390"/>
      <c r="AE45" s="390"/>
      <c r="AF45" s="390"/>
      <c r="AG45" s="390"/>
      <c r="AH45" s="390"/>
    </row>
    <row r="46" spans="1:34">
      <c r="A46" s="337"/>
      <c r="B46" s="373"/>
      <c r="C46" s="342" t="s">
        <v>596</v>
      </c>
      <c r="D46" s="343">
        <v>4399.9896899275918</v>
      </c>
      <c r="E46" s="343">
        <v>4204.4455870250958</v>
      </c>
      <c r="F46" s="343">
        <v>4189.2936605361874</v>
      </c>
      <c r="G46" s="343">
        <v>4204.2381337342304</v>
      </c>
      <c r="H46" s="343">
        <v>4317.3392049407494</v>
      </c>
      <c r="I46" s="343">
        <v>4399.5407332351979</v>
      </c>
      <c r="J46" s="343">
        <v>4749.6191241178776</v>
      </c>
      <c r="K46" s="343">
        <v>5207.3486743590547</v>
      </c>
      <c r="L46" s="344">
        <v>6105.5699071108884</v>
      </c>
      <c r="M46" s="344">
        <v>6331.764181816623</v>
      </c>
      <c r="N46" s="344">
        <v>6894.7659303090422</v>
      </c>
      <c r="O46" s="383"/>
      <c r="P46" s="392"/>
      <c r="Q46" s="392"/>
      <c r="R46" s="392"/>
      <c r="S46" s="399"/>
      <c r="T46" s="399"/>
      <c r="U46" s="399"/>
      <c r="V46" s="399"/>
      <c r="W46" s="399"/>
      <c r="X46" s="399"/>
      <c r="Y46" s="399"/>
      <c r="Z46" s="399"/>
      <c r="AA46" s="399"/>
      <c r="AB46" s="390"/>
      <c r="AC46" s="390"/>
      <c r="AD46" s="390"/>
      <c r="AE46" s="390"/>
      <c r="AF46" s="390"/>
      <c r="AG46" s="390"/>
      <c r="AH46" s="390"/>
    </row>
    <row r="47" spans="1:34">
      <c r="A47" s="337"/>
      <c r="B47" s="373"/>
      <c r="C47" s="339" t="s">
        <v>597</v>
      </c>
      <c r="D47" s="340">
        <v>642.72832370795811</v>
      </c>
      <c r="E47" s="340">
        <v>632.71869935075324</v>
      </c>
      <c r="F47" s="340">
        <v>650.42785189479025</v>
      </c>
      <c r="G47" s="340">
        <v>656.64919966253478</v>
      </c>
      <c r="H47" s="340">
        <v>799.75493012554637</v>
      </c>
      <c r="I47" s="340">
        <v>1799.0026842586246</v>
      </c>
      <c r="J47" s="340">
        <v>878.68892051518492</v>
      </c>
      <c r="K47" s="340">
        <v>900.58926695073706</v>
      </c>
      <c r="L47" s="341">
        <v>982.30753419736607</v>
      </c>
      <c r="M47" s="341">
        <v>1231.5592935670727</v>
      </c>
      <c r="N47" s="341">
        <v>1395.2935334105262</v>
      </c>
      <c r="O47" s="383"/>
      <c r="P47" s="392"/>
      <c r="Q47" s="392"/>
      <c r="R47" s="392"/>
      <c r="S47" s="399"/>
      <c r="T47" s="399"/>
      <c r="U47" s="399"/>
      <c r="V47" s="399"/>
      <c r="W47" s="399"/>
      <c r="X47" s="399"/>
      <c r="Y47" s="399"/>
      <c r="Z47" s="399"/>
      <c r="AA47" s="399"/>
      <c r="AB47" s="390"/>
      <c r="AC47" s="390"/>
      <c r="AD47" s="390"/>
      <c r="AE47" s="390"/>
      <c r="AF47" s="390"/>
      <c r="AG47" s="390"/>
      <c r="AH47" s="390"/>
    </row>
    <row r="48" spans="1:34">
      <c r="A48" s="337"/>
      <c r="B48" s="373"/>
      <c r="C48" s="342" t="s">
        <v>598</v>
      </c>
      <c r="D48" s="343">
        <v>15563.028535477522</v>
      </c>
      <c r="E48" s="343">
        <v>18689.4079203168</v>
      </c>
      <c r="F48" s="343">
        <v>18226.030516953611</v>
      </c>
      <c r="G48" s="343">
        <v>23284.925010993931</v>
      </c>
      <c r="H48" s="343">
        <v>21613.945303624299</v>
      </c>
      <c r="I48" s="343">
        <v>21962.161829230507</v>
      </c>
      <c r="J48" s="343">
        <v>22702.074954663665</v>
      </c>
      <c r="K48" s="343">
        <v>21549.080072211931</v>
      </c>
      <c r="L48" s="344">
        <v>21100.521184484081</v>
      </c>
      <c r="M48" s="344">
        <v>23279.616873092502</v>
      </c>
      <c r="N48" s="344">
        <v>24551.42675495434</v>
      </c>
      <c r="O48" s="383"/>
      <c r="P48" s="392"/>
      <c r="Q48" s="392"/>
      <c r="R48" s="392"/>
      <c r="S48" s="399"/>
      <c r="T48" s="399"/>
      <c r="U48" s="399"/>
      <c r="V48" s="399"/>
      <c r="W48" s="399"/>
      <c r="X48" s="399"/>
      <c r="Y48" s="399"/>
      <c r="Z48" s="399"/>
      <c r="AA48" s="399"/>
      <c r="AB48" s="390"/>
      <c r="AC48" s="390"/>
      <c r="AD48" s="390"/>
      <c r="AE48" s="390"/>
      <c r="AF48" s="390"/>
      <c r="AG48" s="390"/>
      <c r="AH48" s="390"/>
    </row>
    <row r="49" spans="1:34">
      <c r="A49" s="337"/>
      <c r="B49" s="373"/>
      <c r="C49" s="339" t="s">
        <v>599</v>
      </c>
      <c r="D49" s="340">
        <v>891.94528141452724</v>
      </c>
      <c r="E49" s="340">
        <v>882.72589776537382</v>
      </c>
      <c r="F49" s="340">
        <v>830.13703023343135</v>
      </c>
      <c r="G49" s="340">
        <v>881.21315284342006</v>
      </c>
      <c r="H49" s="340">
        <v>856.41514973428764</v>
      </c>
      <c r="I49" s="340">
        <v>918.00626645181012</v>
      </c>
      <c r="J49" s="340">
        <v>890.27548583105283</v>
      </c>
      <c r="K49" s="340">
        <v>1164.6162309486981</v>
      </c>
      <c r="L49" s="341">
        <v>1136.7136303164452</v>
      </c>
      <c r="M49" s="341">
        <v>1145.0439427703836</v>
      </c>
      <c r="N49" s="341">
        <v>1226.4119953283064</v>
      </c>
      <c r="O49" s="383"/>
      <c r="P49" s="392"/>
      <c r="Q49" s="392"/>
      <c r="R49" s="392"/>
      <c r="S49" s="399"/>
      <c r="T49" s="399"/>
      <c r="U49" s="399"/>
      <c r="V49" s="399"/>
      <c r="W49" s="399"/>
      <c r="X49" s="399"/>
      <c r="Y49" s="399"/>
      <c r="Z49" s="399"/>
      <c r="AA49" s="399"/>
      <c r="AB49" s="390"/>
      <c r="AC49" s="390"/>
      <c r="AD49" s="390"/>
      <c r="AE49" s="390"/>
      <c r="AF49" s="390"/>
      <c r="AG49" s="390"/>
      <c r="AH49" s="390"/>
    </row>
    <row r="50" spans="1:34">
      <c r="A50" s="337"/>
      <c r="B50" s="373"/>
      <c r="C50" s="342" t="s">
        <v>600</v>
      </c>
      <c r="D50" s="343">
        <v>1683.4029143061521</v>
      </c>
      <c r="E50" s="343">
        <v>1921.3952310622012</v>
      </c>
      <c r="F50" s="343">
        <v>1832.7511543308442</v>
      </c>
      <c r="G50" s="343">
        <v>2095.2046000452001</v>
      </c>
      <c r="H50" s="343">
        <v>2311.5388190057406</v>
      </c>
      <c r="I50" s="343">
        <v>2546.0259628020131</v>
      </c>
      <c r="J50" s="343">
        <v>2650.6092580193636</v>
      </c>
      <c r="K50" s="343">
        <v>2931.6906415970102</v>
      </c>
      <c r="L50" s="344">
        <v>2894.9663595451893</v>
      </c>
      <c r="M50" s="344">
        <v>2953.1349455279988</v>
      </c>
      <c r="N50" s="344">
        <v>4567.0253192411246</v>
      </c>
      <c r="O50" s="383"/>
      <c r="P50" s="392"/>
      <c r="Q50" s="392"/>
      <c r="R50" s="392"/>
      <c r="S50" s="399"/>
      <c r="T50" s="399"/>
      <c r="U50" s="399"/>
      <c r="V50" s="399"/>
      <c r="W50" s="399"/>
      <c r="X50" s="399"/>
      <c r="Y50" s="399"/>
      <c r="Z50" s="399"/>
      <c r="AA50" s="399"/>
      <c r="AB50" s="390"/>
      <c r="AC50" s="390"/>
      <c r="AD50" s="390"/>
      <c r="AE50" s="390"/>
      <c r="AF50" s="390"/>
      <c r="AG50" s="390"/>
      <c r="AH50" s="390"/>
    </row>
    <row r="51" spans="1:34">
      <c r="A51" s="337"/>
      <c r="B51" s="373"/>
      <c r="C51" s="339" t="s">
        <v>601</v>
      </c>
      <c r="D51" s="340">
        <v>3398.917049000499</v>
      </c>
      <c r="E51" s="340">
        <v>3363.9813726668267</v>
      </c>
      <c r="F51" s="340">
        <v>3586.6199107424077</v>
      </c>
      <c r="G51" s="340">
        <v>3657.4724823406755</v>
      </c>
      <c r="H51" s="340">
        <v>4186.7227647242244</v>
      </c>
      <c r="I51" s="340">
        <v>4307.2473274760687</v>
      </c>
      <c r="J51" s="340">
        <v>4469.30852447912</v>
      </c>
      <c r="K51" s="340">
        <v>4508.3175406497512</v>
      </c>
      <c r="L51" s="341">
        <v>4871.9957896103879</v>
      </c>
      <c r="M51" s="341">
        <v>7309.9890536785524</v>
      </c>
      <c r="N51" s="341">
        <v>8820.0262042051818</v>
      </c>
      <c r="O51" s="383"/>
      <c r="P51" s="392"/>
      <c r="Q51" s="392"/>
      <c r="R51" s="392"/>
      <c r="S51" s="399"/>
      <c r="T51" s="399"/>
      <c r="U51" s="399"/>
      <c r="V51" s="399"/>
      <c r="W51" s="399"/>
      <c r="X51" s="399"/>
      <c r="Y51" s="399"/>
      <c r="Z51" s="399"/>
      <c r="AA51" s="399"/>
      <c r="AB51" s="390"/>
      <c r="AC51" s="390"/>
      <c r="AD51" s="390"/>
      <c r="AE51" s="390"/>
      <c r="AF51" s="390"/>
      <c r="AG51" s="390"/>
      <c r="AH51" s="390"/>
    </row>
    <row r="52" spans="1:34">
      <c r="A52" s="337"/>
      <c r="B52" s="373"/>
      <c r="C52" s="342" t="s">
        <v>602</v>
      </c>
      <c r="D52" s="343">
        <v>431.4322935491993</v>
      </c>
      <c r="E52" s="343">
        <v>463.42669671334852</v>
      </c>
      <c r="F52" s="343">
        <v>487.71369769057947</v>
      </c>
      <c r="G52" s="343">
        <v>500.78763929303204</v>
      </c>
      <c r="H52" s="343">
        <v>519.48696251436172</v>
      </c>
      <c r="I52" s="343">
        <v>547.20456032589925</v>
      </c>
      <c r="J52" s="343">
        <v>613.12609441472637</v>
      </c>
      <c r="K52" s="343">
        <v>582.37856646158559</v>
      </c>
      <c r="L52" s="344">
        <v>615.86494685998889</v>
      </c>
      <c r="M52" s="344">
        <v>838.29941780390709</v>
      </c>
      <c r="N52" s="344">
        <v>943.55219103974957</v>
      </c>
      <c r="O52" s="383"/>
      <c r="P52" s="392"/>
      <c r="Q52" s="392"/>
      <c r="R52" s="392"/>
      <c r="S52" s="399"/>
      <c r="T52" s="399"/>
      <c r="U52" s="399"/>
      <c r="V52" s="399"/>
      <c r="W52" s="399"/>
      <c r="X52" s="399"/>
      <c r="Y52" s="399"/>
      <c r="Z52" s="399"/>
      <c r="AA52" s="399"/>
      <c r="AB52" s="390"/>
      <c r="AC52" s="390"/>
      <c r="AD52" s="390"/>
      <c r="AE52" s="390"/>
      <c r="AF52" s="390"/>
      <c r="AG52" s="390"/>
      <c r="AH52" s="390"/>
    </row>
    <row r="53" spans="1:34">
      <c r="A53" s="337"/>
      <c r="B53" s="373"/>
      <c r="C53" s="338" t="s">
        <v>603</v>
      </c>
      <c r="D53" s="340">
        <v>3386.6472944933594</v>
      </c>
      <c r="E53" s="340">
        <v>3400.8547976392697</v>
      </c>
      <c r="F53" s="340">
        <v>3424.101712234029</v>
      </c>
      <c r="G53" s="340">
        <v>3442.8131617677532</v>
      </c>
      <c r="H53" s="340">
        <v>3490.6257529322866</v>
      </c>
      <c r="I53" s="340">
        <v>3699.5249026426186</v>
      </c>
      <c r="J53" s="340">
        <v>3805.8697735965538</v>
      </c>
      <c r="K53" s="340">
        <v>3574.709331138271</v>
      </c>
      <c r="L53" s="341">
        <v>4343.1747046786231</v>
      </c>
      <c r="M53" s="341">
        <v>5354.0976423161055</v>
      </c>
      <c r="N53" s="341">
        <v>6170.1702737163869</v>
      </c>
      <c r="O53" s="383"/>
      <c r="P53" s="392"/>
      <c r="Q53" s="392"/>
      <c r="R53" s="392"/>
      <c r="S53" s="399"/>
      <c r="T53" s="399"/>
      <c r="U53" s="399"/>
      <c r="V53" s="399"/>
      <c r="W53" s="399"/>
      <c r="X53" s="399"/>
      <c r="Y53" s="399"/>
      <c r="Z53" s="399"/>
      <c r="AA53" s="399"/>
      <c r="AB53" s="390"/>
      <c r="AC53" s="390"/>
      <c r="AD53" s="390"/>
      <c r="AE53" s="390"/>
      <c r="AF53" s="390"/>
      <c r="AG53" s="390"/>
      <c r="AH53" s="390"/>
    </row>
    <row r="54" spans="1:34">
      <c r="A54" s="337"/>
      <c r="B54" s="373"/>
      <c r="C54" s="342" t="s">
        <v>604</v>
      </c>
      <c r="D54" s="343">
        <v>43935.289641947333</v>
      </c>
      <c r="E54" s="343">
        <v>43496.122663485585</v>
      </c>
      <c r="F54" s="343">
        <v>44097.329492337522</v>
      </c>
      <c r="G54" s="343">
        <v>44861.856252795013</v>
      </c>
      <c r="H54" s="343">
        <v>46480.404582699513</v>
      </c>
      <c r="I54" s="343">
        <v>47460.171219074036</v>
      </c>
      <c r="J54" s="343">
        <v>48039.362745005266</v>
      </c>
      <c r="K54" s="343">
        <v>49096.419624905277</v>
      </c>
      <c r="L54" s="344">
        <v>49554.05196200309</v>
      </c>
      <c r="M54" s="344">
        <v>52043.999953037957</v>
      </c>
      <c r="N54" s="344">
        <v>55194.807556698863</v>
      </c>
      <c r="O54" s="383"/>
      <c r="P54" s="392"/>
      <c r="Q54" s="392"/>
      <c r="R54" s="392"/>
      <c r="S54" s="399"/>
      <c r="T54" s="399"/>
      <c r="U54" s="399"/>
      <c r="V54" s="399"/>
      <c r="W54" s="399"/>
      <c r="X54" s="399"/>
      <c r="Y54" s="399"/>
      <c r="Z54" s="399"/>
      <c r="AA54" s="399"/>
      <c r="AB54" s="390"/>
      <c r="AC54" s="390"/>
      <c r="AD54" s="390"/>
      <c r="AE54" s="390"/>
      <c r="AF54" s="390"/>
      <c r="AG54" s="390"/>
      <c r="AH54" s="390"/>
    </row>
    <row r="55" spans="1:34">
      <c r="A55" s="337"/>
      <c r="B55" s="373"/>
      <c r="C55" s="339" t="s">
        <v>605</v>
      </c>
      <c r="D55" s="340">
        <v>39274.402352156278</v>
      </c>
      <c r="E55" s="340">
        <v>39833.435635739697</v>
      </c>
      <c r="F55" s="340">
        <v>41172.753532973198</v>
      </c>
      <c r="G55" s="340">
        <v>43438.182984540326</v>
      </c>
      <c r="H55" s="340">
        <v>44554.210779529676</v>
      </c>
      <c r="I55" s="340">
        <v>48602.970691429087</v>
      </c>
      <c r="J55" s="340">
        <v>52237.66406887395</v>
      </c>
      <c r="K55" s="340">
        <v>51737.074560955152</v>
      </c>
      <c r="L55" s="341">
        <v>54612.748428032945</v>
      </c>
      <c r="M55" s="341">
        <v>59439.731140782191</v>
      </c>
      <c r="N55" s="341">
        <v>76943.008651228243</v>
      </c>
      <c r="O55" s="383"/>
      <c r="P55" s="392"/>
      <c r="Q55" s="392"/>
      <c r="R55" s="392"/>
      <c r="S55" s="399"/>
      <c r="T55" s="399"/>
      <c r="U55" s="399"/>
      <c r="V55" s="399"/>
      <c r="W55" s="399"/>
      <c r="X55" s="399"/>
      <c r="Y55" s="399"/>
      <c r="Z55" s="399"/>
      <c r="AA55" s="399"/>
      <c r="AB55" s="390"/>
      <c r="AC55" s="390"/>
      <c r="AD55" s="390"/>
      <c r="AE55" s="390"/>
      <c r="AF55" s="390"/>
      <c r="AG55" s="390"/>
      <c r="AH55" s="390"/>
    </row>
    <row r="56" spans="1:34">
      <c r="A56" s="337"/>
      <c r="B56" s="373"/>
      <c r="C56" s="342" t="s">
        <v>606</v>
      </c>
      <c r="D56" s="343">
        <v>4357.5684421754613</v>
      </c>
      <c r="E56" s="343">
        <v>4519.6214504523878</v>
      </c>
      <c r="F56" s="343">
        <v>4676.4107573477741</v>
      </c>
      <c r="G56" s="343">
        <v>4683.3356897296699</v>
      </c>
      <c r="H56" s="343">
        <v>5083.6871821115737</v>
      </c>
      <c r="I56" s="343">
        <v>4984.9649234335584</v>
      </c>
      <c r="J56" s="343">
        <v>5396.1638680025189</v>
      </c>
      <c r="K56" s="343">
        <v>7430.7557982127682</v>
      </c>
      <c r="L56" s="344">
        <v>8241.8266546657142</v>
      </c>
      <c r="M56" s="344">
        <v>6072.4186023998673</v>
      </c>
      <c r="N56" s="344">
        <v>6792.2886106381011</v>
      </c>
      <c r="O56" s="383"/>
      <c r="P56" s="392"/>
      <c r="Q56" s="392"/>
      <c r="R56" s="392"/>
      <c r="S56" s="399"/>
      <c r="T56" s="399"/>
      <c r="U56" s="399"/>
      <c r="V56" s="399"/>
      <c r="W56" s="399"/>
      <c r="X56" s="399"/>
      <c r="Y56" s="399"/>
      <c r="Z56" s="399"/>
      <c r="AA56" s="399"/>
      <c r="AB56" s="390"/>
      <c r="AC56" s="390"/>
      <c r="AD56" s="390"/>
      <c r="AE56" s="390"/>
      <c r="AF56" s="390"/>
      <c r="AG56" s="390"/>
      <c r="AH56" s="390"/>
    </row>
    <row r="57" spans="1:34">
      <c r="A57" s="337"/>
      <c r="B57" s="373"/>
      <c r="C57" s="339" t="s">
        <v>607</v>
      </c>
      <c r="D57" s="340">
        <v>1035.3692854450353</v>
      </c>
      <c r="E57" s="340">
        <v>1132.4748024629248</v>
      </c>
      <c r="F57" s="340">
        <v>1281.8747371087798</v>
      </c>
      <c r="G57" s="340">
        <v>1592.1288127090379</v>
      </c>
      <c r="H57" s="340">
        <v>1413.9996595039454</v>
      </c>
      <c r="I57" s="340">
        <v>1967.9285957613924</v>
      </c>
      <c r="J57" s="340">
        <v>2476.6821855954813</v>
      </c>
      <c r="K57" s="340">
        <v>1994.7998722293069</v>
      </c>
      <c r="L57" s="341">
        <v>2898.7465320614392</v>
      </c>
      <c r="M57" s="341">
        <v>3205.1185329061927</v>
      </c>
      <c r="N57" s="341">
        <v>3364.9730563622024</v>
      </c>
      <c r="O57" s="383"/>
      <c r="P57" s="392"/>
      <c r="Q57" s="392"/>
      <c r="R57" s="392"/>
      <c r="S57" s="399"/>
      <c r="T57" s="399"/>
      <c r="U57" s="399"/>
      <c r="V57" s="399"/>
      <c r="W57" s="399"/>
      <c r="X57" s="399"/>
      <c r="Y57" s="399"/>
      <c r="Z57" s="399"/>
      <c r="AA57" s="399"/>
      <c r="AB57" s="390"/>
      <c r="AC57" s="390"/>
      <c r="AD57" s="390"/>
      <c r="AE57" s="390"/>
      <c r="AF57" s="390"/>
      <c r="AG57" s="390"/>
      <c r="AH57" s="390"/>
    </row>
    <row r="58" spans="1:34">
      <c r="A58" s="337"/>
      <c r="B58" s="373"/>
      <c r="C58" s="342" t="s">
        <v>608</v>
      </c>
      <c r="D58" s="343">
        <v>20787.945277545256</v>
      </c>
      <c r="E58" s="343">
        <v>19576.277086996564</v>
      </c>
      <c r="F58" s="343">
        <v>21935.897095817018</v>
      </c>
      <c r="G58" s="343">
        <v>22759.466116783689</v>
      </c>
      <c r="H58" s="343">
        <v>23390.353047522389</v>
      </c>
      <c r="I58" s="343">
        <v>22467.836491262267</v>
      </c>
      <c r="J58" s="343">
        <v>27709.272133866129</v>
      </c>
      <c r="K58" s="343">
        <v>29068.643525649099</v>
      </c>
      <c r="L58" s="344">
        <v>29961.363677028228</v>
      </c>
      <c r="M58" s="344">
        <v>29794.170571139231</v>
      </c>
      <c r="N58" s="344">
        <v>29829.143292388897</v>
      </c>
      <c r="O58" s="383"/>
      <c r="P58" s="392"/>
      <c r="Q58" s="392"/>
      <c r="R58" s="392"/>
      <c r="S58" s="399"/>
      <c r="T58" s="399"/>
      <c r="U58" s="399"/>
      <c r="V58" s="399"/>
      <c r="W58" s="399"/>
      <c r="X58" s="399"/>
      <c r="Y58" s="399"/>
      <c r="Z58" s="399"/>
      <c r="AA58" s="399"/>
      <c r="AB58" s="390"/>
      <c r="AC58" s="390"/>
      <c r="AD58" s="390"/>
      <c r="AE58" s="390"/>
      <c r="AF58" s="390"/>
      <c r="AG58" s="390"/>
      <c r="AH58" s="390"/>
    </row>
    <row r="59" spans="1:34">
      <c r="A59" s="337"/>
      <c r="B59" s="373"/>
      <c r="C59" s="339" t="s">
        <v>609</v>
      </c>
      <c r="D59" s="340">
        <v>245.56679615414473</v>
      </c>
      <c r="E59" s="340">
        <v>281.55555858210698</v>
      </c>
      <c r="F59" s="340">
        <v>400.63036628963863</v>
      </c>
      <c r="G59" s="340">
        <v>459.17486967160755</v>
      </c>
      <c r="H59" s="340">
        <v>617.75338143648298</v>
      </c>
      <c r="I59" s="340">
        <v>610.02809062012454</v>
      </c>
      <c r="J59" s="340">
        <v>628.9062932265</v>
      </c>
      <c r="K59" s="340">
        <v>648.38283542930503</v>
      </c>
      <c r="L59" s="341">
        <v>677.42542421906478</v>
      </c>
      <c r="M59" s="341">
        <v>916.48358819983844</v>
      </c>
      <c r="N59" s="341">
        <v>1022.4513232993378</v>
      </c>
      <c r="O59" s="383"/>
      <c r="P59" s="392"/>
      <c r="Q59" s="392"/>
      <c r="R59" s="392"/>
      <c r="S59" s="399"/>
      <c r="T59" s="399"/>
      <c r="U59" s="399"/>
      <c r="V59" s="399"/>
      <c r="W59" s="399"/>
      <c r="X59" s="399"/>
      <c r="Y59" s="399"/>
      <c r="Z59" s="399"/>
      <c r="AA59" s="399"/>
      <c r="AB59" s="390"/>
      <c r="AC59" s="390"/>
      <c r="AD59" s="390"/>
      <c r="AE59" s="390"/>
      <c r="AF59" s="390"/>
      <c r="AG59" s="390"/>
      <c r="AH59" s="390"/>
    </row>
    <row r="60" spans="1:34">
      <c r="A60" s="337"/>
      <c r="B60" s="373"/>
      <c r="C60" s="342" t="s">
        <v>610</v>
      </c>
      <c r="D60" s="343">
        <v>357.30171123836726</v>
      </c>
      <c r="E60" s="343">
        <v>471.49146326391718</v>
      </c>
      <c r="F60" s="343">
        <v>627.71047703405429</v>
      </c>
      <c r="G60" s="343">
        <v>758.52442868470598</v>
      </c>
      <c r="H60" s="343">
        <v>905.49237828781247</v>
      </c>
      <c r="I60" s="343">
        <v>961.98155882555614</v>
      </c>
      <c r="J60" s="343">
        <v>995.79232887526507</v>
      </c>
      <c r="K60" s="343">
        <v>1002.4191606780799</v>
      </c>
      <c r="L60" s="344">
        <v>1283.4169781584492</v>
      </c>
      <c r="M60" s="344">
        <v>1454.6953536290655</v>
      </c>
      <c r="N60" s="344">
        <v>1516.5831047554823</v>
      </c>
      <c r="O60" s="383"/>
      <c r="P60" s="392"/>
      <c r="Q60" s="392"/>
      <c r="R60" s="392"/>
      <c r="S60" s="399"/>
      <c r="T60" s="399"/>
      <c r="U60" s="399"/>
      <c r="V60" s="399"/>
      <c r="W60" s="399"/>
      <c r="X60" s="399"/>
      <c r="Y60" s="399"/>
      <c r="Z60" s="399"/>
      <c r="AA60" s="399"/>
      <c r="AB60" s="390"/>
      <c r="AC60" s="390"/>
      <c r="AD60" s="390"/>
      <c r="AE60" s="390"/>
      <c r="AF60" s="390"/>
      <c r="AG60" s="390"/>
      <c r="AH60" s="390"/>
    </row>
    <row r="61" spans="1:34">
      <c r="A61" s="337"/>
      <c r="B61" s="373"/>
      <c r="C61" s="339" t="s">
        <v>611</v>
      </c>
      <c r="D61" s="340">
        <v>216.42534775766416</v>
      </c>
      <c r="E61" s="340">
        <v>249.53118533770498</v>
      </c>
      <c r="F61" s="340">
        <v>239.99898623788323</v>
      </c>
      <c r="G61" s="340">
        <v>316.8830897618239</v>
      </c>
      <c r="H61" s="340">
        <v>325.10290661300235</v>
      </c>
      <c r="I61" s="340">
        <v>365.3305946335264</v>
      </c>
      <c r="J61" s="340">
        <v>382.58643551429145</v>
      </c>
      <c r="K61" s="340">
        <v>334.29320251019647</v>
      </c>
      <c r="L61" s="341">
        <v>404.69879683326064</v>
      </c>
      <c r="M61" s="341">
        <v>530.84474606893536</v>
      </c>
      <c r="N61" s="341">
        <v>625.65498060946175</v>
      </c>
      <c r="O61" s="383"/>
      <c r="P61" s="392"/>
      <c r="Q61" s="392"/>
      <c r="R61" s="392"/>
      <c r="S61" s="399"/>
      <c r="T61" s="399"/>
      <c r="U61" s="399"/>
      <c r="V61" s="399"/>
      <c r="W61" s="399"/>
      <c r="X61" s="399"/>
      <c r="Y61" s="399"/>
      <c r="Z61" s="399"/>
      <c r="AA61" s="399"/>
      <c r="AB61" s="390"/>
      <c r="AC61" s="390"/>
      <c r="AD61" s="390"/>
      <c r="AE61" s="390"/>
      <c r="AF61" s="390"/>
      <c r="AG61" s="390"/>
      <c r="AH61" s="390"/>
    </row>
    <row r="62" spans="1:34">
      <c r="A62" s="337"/>
      <c r="B62" s="373"/>
      <c r="C62" s="342" t="s">
        <v>612</v>
      </c>
      <c r="D62" s="343">
        <v>59.007635667615858</v>
      </c>
      <c r="E62" s="343">
        <v>56.940904915513585</v>
      </c>
      <c r="F62" s="343">
        <v>59.408644762438826</v>
      </c>
      <c r="G62" s="343">
        <v>58.6106568920735</v>
      </c>
      <c r="H62" s="343">
        <v>62.88349011094877</v>
      </c>
      <c r="I62" s="343">
        <v>63.737163924353304</v>
      </c>
      <c r="J62" s="343">
        <v>70.122127578211177</v>
      </c>
      <c r="K62" s="343">
        <v>71.162651105932682</v>
      </c>
      <c r="L62" s="344">
        <v>66.908064227657462</v>
      </c>
      <c r="M62" s="344">
        <v>79.495930446736111</v>
      </c>
      <c r="N62" s="344">
        <v>107.29497791689541</v>
      </c>
      <c r="O62" s="383"/>
      <c r="P62" s="392"/>
      <c r="Q62" s="392"/>
      <c r="R62" s="392"/>
      <c r="S62" s="399"/>
      <c r="T62" s="399"/>
      <c r="U62" s="399"/>
      <c r="V62" s="399"/>
      <c r="W62" s="399"/>
      <c r="X62" s="399"/>
      <c r="Y62" s="399"/>
      <c r="Z62" s="399"/>
      <c r="AA62" s="399"/>
      <c r="AB62" s="390"/>
      <c r="AC62" s="390"/>
      <c r="AD62" s="390"/>
      <c r="AE62" s="390"/>
      <c r="AF62" s="390"/>
      <c r="AG62" s="390"/>
      <c r="AH62" s="390"/>
    </row>
    <row r="63" spans="1:34">
      <c r="A63" s="337"/>
      <c r="B63" s="373"/>
      <c r="C63" s="338" t="s">
        <v>613</v>
      </c>
      <c r="D63" s="346">
        <v>8650.1361718132921</v>
      </c>
      <c r="E63" s="346">
        <v>8672.6677477843405</v>
      </c>
      <c r="F63" s="346">
        <v>9057.1768975183986</v>
      </c>
      <c r="G63" s="346">
        <v>9253.7517548538635</v>
      </c>
      <c r="H63" s="346">
        <v>10032.124550119112</v>
      </c>
      <c r="I63" s="346">
        <v>11125.793570189506</v>
      </c>
      <c r="J63" s="346">
        <v>11367.962413280464</v>
      </c>
      <c r="K63" s="346">
        <v>11662.362935842664</v>
      </c>
      <c r="L63" s="347">
        <v>12866.664534834554</v>
      </c>
      <c r="M63" s="347">
        <v>14892.306913233924</v>
      </c>
      <c r="N63" s="347">
        <v>18502.968544440053</v>
      </c>
      <c r="O63" s="383"/>
      <c r="P63" s="392"/>
      <c r="Q63" s="392"/>
      <c r="R63" s="392"/>
      <c r="S63" s="399"/>
      <c r="T63" s="399"/>
      <c r="U63" s="399"/>
      <c r="V63" s="399"/>
      <c r="W63" s="399"/>
      <c r="X63" s="399"/>
      <c r="Y63" s="399"/>
      <c r="Z63" s="399"/>
      <c r="AA63" s="399"/>
      <c r="AB63" s="390"/>
      <c r="AC63" s="390"/>
      <c r="AD63" s="390"/>
      <c r="AE63" s="390"/>
      <c r="AF63" s="390"/>
      <c r="AG63" s="390"/>
      <c r="AH63" s="390"/>
    </row>
    <row r="64" spans="1:34">
      <c r="A64" s="337"/>
      <c r="B64" s="373"/>
      <c r="C64" s="342" t="s">
        <v>614</v>
      </c>
      <c r="D64" s="348">
        <v>105.50145650982934</v>
      </c>
      <c r="E64" s="348">
        <v>105.41160501579732</v>
      </c>
      <c r="F64" s="348">
        <v>100.4432487096478</v>
      </c>
      <c r="G64" s="348">
        <v>93.6673666263504</v>
      </c>
      <c r="H64" s="348">
        <v>101.5333388219457</v>
      </c>
      <c r="I64" s="348">
        <v>129.68461321169008</v>
      </c>
      <c r="J64" s="348">
        <v>132.29235666565154</v>
      </c>
      <c r="K64" s="348">
        <v>162.01166895190593</v>
      </c>
      <c r="L64" s="349">
        <v>182.96812037074199</v>
      </c>
      <c r="M64" s="349">
        <v>208.11304050062611</v>
      </c>
      <c r="N64" s="349">
        <v>262.55991995859563</v>
      </c>
      <c r="O64" s="383"/>
      <c r="P64" s="392"/>
      <c r="Q64" s="392"/>
      <c r="R64" s="392"/>
      <c r="S64" s="399"/>
      <c r="T64" s="399"/>
      <c r="U64" s="399"/>
      <c r="V64" s="399"/>
      <c r="W64" s="399"/>
      <c r="X64" s="399"/>
      <c r="Y64" s="399"/>
      <c r="Z64" s="399"/>
      <c r="AA64" s="399"/>
      <c r="AB64" s="390"/>
      <c r="AC64" s="390"/>
      <c r="AD64" s="390"/>
      <c r="AE64" s="390"/>
      <c r="AF64" s="390"/>
      <c r="AG64" s="390"/>
      <c r="AH64" s="390"/>
    </row>
    <row r="65" spans="1:34">
      <c r="A65" s="337"/>
      <c r="B65" s="373"/>
      <c r="C65" s="338" t="s">
        <v>615</v>
      </c>
      <c r="D65" s="346">
        <v>5864.8672063980175</v>
      </c>
      <c r="E65" s="346">
        <v>6141.8413927571701</v>
      </c>
      <c r="F65" s="346">
        <v>6807.8661951510194</v>
      </c>
      <c r="G65" s="346">
        <v>6860.8114785797943</v>
      </c>
      <c r="H65" s="346">
        <v>6958.7578113687832</v>
      </c>
      <c r="I65" s="346">
        <v>7563.9050773689523</v>
      </c>
      <c r="J65" s="346">
        <v>7962.3922521911145</v>
      </c>
      <c r="K65" s="346">
        <v>7054.5499896354795</v>
      </c>
      <c r="L65" s="347">
        <v>6347.8441474371875</v>
      </c>
      <c r="M65" s="347">
        <v>7896.8264074596236</v>
      </c>
      <c r="N65" s="347">
        <v>9652.9373347622841</v>
      </c>
      <c r="O65" s="383"/>
      <c r="P65" s="392"/>
      <c r="Q65" s="392"/>
      <c r="R65" s="392"/>
      <c r="S65" s="399"/>
      <c r="T65" s="399"/>
      <c r="U65" s="399"/>
      <c r="V65" s="399"/>
      <c r="W65" s="399"/>
      <c r="X65" s="399"/>
      <c r="Y65" s="399"/>
      <c r="Z65" s="399"/>
      <c r="AA65" s="399"/>
      <c r="AB65" s="390"/>
      <c r="AC65" s="390"/>
      <c r="AD65" s="390"/>
      <c r="AE65" s="390"/>
      <c r="AF65" s="390"/>
      <c r="AG65" s="390"/>
      <c r="AH65" s="390"/>
    </row>
    <row r="66" spans="1:34">
      <c r="A66" s="337"/>
      <c r="B66" s="373"/>
      <c r="C66" s="342" t="s">
        <v>616</v>
      </c>
      <c r="D66" s="348">
        <v>8556.5301786698001</v>
      </c>
      <c r="E66" s="348">
        <v>10588.468942518764</v>
      </c>
      <c r="F66" s="348">
        <v>9815.232937625693</v>
      </c>
      <c r="G66" s="348">
        <v>9781.3819836535258</v>
      </c>
      <c r="H66" s="348">
        <v>11015.463317356998</v>
      </c>
      <c r="I66" s="348">
        <v>11331.735082309191</v>
      </c>
      <c r="J66" s="348">
        <v>12470.5239604374</v>
      </c>
      <c r="K66" s="348">
        <v>13235.539406172973</v>
      </c>
      <c r="L66" s="349">
        <v>14073.831650127107</v>
      </c>
      <c r="M66" s="349">
        <v>20633.810679550385</v>
      </c>
      <c r="N66" s="349">
        <v>26838.518139126078</v>
      </c>
      <c r="O66" s="383"/>
      <c r="P66" s="392"/>
      <c r="Q66" s="392"/>
      <c r="R66" s="392"/>
      <c r="S66" s="399"/>
      <c r="T66" s="399"/>
      <c r="U66" s="399"/>
      <c r="V66" s="399"/>
      <c r="W66" s="399"/>
      <c r="X66" s="399"/>
      <c r="Y66" s="399"/>
      <c r="Z66" s="399"/>
      <c r="AA66" s="399"/>
      <c r="AB66" s="390"/>
      <c r="AC66" s="390"/>
      <c r="AD66" s="390"/>
      <c r="AE66" s="390"/>
      <c r="AF66" s="390"/>
      <c r="AG66" s="390"/>
      <c r="AH66" s="390"/>
    </row>
    <row r="67" spans="1:34">
      <c r="A67" s="337"/>
      <c r="B67" s="373"/>
      <c r="C67" s="338" t="s">
        <v>617</v>
      </c>
      <c r="D67" s="346">
        <v>2561.9678146117976</v>
      </c>
      <c r="E67" s="346">
        <v>2645.164972422584</v>
      </c>
      <c r="F67" s="346">
        <v>2578.6609679834846</v>
      </c>
      <c r="G67" s="346">
        <v>2605.1954524260618</v>
      </c>
      <c r="H67" s="346">
        <v>2902.2981404265302</v>
      </c>
      <c r="I67" s="346">
        <v>3056.7803535432149</v>
      </c>
      <c r="J67" s="346">
        <v>2916.1490253926127</v>
      </c>
      <c r="K67" s="346">
        <v>3288.2343365881898</v>
      </c>
      <c r="L67" s="347">
        <v>3227.2506172037574</v>
      </c>
      <c r="M67" s="347">
        <v>3478.758948887511</v>
      </c>
      <c r="N67" s="347">
        <v>3705.5228354502519</v>
      </c>
      <c r="O67" s="383"/>
      <c r="P67" s="392"/>
      <c r="Q67" s="392"/>
      <c r="R67" s="392"/>
      <c r="S67" s="399"/>
      <c r="T67" s="399"/>
      <c r="U67" s="399"/>
      <c r="V67" s="399"/>
      <c r="W67" s="399"/>
      <c r="X67" s="399"/>
      <c r="Y67" s="399"/>
      <c r="Z67" s="399"/>
      <c r="AA67" s="399"/>
      <c r="AB67" s="390"/>
      <c r="AC67" s="390"/>
      <c r="AD67" s="390"/>
      <c r="AE67" s="390"/>
      <c r="AF67" s="390"/>
      <c r="AG67" s="390"/>
      <c r="AH67" s="390"/>
    </row>
    <row r="68" spans="1:34">
      <c r="A68" s="337"/>
      <c r="B68" s="373"/>
      <c r="C68" s="342" t="s">
        <v>618</v>
      </c>
      <c r="D68" s="348">
        <v>2323.8386275555313</v>
      </c>
      <c r="E68" s="348">
        <v>2580.6072870089838</v>
      </c>
      <c r="F68" s="348">
        <v>2612.3127486334893</v>
      </c>
      <c r="G68" s="348">
        <v>3432.1257379564136</v>
      </c>
      <c r="H68" s="348">
        <v>3760.6756758534593</v>
      </c>
      <c r="I68" s="348">
        <v>4001.4059503629587</v>
      </c>
      <c r="J68" s="348">
        <v>4218.1790844944298</v>
      </c>
      <c r="K68" s="348">
        <v>4112.0184259781117</v>
      </c>
      <c r="L68" s="349">
        <v>4009.8140744064194</v>
      </c>
      <c r="M68" s="349">
        <v>3769.9009999518889</v>
      </c>
      <c r="N68" s="349">
        <v>5490.1600531769554</v>
      </c>
      <c r="O68" s="383"/>
      <c r="P68" s="392"/>
      <c r="Q68" s="392"/>
      <c r="R68" s="392"/>
      <c r="S68" s="399"/>
      <c r="T68" s="399"/>
      <c r="U68" s="399"/>
      <c r="V68" s="399"/>
      <c r="W68" s="399"/>
      <c r="X68" s="399"/>
      <c r="Y68" s="399"/>
      <c r="Z68" s="399"/>
      <c r="AA68" s="399"/>
      <c r="AB68" s="390"/>
      <c r="AC68" s="390"/>
      <c r="AD68" s="390"/>
      <c r="AE68" s="390"/>
      <c r="AF68" s="390"/>
      <c r="AG68" s="390"/>
      <c r="AH68" s="390"/>
    </row>
    <row r="69" spans="1:34">
      <c r="A69" s="337"/>
      <c r="B69" s="373"/>
      <c r="C69" s="338" t="s">
        <v>619</v>
      </c>
      <c r="D69" s="346">
        <v>832.14731352203125</v>
      </c>
      <c r="E69" s="346">
        <v>986.97168891141678</v>
      </c>
      <c r="F69" s="346">
        <v>1011.7420632537836</v>
      </c>
      <c r="G69" s="346">
        <v>1029.9521048622373</v>
      </c>
      <c r="H69" s="346">
        <v>1186.252382302958</v>
      </c>
      <c r="I69" s="346">
        <v>1695.9562738791578</v>
      </c>
      <c r="J69" s="346">
        <v>1848.0980231344199</v>
      </c>
      <c r="K69" s="346">
        <v>1755.2198156801512</v>
      </c>
      <c r="L69" s="347">
        <v>1855.1119836671426</v>
      </c>
      <c r="M69" s="347">
        <v>1919.5147667621902</v>
      </c>
      <c r="N69" s="347">
        <v>2118.3040169166934</v>
      </c>
      <c r="O69" s="383"/>
      <c r="P69" s="392"/>
      <c r="Q69" s="392"/>
      <c r="R69" s="392"/>
      <c r="S69" s="399"/>
      <c r="T69" s="399"/>
      <c r="U69" s="399"/>
      <c r="V69" s="399"/>
      <c r="W69" s="399"/>
      <c r="X69" s="399"/>
      <c r="Y69" s="399"/>
      <c r="Z69" s="399"/>
      <c r="AA69" s="399"/>
      <c r="AB69" s="390"/>
      <c r="AC69" s="390"/>
      <c r="AD69" s="390"/>
      <c r="AE69" s="390"/>
      <c r="AF69" s="390"/>
      <c r="AG69" s="390"/>
      <c r="AH69" s="390"/>
    </row>
    <row r="70" spans="1:34">
      <c r="A70" s="337"/>
      <c r="B70" s="373"/>
      <c r="C70" s="342" t="s">
        <v>620</v>
      </c>
      <c r="D70" s="348">
        <v>410.72015277268594</v>
      </c>
      <c r="E70" s="348">
        <v>400.99226563231559</v>
      </c>
      <c r="F70" s="348">
        <v>446.78693827647038</v>
      </c>
      <c r="G70" s="348">
        <v>457.7396584873282</v>
      </c>
      <c r="H70" s="348">
        <v>491.20119569382001</v>
      </c>
      <c r="I70" s="348">
        <v>530.62922358669982</v>
      </c>
      <c r="J70" s="348">
        <v>511.13842487656103</v>
      </c>
      <c r="K70" s="348">
        <v>644.53674070926002</v>
      </c>
      <c r="L70" s="349">
        <v>692.133884840512</v>
      </c>
      <c r="M70" s="349">
        <v>728.21680161252766</v>
      </c>
      <c r="N70" s="349">
        <v>717.97199696310349</v>
      </c>
      <c r="O70" s="383"/>
      <c r="P70" s="392"/>
      <c r="Q70" s="392"/>
      <c r="R70" s="392"/>
      <c r="S70" s="399"/>
      <c r="T70" s="399"/>
      <c r="U70" s="399"/>
      <c r="V70" s="399"/>
      <c r="W70" s="399"/>
      <c r="X70" s="399"/>
      <c r="Y70" s="399"/>
      <c r="Z70" s="399"/>
      <c r="AA70" s="399"/>
      <c r="AB70" s="390"/>
      <c r="AC70" s="390"/>
      <c r="AD70" s="390"/>
      <c r="AE70" s="390"/>
      <c r="AF70" s="390"/>
      <c r="AG70" s="390"/>
      <c r="AH70" s="390"/>
    </row>
    <row r="71" spans="1:34">
      <c r="A71" s="337"/>
      <c r="B71" s="373"/>
      <c r="C71" s="338" t="s">
        <v>621</v>
      </c>
      <c r="D71" s="346">
        <v>10607.584222789717</v>
      </c>
      <c r="E71" s="346">
        <v>11096.055751244148</v>
      </c>
      <c r="F71" s="346">
        <v>9970.116629352553</v>
      </c>
      <c r="G71" s="346">
        <v>11495.349536942878</v>
      </c>
      <c r="H71" s="346">
        <v>12048.610276856756</v>
      </c>
      <c r="I71" s="346">
        <v>11992.563897164488</v>
      </c>
      <c r="J71" s="346">
        <v>11814.380945768204</v>
      </c>
      <c r="K71" s="346">
        <v>12846.342210738358</v>
      </c>
      <c r="L71" s="347">
        <v>15347.366539470666</v>
      </c>
      <c r="M71" s="347">
        <v>16197.699501473391</v>
      </c>
      <c r="N71" s="347">
        <v>17707.034192975982</v>
      </c>
      <c r="O71" s="383"/>
      <c r="P71" s="392"/>
      <c r="Q71" s="392"/>
      <c r="R71" s="392"/>
      <c r="S71" s="399"/>
      <c r="T71" s="399"/>
      <c r="U71" s="399"/>
      <c r="V71" s="399"/>
      <c r="W71" s="399"/>
      <c r="X71" s="399"/>
      <c r="Y71" s="399"/>
      <c r="Z71" s="399"/>
      <c r="AA71" s="399"/>
      <c r="AB71" s="390"/>
      <c r="AC71" s="390"/>
      <c r="AD71" s="390"/>
      <c r="AE71" s="390"/>
      <c r="AF71" s="390"/>
      <c r="AG71" s="390"/>
      <c r="AH71" s="390"/>
    </row>
    <row r="72" spans="1:34">
      <c r="A72" s="337"/>
      <c r="B72" s="373"/>
      <c r="C72" s="342" t="s">
        <v>622</v>
      </c>
      <c r="D72" s="344">
        <v>5156.9069051851211</v>
      </c>
      <c r="E72" s="344">
        <v>5103.2379686279419</v>
      </c>
      <c r="F72" s="344">
        <v>5013.4857339462087</v>
      </c>
      <c r="G72" s="344">
        <v>5111.1574700735046</v>
      </c>
      <c r="H72" s="344">
        <v>5238.6049186458149</v>
      </c>
      <c r="I72" s="344">
        <v>5728.4310774530813</v>
      </c>
      <c r="J72" s="344">
        <v>5885.0596397199915</v>
      </c>
      <c r="K72" s="344">
        <v>8094.0100113161807</v>
      </c>
      <c r="L72" s="344">
        <v>8501.987929896326</v>
      </c>
      <c r="M72" s="344">
        <v>9711.6531204203311</v>
      </c>
      <c r="N72" s="344">
        <v>12612.766239690214</v>
      </c>
      <c r="O72" s="383"/>
      <c r="P72" s="392"/>
      <c r="Q72" s="392"/>
      <c r="R72" s="392"/>
      <c r="S72" s="399"/>
      <c r="T72" s="399"/>
      <c r="U72" s="399"/>
      <c r="V72" s="399"/>
      <c r="W72" s="399"/>
      <c r="X72" s="399"/>
      <c r="Y72" s="399"/>
      <c r="Z72" s="399"/>
      <c r="AA72" s="399"/>
      <c r="AB72" s="390"/>
      <c r="AC72" s="390"/>
      <c r="AD72" s="390"/>
      <c r="AE72" s="390"/>
      <c r="AF72" s="390"/>
      <c r="AG72" s="390"/>
      <c r="AH72" s="390"/>
    </row>
    <row r="73" spans="1:34">
      <c r="A73" s="337"/>
      <c r="B73" s="373"/>
      <c r="C73" s="338" t="s">
        <v>623</v>
      </c>
      <c r="D73" s="384">
        <v>11783.075151978894</v>
      </c>
      <c r="E73" s="384">
        <v>11953.247309560638</v>
      </c>
      <c r="F73" s="384">
        <v>12985.429540108056</v>
      </c>
      <c r="G73" s="384">
        <v>14493.636790912951</v>
      </c>
      <c r="H73" s="384">
        <v>17953.607429691216</v>
      </c>
      <c r="I73" s="384">
        <v>18465.243235411577</v>
      </c>
      <c r="J73" s="384">
        <v>18886.100636080329</v>
      </c>
      <c r="K73" s="384">
        <v>18163.126769645183</v>
      </c>
      <c r="L73" s="384">
        <v>16202.991326909361</v>
      </c>
      <c r="M73" s="384">
        <v>18705.593094853379</v>
      </c>
      <c r="N73" s="384">
        <v>26952.320910113394</v>
      </c>
      <c r="O73" s="383"/>
      <c r="P73" s="392"/>
      <c r="Q73" s="392"/>
      <c r="R73" s="392"/>
      <c r="S73" s="399"/>
      <c r="T73" s="399"/>
      <c r="U73" s="399"/>
      <c r="V73" s="399"/>
      <c r="W73" s="399"/>
      <c r="X73" s="399"/>
      <c r="Y73" s="399"/>
      <c r="Z73" s="399"/>
      <c r="AA73" s="399"/>
      <c r="AB73" s="390"/>
      <c r="AC73" s="390"/>
      <c r="AD73" s="390"/>
      <c r="AE73" s="390"/>
      <c r="AF73" s="390"/>
      <c r="AG73" s="390"/>
      <c r="AH73" s="390"/>
    </row>
    <row r="74" spans="1:34">
      <c r="A74" s="337"/>
      <c r="B74" s="373"/>
      <c r="C74" s="342" t="s">
        <v>370</v>
      </c>
      <c r="D74" s="344">
        <v>61377.941201556707</v>
      </c>
      <c r="E74" s="344">
        <v>59505.333907991066</v>
      </c>
      <c r="F74" s="344">
        <v>62329.079006686952</v>
      </c>
      <c r="G74" s="344">
        <v>63646.914994791608</v>
      </c>
      <c r="H74" s="344">
        <v>65253.860259515328</v>
      </c>
      <c r="I74" s="344">
        <v>65749.493345183233</v>
      </c>
      <c r="J74" s="344">
        <v>66585.326794550187</v>
      </c>
      <c r="K74" s="344">
        <v>70421.409767437421</v>
      </c>
      <c r="L74" s="344">
        <v>73361.603894919695</v>
      </c>
      <c r="M74" s="344">
        <v>73996.925843439109</v>
      </c>
      <c r="N74" s="344">
        <v>75276.905482842776</v>
      </c>
      <c r="O74" s="383"/>
      <c r="P74" s="392"/>
      <c r="Q74" s="392"/>
      <c r="R74" s="392"/>
      <c r="S74" s="399"/>
      <c r="T74" s="399"/>
      <c r="U74" s="399"/>
      <c r="V74" s="399"/>
      <c r="W74" s="399"/>
      <c r="X74" s="399"/>
      <c r="Y74" s="399"/>
      <c r="Z74" s="399"/>
      <c r="AA74" s="399"/>
      <c r="AB74" s="390"/>
      <c r="AC74" s="390"/>
      <c r="AD74" s="390"/>
      <c r="AE74" s="390"/>
      <c r="AF74" s="390"/>
      <c r="AG74" s="390"/>
      <c r="AH74" s="390"/>
    </row>
    <row r="75" spans="1:34">
      <c r="A75" s="337"/>
      <c r="B75" s="373"/>
      <c r="C75" s="338" t="s">
        <v>624</v>
      </c>
      <c r="D75" s="384">
        <v>660020.64379159966</v>
      </c>
      <c r="E75" s="384">
        <v>641253</v>
      </c>
      <c r="F75" s="384">
        <v>651245.92607223475</v>
      </c>
      <c r="G75" s="384">
        <v>626409.18743768695</v>
      </c>
      <c r="H75" s="384">
        <v>640086.90321532963</v>
      </c>
      <c r="I75" s="384">
        <v>699062.38700116449</v>
      </c>
      <c r="J75" s="384">
        <v>704413.50550821039</v>
      </c>
      <c r="K75" s="384">
        <v>734748.93230442016</v>
      </c>
      <c r="L75" s="384">
        <v>703361.63228831417</v>
      </c>
      <c r="M75" s="384">
        <v>703901.79761718004</v>
      </c>
      <c r="N75" s="384">
        <v>754684.13542485982</v>
      </c>
      <c r="O75" s="383"/>
      <c r="P75" s="392"/>
      <c r="Q75" s="392"/>
      <c r="R75" s="392"/>
      <c r="S75" s="399"/>
      <c r="T75" s="399"/>
      <c r="U75" s="399"/>
      <c r="V75" s="399"/>
      <c r="W75" s="399"/>
      <c r="X75" s="399"/>
      <c r="Y75" s="399"/>
      <c r="Z75" s="399"/>
      <c r="AA75" s="399"/>
      <c r="AB75" s="390"/>
      <c r="AC75" s="390"/>
      <c r="AD75" s="390"/>
      <c r="AE75" s="390"/>
      <c r="AF75" s="390"/>
      <c r="AG75" s="390"/>
      <c r="AH75" s="390"/>
    </row>
    <row r="76" spans="1:34">
      <c r="A76" s="337"/>
      <c r="B76" s="376" t="s">
        <v>625</v>
      </c>
      <c r="C76" s="339"/>
      <c r="D76" s="377">
        <v>250340.14658228483</v>
      </c>
      <c r="E76" s="377">
        <v>254422.33810172338</v>
      </c>
      <c r="F76" s="377">
        <v>261979.83918722766</v>
      </c>
      <c r="G76" s="377">
        <v>277400.9807460669</v>
      </c>
      <c r="H76" s="377">
        <v>289189.38503866183</v>
      </c>
      <c r="I76" s="377">
        <v>299643.76561850938</v>
      </c>
      <c r="J76" s="377">
        <v>313765.3199841553</v>
      </c>
      <c r="K76" s="377">
        <v>321743.10576481471</v>
      </c>
      <c r="L76" s="377">
        <v>333749.81435864815</v>
      </c>
      <c r="M76" s="377">
        <v>364666.53149747063</v>
      </c>
      <c r="N76" s="377">
        <v>430112.31173262367</v>
      </c>
      <c r="O76" s="378"/>
      <c r="P76" s="400"/>
      <c r="Q76" s="401"/>
      <c r="R76" s="401"/>
      <c r="S76" s="401"/>
      <c r="T76" s="401"/>
      <c r="U76" s="401"/>
      <c r="V76" s="401"/>
      <c r="W76" s="401"/>
      <c r="X76" s="401"/>
      <c r="Y76" s="401"/>
      <c r="Z76" s="401"/>
      <c r="AA76" s="401"/>
      <c r="AB76" s="401"/>
      <c r="AC76" s="401"/>
      <c r="AD76" s="390"/>
      <c r="AE76" s="390"/>
      <c r="AF76" s="390"/>
      <c r="AG76" s="390"/>
      <c r="AH76" s="390"/>
    </row>
    <row r="77" spans="1:34">
      <c r="A77" s="337"/>
      <c r="B77" s="376" t="s">
        <v>626</v>
      </c>
      <c r="C77" s="338"/>
      <c r="D77" s="385">
        <v>910360.79037388449</v>
      </c>
      <c r="E77" s="385">
        <v>895675.33810172335</v>
      </c>
      <c r="F77" s="385">
        <v>913225.76525946241</v>
      </c>
      <c r="G77" s="385">
        <v>903810.16818375385</v>
      </c>
      <c r="H77" s="385">
        <v>929276.2882539914</v>
      </c>
      <c r="I77" s="385">
        <v>998706.15261967387</v>
      </c>
      <c r="J77" s="386">
        <v>1018178.8254923658</v>
      </c>
      <c r="K77" s="387">
        <v>1056492.0380692349</v>
      </c>
      <c r="L77" s="386">
        <v>1037111.4466469623</v>
      </c>
      <c r="M77" s="386">
        <v>1068568.3291146506</v>
      </c>
      <c r="N77" s="386">
        <v>1184796.4471574835</v>
      </c>
      <c r="O77" s="378"/>
      <c r="P77" s="406"/>
      <c r="Q77" s="407"/>
      <c r="R77" s="407"/>
      <c r="S77" s="407"/>
      <c r="T77" s="407"/>
      <c r="U77" s="407"/>
      <c r="V77" s="407"/>
      <c r="W77" s="407"/>
      <c r="X77" s="407"/>
      <c r="Y77" s="407"/>
      <c r="Z77" s="407"/>
      <c r="AA77" s="407"/>
      <c r="AB77" s="407"/>
      <c r="AC77" s="407"/>
      <c r="AD77" s="390"/>
      <c r="AE77" s="390"/>
      <c r="AF77" s="390"/>
      <c r="AG77" s="390"/>
      <c r="AH77" s="390"/>
    </row>
    <row r="78" spans="1:34">
      <c r="A78" s="324"/>
      <c r="B78" s="353"/>
      <c r="C78" s="353"/>
      <c r="D78" s="353"/>
      <c r="E78" s="353"/>
      <c r="F78" s="353"/>
      <c r="G78" s="353"/>
      <c r="H78" s="353"/>
      <c r="I78" s="353"/>
      <c r="J78" s="353"/>
      <c r="K78" s="353"/>
      <c r="L78" s="353"/>
      <c r="M78" s="353"/>
      <c r="N78" s="353"/>
      <c r="O78" s="324"/>
      <c r="P78" s="326"/>
      <c r="Q78" s="326"/>
      <c r="R78" s="326"/>
      <c r="S78" s="326"/>
      <c r="T78" s="326"/>
      <c r="U78" s="326"/>
      <c r="V78" s="326"/>
      <c r="W78" s="326"/>
      <c r="X78" s="326"/>
      <c r="Y78" s="326"/>
      <c r="Z78" s="326"/>
      <c r="AA78" s="326"/>
      <c r="AB78" s="326"/>
      <c r="AC78" s="326"/>
      <c r="AD78" s="326"/>
      <c r="AE78" s="326"/>
      <c r="AF78" s="326"/>
      <c r="AG78" s="326"/>
      <c r="AH78" s="326"/>
    </row>
    <row r="79" spans="1:34">
      <c r="A79" s="326"/>
      <c r="B79" s="327"/>
      <c r="C79" s="327"/>
      <c r="D79" s="366"/>
      <c r="E79" s="366"/>
      <c r="F79" s="366"/>
      <c r="G79" s="366"/>
      <c r="H79" s="366"/>
      <c r="I79" s="366"/>
      <c r="J79" s="366"/>
      <c r="K79" s="366"/>
      <c r="L79" s="366"/>
      <c r="M79" s="366"/>
      <c r="N79" s="366"/>
      <c r="O79" s="366"/>
      <c r="P79" s="326"/>
      <c r="Q79" s="326"/>
      <c r="R79" s="326"/>
      <c r="S79" s="326"/>
      <c r="T79" s="326"/>
      <c r="U79" s="326"/>
      <c r="V79" s="326"/>
      <c r="W79" s="326"/>
      <c r="X79" s="326"/>
      <c r="Y79" s="326"/>
      <c r="Z79" s="326"/>
      <c r="AA79" s="326"/>
      <c r="AB79" s="326"/>
      <c r="AC79" s="326"/>
      <c r="AD79" s="326"/>
      <c r="AE79" s="326"/>
      <c r="AF79" s="326"/>
      <c r="AG79" s="326"/>
      <c r="AH79" s="326"/>
    </row>
    <row r="80" spans="1:34">
      <c r="A80" s="354"/>
      <c r="B80" s="354"/>
      <c r="C80" s="425" t="s">
        <v>628</v>
      </c>
      <c r="D80" s="425"/>
      <c r="E80" s="425"/>
      <c r="F80" s="425"/>
      <c r="G80" s="425"/>
      <c r="H80" s="425"/>
      <c r="I80" s="425"/>
      <c r="J80" s="425"/>
      <c r="K80" s="425"/>
      <c r="L80" s="425"/>
      <c r="M80" s="425"/>
      <c r="N80" s="425"/>
      <c r="O80" s="354"/>
      <c r="P80" s="367"/>
      <c r="Q80" s="390"/>
      <c r="R80" s="390"/>
      <c r="S80" s="390"/>
      <c r="T80" s="390"/>
      <c r="U80" s="390"/>
      <c r="V80" s="390"/>
      <c r="W80" s="390"/>
      <c r="X80" s="390"/>
      <c r="Y80" s="390"/>
      <c r="Z80" s="397"/>
      <c r="AA80" s="397"/>
      <c r="AB80" s="397"/>
      <c r="AC80" s="397"/>
      <c r="AD80" s="398"/>
      <c r="AE80" s="394"/>
      <c r="AF80" s="394"/>
      <c r="AG80" s="394"/>
      <c r="AH80" s="394"/>
    </row>
    <row r="81" spans="1:34">
      <c r="A81" s="356"/>
      <c r="B81" s="354"/>
      <c r="C81" s="425" t="s">
        <v>629</v>
      </c>
      <c r="D81" s="425"/>
      <c r="E81" s="425"/>
      <c r="F81" s="425"/>
      <c r="G81" s="425"/>
      <c r="H81" s="425"/>
      <c r="I81" s="425"/>
      <c r="J81" s="425"/>
      <c r="K81" s="425"/>
      <c r="L81" s="425"/>
      <c r="M81" s="425"/>
      <c r="N81" s="425"/>
      <c r="O81" s="354"/>
      <c r="P81" s="394"/>
      <c r="Q81" s="394"/>
      <c r="R81" s="394"/>
      <c r="S81" s="394"/>
      <c r="T81" s="394"/>
      <c r="U81" s="394"/>
      <c r="V81" s="394"/>
      <c r="W81" s="394"/>
      <c r="X81" s="394"/>
      <c r="Y81" s="394"/>
      <c r="Z81" s="394"/>
      <c r="AA81" s="394"/>
      <c r="AB81" s="394"/>
      <c r="AC81" s="394"/>
      <c r="AD81" s="394"/>
      <c r="AE81" s="394"/>
      <c r="AF81" s="394"/>
      <c r="AG81" s="394"/>
      <c r="AH81" s="394"/>
    </row>
    <row r="82" spans="1:34">
      <c r="A82" s="356"/>
      <c r="B82" s="354"/>
      <c r="C82" s="355"/>
      <c r="D82" s="355"/>
      <c r="E82" s="355"/>
      <c r="F82" s="355"/>
      <c r="G82" s="355"/>
      <c r="H82" s="355"/>
      <c r="I82" s="355"/>
      <c r="J82" s="355"/>
      <c r="K82" s="355"/>
      <c r="L82" s="355"/>
      <c r="M82" s="355"/>
      <c r="N82" s="355"/>
      <c r="O82" s="354"/>
      <c r="P82" s="394"/>
      <c r="Q82" s="394"/>
      <c r="R82" s="394"/>
      <c r="S82" s="394"/>
      <c r="T82" s="394"/>
      <c r="U82" s="394"/>
      <c r="V82" s="394"/>
      <c r="W82" s="394"/>
      <c r="X82" s="394"/>
      <c r="Y82" s="394"/>
      <c r="Z82" s="394"/>
      <c r="AA82" s="394"/>
      <c r="AB82" s="394"/>
      <c r="AC82" s="394"/>
      <c r="AD82" s="394"/>
      <c r="AE82" s="394"/>
      <c r="AF82" s="394"/>
      <c r="AG82" s="394"/>
      <c r="AH82" s="394"/>
    </row>
    <row r="83" spans="1:34" ht="15.75">
      <c r="A83" s="322"/>
      <c r="B83" s="388" t="s">
        <v>914</v>
      </c>
      <c r="C83" s="360"/>
      <c r="D83" s="360"/>
      <c r="E83" s="360"/>
      <c r="F83" s="360"/>
      <c r="G83" s="360"/>
      <c r="H83" s="360"/>
      <c r="I83" s="360"/>
      <c r="J83" s="360"/>
      <c r="K83" s="360"/>
      <c r="L83" s="360"/>
      <c r="M83" s="360"/>
      <c r="N83" s="360"/>
      <c r="O83" s="360"/>
      <c r="P83" s="322"/>
      <c r="Q83" s="322"/>
      <c r="R83" s="322"/>
      <c r="S83" s="322"/>
      <c r="T83" s="322"/>
      <c r="U83" s="322"/>
      <c r="V83" s="322"/>
      <c r="W83" s="322"/>
      <c r="X83" s="322"/>
      <c r="Y83" s="322"/>
      <c r="Z83" s="322"/>
      <c r="AA83" s="322"/>
      <c r="AB83" s="322"/>
      <c r="AC83" s="322"/>
      <c r="AD83" s="322"/>
      <c r="AE83" s="322"/>
      <c r="AF83" s="322"/>
      <c r="AG83" s="322"/>
      <c r="AH83" s="322"/>
    </row>
    <row r="84" spans="1:34">
      <c r="A84" s="322"/>
      <c r="B84" s="361"/>
      <c r="C84" s="322"/>
      <c r="D84" s="381"/>
      <c r="E84" s="381"/>
      <c r="F84" s="381"/>
      <c r="G84" s="381"/>
      <c r="H84" s="381"/>
      <c r="I84" s="381"/>
      <c r="J84" s="381"/>
      <c r="K84" s="381"/>
      <c r="L84" s="381"/>
      <c r="M84" s="381"/>
      <c r="N84" s="381"/>
      <c r="O84" s="381"/>
      <c r="P84" s="322"/>
      <c r="Q84" s="322"/>
      <c r="R84" s="322"/>
      <c r="S84" s="322"/>
      <c r="T84" s="322"/>
      <c r="U84" s="322"/>
      <c r="V84" s="322"/>
      <c r="W84" s="322"/>
      <c r="X84" s="322"/>
      <c r="Y84" s="322"/>
      <c r="Z84" s="322"/>
      <c r="AA84" s="322"/>
      <c r="AB84" s="322"/>
      <c r="AC84" s="322"/>
      <c r="AD84" s="322"/>
      <c r="AE84" s="322"/>
      <c r="AF84" s="322"/>
      <c r="AG84" s="322"/>
      <c r="AH84" s="322"/>
    </row>
    <row r="85" spans="1:34">
      <c r="A85" s="322"/>
      <c r="B85" s="361"/>
      <c r="C85" s="322"/>
      <c r="D85" s="381"/>
      <c r="E85" s="381"/>
      <c r="F85" s="381"/>
      <c r="G85" s="381"/>
      <c r="H85" s="381"/>
      <c r="I85" s="381"/>
      <c r="J85" s="381"/>
      <c r="K85" s="381"/>
      <c r="L85" s="381"/>
      <c r="M85" s="381"/>
      <c r="N85" s="381"/>
      <c r="O85" s="381"/>
      <c r="P85" s="322"/>
      <c r="Q85" s="322"/>
      <c r="R85" s="322"/>
      <c r="S85" s="322"/>
      <c r="T85" s="322"/>
      <c r="U85" s="322"/>
      <c r="V85" s="322"/>
      <c r="W85" s="322"/>
      <c r="X85" s="322"/>
      <c r="Y85" s="322"/>
      <c r="Z85" s="322"/>
      <c r="AA85" s="322"/>
      <c r="AB85" s="322"/>
      <c r="AC85" s="322"/>
      <c r="AD85" s="322"/>
      <c r="AE85" s="322"/>
      <c r="AF85" s="322"/>
      <c r="AG85" s="322"/>
      <c r="AH85" s="322"/>
    </row>
    <row r="86" spans="1:34">
      <c r="A86" s="322"/>
      <c r="B86" s="354"/>
      <c r="C86" s="357"/>
      <c r="D86" s="329"/>
      <c r="E86" s="358"/>
      <c r="F86" s="329"/>
      <c r="G86" s="329"/>
      <c r="H86" s="359"/>
      <c r="I86" s="329"/>
      <c r="J86" s="329"/>
      <c r="K86" s="329"/>
      <c r="L86" s="329"/>
      <c r="M86" s="329"/>
      <c r="N86" s="329"/>
      <c r="O86" s="329"/>
      <c r="P86" s="389"/>
      <c r="Q86" s="322"/>
      <c r="R86" s="322"/>
      <c r="S86" s="322"/>
      <c r="T86" s="322"/>
      <c r="U86" s="322"/>
      <c r="V86" s="322"/>
      <c r="W86" s="322"/>
      <c r="X86" s="322"/>
      <c r="Y86" s="322"/>
      <c r="Z86" s="322"/>
      <c r="AA86" s="322"/>
      <c r="AB86" s="322"/>
      <c r="AC86" s="322"/>
      <c r="AD86" s="322"/>
      <c r="AE86" s="322"/>
      <c r="AF86" s="322"/>
      <c r="AG86" s="322"/>
      <c r="AH86" s="322"/>
    </row>
    <row r="87" spans="1:34">
      <c r="A87" s="322"/>
      <c r="B87" s="345"/>
      <c r="C87" s="357"/>
      <c r="D87" s="329"/>
      <c r="E87" s="358"/>
      <c r="F87" s="329"/>
      <c r="G87" s="329"/>
      <c r="H87" s="359"/>
      <c r="I87" s="329"/>
      <c r="J87" s="329"/>
      <c r="K87" s="329"/>
      <c r="L87" s="329"/>
      <c r="M87" s="329"/>
      <c r="N87" s="329"/>
      <c r="O87" s="329"/>
      <c r="P87" s="389"/>
      <c r="Q87" s="322"/>
      <c r="R87" s="322"/>
      <c r="S87" s="322"/>
      <c r="T87" s="322"/>
      <c r="U87" s="322"/>
      <c r="V87" s="322"/>
      <c r="W87" s="322"/>
      <c r="X87" s="322"/>
      <c r="Y87" s="322"/>
      <c r="Z87" s="322"/>
      <c r="AA87" s="322"/>
      <c r="AB87" s="322"/>
      <c r="AC87" s="322"/>
      <c r="AD87" s="322"/>
      <c r="AE87" s="322"/>
      <c r="AF87" s="322"/>
      <c r="AG87" s="322"/>
      <c r="AH87" s="322"/>
    </row>
    <row r="88" spans="1:34">
      <c r="A88" s="322"/>
      <c r="B88" s="322"/>
      <c r="C88" s="322"/>
      <c r="D88" s="381"/>
      <c r="E88" s="381"/>
      <c r="F88" s="381"/>
      <c r="G88" s="381"/>
      <c r="H88" s="381"/>
      <c r="I88" s="381"/>
      <c r="J88" s="381"/>
      <c r="K88" s="381"/>
      <c r="L88" s="381"/>
      <c r="M88" s="381"/>
      <c r="N88" s="381"/>
      <c r="O88" s="322"/>
      <c r="P88" s="322"/>
      <c r="Q88" s="322"/>
      <c r="R88" s="322"/>
      <c r="S88" s="322"/>
      <c r="T88" s="322"/>
      <c r="U88" s="322"/>
      <c r="V88" s="322"/>
      <c r="W88" s="322"/>
      <c r="X88" s="322"/>
      <c r="Y88" s="322"/>
      <c r="Z88" s="322"/>
      <c r="AA88" s="322"/>
      <c r="AB88" s="322"/>
      <c r="AC88" s="322"/>
      <c r="AD88" s="322"/>
      <c r="AE88" s="322"/>
      <c r="AF88" s="322"/>
      <c r="AG88" s="322"/>
      <c r="AH88" s="322"/>
    </row>
    <row r="89" spans="1:34">
      <c r="A89" s="322"/>
      <c r="B89" s="354"/>
      <c r="C89" s="357"/>
      <c r="D89" s="329"/>
      <c r="E89" s="358"/>
      <c r="F89" s="329"/>
      <c r="G89" s="329"/>
      <c r="H89" s="359"/>
      <c r="I89" s="329"/>
      <c r="J89" s="329"/>
      <c r="K89" s="329"/>
      <c r="L89" s="329"/>
      <c r="M89" s="329"/>
      <c r="N89" s="329"/>
      <c r="O89" s="329"/>
      <c r="P89" s="389"/>
      <c r="Q89" s="322"/>
      <c r="R89" s="322"/>
      <c r="S89" s="322"/>
      <c r="T89" s="322"/>
      <c r="U89" s="322"/>
      <c r="V89" s="322"/>
      <c r="W89" s="322"/>
      <c r="X89" s="322"/>
      <c r="Y89" s="322"/>
      <c r="Z89" s="322"/>
      <c r="AA89" s="322"/>
      <c r="AB89" s="322"/>
      <c r="AC89" s="322"/>
      <c r="AD89" s="322"/>
      <c r="AE89" s="322"/>
      <c r="AF89" s="322"/>
      <c r="AG89" s="322"/>
      <c r="AH89" s="322"/>
    </row>
    <row r="90" spans="1:34">
      <c r="A90" s="322"/>
      <c r="B90" s="345"/>
      <c r="C90" s="357"/>
      <c r="D90" s="329"/>
      <c r="E90" s="358"/>
      <c r="F90" s="329"/>
      <c r="G90" s="329"/>
      <c r="H90" s="359"/>
      <c r="I90" s="329"/>
      <c r="J90" s="329"/>
      <c r="K90" s="329"/>
      <c r="L90" s="329"/>
      <c r="M90" s="329"/>
      <c r="N90" s="329"/>
      <c r="O90" s="329"/>
      <c r="P90" s="389"/>
      <c r="Q90" s="322"/>
      <c r="R90" s="322"/>
      <c r="S90" s="322"/>
      <c r="T90" s="322"/>
      <c r="U90" s="322"/>
      <c r="V90" s="322"/>
      <c r="W90" s="322"/>
      <c r="X90" s="322"/>
      <c r="Y90" s="322"/>
      <c r="Z90" s="322"/>
      <c r="AA90" s="322"/>
      <c r="AB90" s="322"/>
      <c r="AC90" s="322"/>
      <c r="AD90" s="322"/>
      <c r="AE90" s="322"/>
      <c r="AF90" s="322"/>
      <c r="AG90" s="322"/>
      <c r="AH90" s="322"/>
    </row>
    <row r="92" spans="1:34">
      <c r="A92" s="322"/>
      <c r="B92" s="345"/>
      <c r="C92" s="322"/>
      <c r="D92" s="322"/>
      <c r="E92" s="322"/>
      <c r="F92" s="322"/>
      <c r="G92" s="322"/>
      <c r="H92" s="322"/>
      <c r="I92" s="322"/>
      <c r="J92" s="322"/>
      <c r="K92" s="322"/>
      <c r="L92" s="322"/>
      <c r="M92" s="322"/>
      <c r="N92" s="322"/>
      <c r="O92" s="322"/>
      <c r="P92" s="322"/>
      <c r="Q92" s="322"/>
      <c r="R92" s="322"/>
      <c r="S92" s="322"/>
      <c r="T92" s="322"/>
      <c r="U92" s="322"/>
      <c r="V92" s="322"/>
      <c r="W92" s="322"/>
      <c r="X92" s="322"/>
      <c r="Y92" s="322"/>
      <c r="Z92" s="322"/>
      <c r="AA92" s="322"/>
      <c r="AB92" s="322"/>
      <c r="AC92" s="322"/>
      <c r="AD92" s="322"/>
      <c r="AE92" s="322"/>
      <c r="AF92" s="322"/>
      <c r="AG92" s="322"/>
      <c r="AH92" s="322"/>
    </row>
    <row r="93" spans="1:34">
      <c r="A93" s="322"/>
      <c r="B93" s="362"/>
      <c r="C93" s="322"/>
      <c r="D93" s="322"/>
      <c r="E93" s="322"/>
      <c r="F93" s="322"/>
      <c r="G93" s="322"/>
      <c r="H93" s="322"/>
      <c r="I93" s="322"/>
      <c r="J93" s="322"/>
      <c r="K93" s="322"/>
      <c r="L93" s="322"/>
      <c r="M93" s="322"/>
      <c r="N93" s="322"/>
      <c r="O93" s="322"/>
      <c r="P93" s="322"/>
      <c r="Q93" s="322"/>
      <c r="R93" s="322"/>
      <c r="S93" s="322"/>
      <c r="T93" s="322"/>
      <c r="U93" s="322"/>
      <c r="V93" s="322"/>
      <c r="W93" s="322"/>
      <c r="X93" s="322"/>
      <c r="Y93" s="322"/>
      <c r="Z93" s="322"/>
      <c r="AA93" s="322"/>
      <c r="AB93" s="322"/>
      <c r="AC93" s="322"/>
      <c r="AD93" s="322"/>
      <c r="AE93" s="322"/>
      <c r="AF93" s="322"/>
      <c r="AG93" s="322"/>
      <c r="AH93" s="322"/>
    </row>
    <row r="94" spans="1:34">
      <c r="A94" s="322"/>
      <c r="B94" s="322"/>
      <c r="C94" s="322"/>
      <c r="D94" s="381"/>
      <c r="E94" s="381"/>
      <c r="F94" s="381"/>
      <c r="G94" s="381"/>
      <c r="H94" s="381"/>
      <c r="I94" s="381"/>
      <c r="J94" s="381"/>
      <c r="K94" s="381"/>
      <c r="L94" s="381"/>
      <c r="M94" s="381"/>
      <c r="N94" s="381"/>
      <c r="O94" s="381"/>
      <c r="P94" s="322"/>
      <c r="Q94" s="322"/>
      <c r="R94" s="322"/>
      <c r="S94" s="322"/>
      <c r="T94" s="322"/>
      <c r="U94" s="322"/>
      <c r="V94" s="322"/>
      <c r="W94" s="322"/>
      <c r="X94" s="322"/>
      <c r="Y94" s="322"/>
      <c r="Z94" s="322"/>
      <c r="AA94" s="322"/>
      <c r="AB94" s="322"/>
      <c r="AC94" s="322"/>
      <c r="AD94" s="322"/>
      <c r="AE94" s="322"/>
      <c r="AF94" s="322"/>
      <c r="AG94" s="322"/>
      <c r="AH94" s="322"/>
    </row>
    <row r="96" spans="1:34">
      <c r="A96" s="322"/>
      <c r="B96" s="322"/>
      <c r="C96" s="322"/>
      <c r="D96" s="381"/>
      <c r="E96" s="381"/>
      <c r="F96" s="381"/>
      <c r="G96" s="381"/>
      <c r="H96" s="381"/>
      <c r="I96" s="381"/>
      <c r="J96" s="381"/>
      <c r="K96" s="381"/>
      <c r="L96" s="381"/>
      <c r="M96" s="381"/>
      <c r="N96" s="381"/>
      <c r="O96" s="322"/>
      <c r="P96" s="322"/>
      <c r="Q96" s="322"/>
      <c r="R96" s="322"/>
      <c r="S96" s="322"/>
      <c r="T96" s="322"/>
      <c r="U96" s="322"/>
      <c r="V96" s="322"/>
      <c r="W96" s="322"/>
      <c r="X96" s="322"/>
      <c r="Y96" s="322"/>
      <c r="Z96" s="322"/>
      <c r="AA96" s="322"/>
      <c r="AB96" s="322"/>
      <c r="AC96" s="322"/>
      <c r="AD96" s="322"/>
      <c r="AE96" s="322"/>
      <c r="AF96" s="322"/>
      <c r="AG96" s="322"/>
      <c r="AH96" s="322"/>
    </row>
    <row r="97" spans="4:14">
      <c r="D97" s="381"/>
      <c r="E97" s="381"/>
      <c r="F97" s="381"/>
      <c r="G97" s="381"/>
      <c r="H97" s="381"/>
      <c r="I97" s="381"/>
      <c r="J97" s="381"/>
      <c r="K97" s="381"/>
      <c r="L97" s="381"/>
      <c r="M97" s="381"/>
      <c r="N97" s="381"/>
    </row>
  </sheetData>
  <mergeCells count="2">
    <mergeCell ref="C80:N80"/>
    <mergeCell ref="C81:N8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9E318-B676-4DD1-904D-6DDF64472A8A}">
  <dimension ref="A4:G188"/>
  <sheetViews>
    <sheetView workbookViewId="0">
      <pane xSplit="1" ySplit="8" topLeftCell="B9" activePane="bottomRight" state="frozen"/>
      <selection pane="topRight" activeCell="B1" sqref="B1"/>
      <selection pane="bottomLeft" activeCell="A9" sqref="A9"/>
      <selection pane="bottomRight" activeCell="B5" sqref="B5"/>
    </sheetView>
  </sheetViews>
  <sheetFormatPr defaultRowHeight="15"/>
  <sheetData>
    <row r="4" spans="1:7">
      <c r="A4" s="2" t="s">
        <v>705</v>
      </c>
      <c r="B4" s="319" t="s">
        <v>900</v>
      </c>
      <c r="C4" s="319" t="s">
        <v>634</v>
      </c>
      <c r="D4" s="319" t="s">
        <v>635</v>
      </c>
      <c r="E4" s="319" t="s">
        <v>702</v>
      </c>
      <c r="F4" s="319" t="s">
        <v>703</v>
      </c>
      <c r="G4" s="319" t="s">
        <v>704</v>
      </c>
    </row>
    <row r="5" spans="1:7">
      <c r="A5" t="s">
        <v>710</v>
      </c>
      <c r="B5" t="s">
        <v>901</v>
      </c>
      <c r="C5" t="s">
        <v>714</v>
      </c>
      <c r="D5" t="s">
        <v>715</v>
      </c>
      <c r="E5" t="s">
        <v>717</v>
      </c>
      <c r="F5" t="s">
        <v>719</v>
      </c>
      <c r="G5" t="s">
        <v>720</v>
      </c>
    </row>
    <row r="6" spans="1:7">
      <c r="A6" t="s">
        <v>709</v>
      </c>
      <c r="B6" t="s">
        <v>711</v>
      </c>
      <c r="C6" t="s">
        <v>711</v>
      </c>
      <c r="D6" t="s">
        <v>711</v>
      </c>
      <c r="E6" t="s">
        <v>711</v>
      </c>
      <c r="F6" t="s">
        <v>711</v>
      </c>
      <c r="G6" t="s">
        <v>711</v>
      </c>
    </row>
    <row r="7" spans="1:7">
      <c r="A7" t="s">
        <v>708</v>
      </c>
      <c r="B7" t="s">
        <v>713</v>
      </c>
      <c r="C7" t="s">
        <v>713</v>
      </c>
      <c r="D7" t="s">
        <v>713</v>
      </c>
      <c r="E7" t="s">
        <v>713</v>
      </c>
      <c r="F7" t="s">
        <v>713</v>
      </c>
      <c r="G7" t="s">
        <v>713</v>
      </c>
    </row>
    <row r="8" spans="1:7">
      <c r="A8" t="s">
        <v>707</v>
      </c>
      <c r="B8" t="s">
        <v>712</v>
      </c>
      <c r="C8" t="s">
        <v>712</v>
      </c>
      <c r="D8" t="s">
        <v>712</v>
      </c>
      <c r="E8" t="s">
        <v>716</v>
      </c>
      <c r="F8" t="s">
        <v>718</v>
      </c>
      <c r="G8" t="s">
        <v>718</v>
      </c>
    </row>
    <row r="9" spans="1:7">
      <c r="A9" t="s">
        <v>706</v>
      </c>
      <c r="B9" s="273">
        <v>76</v>
      </c>
      <c r="C9" s="273">
        <v>53.7</v>
      </c>
      <c r="D9" s="273">
        <v>94.5</v>
      </c>
      <c r="E9" s="273">
        <v>63.1</v>
      </c>
      <c r="F9" s="273">
        <v>73.8</v>
      </c>
      <c r="G9" s="273">
        <v>80</v>
      </c>
    </row>
    <row r="10" spans="1:7">
      <c r="A10" t="s">
        <v>721</v>
      </c>
      <c r="B10" s="273">
        <v>77.2</v>
      </c>
      <c r="C10" s="273">
        <v>54.3</v>
      </c>
      <c r="D10" s="273">
        <v>93.7</v>
      </c>
      <c r="E10" s="273">
        <v>64.400000000000006</v>
      </c>
      <c r="F10" s="273">
        <v>77.099999999999994</v>
      </c>
      <c r="G10" s="273">
        <v>81.3</v>
      </c>
    </row>
    <row r="11" spans="1:7">
      <c r="A11" t="s">
        <v>722</v>
      </c>
      <c r="B11" s="273">
        <v>79.900000000000006</v>
      </c>
      <c r="C11" s="273">
        <v>54.3</v>
      </c>
      <c r="D11" s="273">
        <v>92.2</v>
      </c>
      <c r="E11" s="273">
        <v>64.3</v>
      </c>
      <c r="F11" s="273">
        <v>77.599999999999994</v>
      </c>
      <c r="G11" s="273">
        <v>81.900000000000006</v>
      </c>
    </row>
    <row r="12" spans="1:7">
      <c r="A12" t="s">
        <v>723</v>
      </c>
      <c r="B12" s="273">
        <v>81.599999999999994</v>
      </c>
      <c r="C12" s="273">
        <v>53.8</v>
      </c>
      <c r="D12" s="273">
        <v>92.8</v>
      </c>
      <c r="E12" s="273">
        <v>60.9</v>
      </c>
      <c r="F12" s="273">
        <v>78.599999999999994</v>
      </c>
      <c r="G12" s="273">
        <v>81.599999999999994</v>
      </c>
    </row>
    <row r="13" spans="1:7">
      <c r="A13" t="s">
        <v>724</v>
      </c>
      <c r="B13" s="273">
        <v>81</v>
      </c>
      <c r="C13" s="273">
        <v>53.2</v>
      </c>
      <c r="D13" s="273">
        <v>94.7</v>
      </c>
      <c r="E13" s="273">
        <v>61.1</v>
      </c>
      <c r="F13" s="273">
        <v>80.2</v>
      </c>
      <c r="G13" s="273">
        <v>82.2</v>
      </c>
    </row>
    <row r="14" spans="1:7">
      <c r="A14" t="s">
        <v>725</v>
      </c>
      <c r="B14" s="273">
        <v>83.1</v>
      </c>
      <c r="C14" s="273">
        <v>52.1</v>
      </c>
      <c r="D14" s="273">
        <v>97.3</v>
      </c>
      <c r="E14" s="273">
        <v>62.5</v>
      </c>
      <c r="F14" s="273">
        <v>81.3</v>
      </c>
      <c r="G14" s="273">
        <v>82.2</v>
      </c>
    </row>
    <row r="15" spans="1:7">
      <c r="A15" t="s">
        <v>726</v>
      </c>
      <c r="B15" s="273">
        <v>89.5</v>
      </c>
      <c r="C15" s="273">
        <v>50.8</v>
      </c>
      <c r="D15" s="273">
        <v>101.1</v>
      </c>
      <c r="E15" s="273">
        <v>63.2</v>
      </c>
      <c r="F15" s="273">
        <v>80.3</v>
      </c>
      <c r="G15" s="273">
        <v>82.3</v>
      </c>
    </row>
    <row r="16" spans="1:7">
      <c r="A16" t="s">
        <v>727</v>
      </c>
      <c r="B16" s="273">
        <v>85</v>
      </c>
      <c r="C16" s="273">
        <v>49.2</v>
      </c>
      <c r="D16" s="273">
        <v>105.2</v>
      </c>
      <c r="E16" s="273">
        <v>63.2</v>
      </c>
      <c r="F16" s="273">
        <v>83.5</v>
      </c>
      <c r="G16" s="273">
        <v>82.4</v>
      </c>
    </row>
    <row r="17" spans="1:7">
      <c r="A17" t="s">
        <v>728</v>
      </c>
      <c r="B17" s="273">
        <v>84.6</v>
      </c>
      <c r="C17" s="273">
        <v>47.5</v>
      </c>
      <c r="D17" s="273">
        <v>110.9</v>
      </c>
      <c r="E17" s="273">
        <v>64.8</v>
      </c>
      <c r="F17" s="273">
        <v>82</v>
      </c>
      <c r="G17" s="273">
        <v>82.6</v>
      </c>
    </row>
    <row r="18" spans="1:7">
      <c r="A18" t="s">
        <v>729</v>
      </c>
      <c r="B18" s="273">
        <v>85.8</v>
      </c>
      <c r="C18" s="273">
        <v>46.1</v>
      </c>
      <c r="D18" s="273">
        <v>118.9</v>
      </c>
      <c r="E18" s="273">
        <v>62.9</v>
      </c>
      <c r="F18" s="273">
        <v>81.599999999999994</v>
      </c>
      <c r="G18" s="273">
        <v>82.9</v>
      </c>
    </row>
    <row r="19" spans="1:7">
      <c r="A19" t="s">
        <v>730</v>
      </c>
      <c r="B19" s="273">
        <v>89.5</v>
      </c>
      <c r="C19" s="273">
        <v>44.6</v>
      </c>
      <c r="D19" s="273">
        <v>123.5</v>
      </c>
      <c r="E19" s="273">
        <v>62.5</v>
      </c>
      <c r="F19" s="273">
        <v>81.400000000000006</v>
      </c>
      <c r="G19" s="273">
        <v>82.7</v>
      </c>
    </row>
    <row r="20" spans="1:7">
      <c r="A20" t="s">
        <v>731</v>
      </c>
      <c r="B20" s="273">
        <v>88.8</v>
      </c>
      <c r="C20" s="273">
        <v>43.3</v>
      </c>
      <c r="D20" s="273">
        <v>133.6</v>
      </c>
      <c r="E20" s="273">
        <v>68.3</v>
      </c>
      <c r="F20" s="273">
        <v>79</v>
      </c>
      <c r="G20" s="273">
        <v>82</v>
      </c>
    </row>
    <row r="21" spans="1:7">
      <c r="A21" t="s">
        <v>732</v>
      </c>
      <c r="B21" s="273">
        <v>88.4</v>
      </c>
      <c r="C21" s="273">
        <v>42.2</v>
      </c>
      <c r="D21" s="273">
        <v>139.4</v>
      </c>
      <c r="E21" s="273">
        <v>65.099999999999994</v>
      </c>
      <c r="F21" s="273">
        <v>81.8</v>
      </c>
      <c r="G21" s="273">
        <v>82.4</v>
      </c>
    </row>
    <row r="22" spans="1:7">
      <c r="A22" t="s">
        <v>733</v>
      </c>
      <c r="B22" s="273">
        <v>86.4</v>
      </c>
      <c r="C22" s="273">
        <v>41.5</v>
      </c>
      <c r="D22" s="273">
        <v>143</v>
      </c>
      <c r="E22" s="273">
        <v>67.8</v>
      </c>
      <c r="F22" s="273">
        <v>82.7</v>
      </c>
      <c r="G22" s="273">
        <v>82.8</v>
      </c>
    </row>
    <row r="23" spans="1:7">
      <c r="A23" t="s">
        <v>734</v>
      </c>
      <c r="B23" s="273">
        <v>88.4</v>
      </c>
      <c r="C23" s="273">
        <v>40.9</v>
      </c>
      <c r="D23" s="273">
        <v>140.4</v>
      </c>
      <c r="E23" s="273">
        <v>69.099999999999994</v>
      </c>
      <c r="F23" s="273">
        <v>83.6</v>
      </c>
      <c r="G23" s="273">
        <v>83</v>
      </c>
    </row>
    <row r="24" spans="1:7">
      <c r="A24" t="s">
        <v>735</v>
      </c>
      <c r="B24" s="273">
        <v>88.1</v>
      </c>
      <c r="C24" s="273">
        <v>40.700000000000003</v>
      </c>
      <c r="D24" s="273">
        <v>142.6</v>
      </c>
      <c r="E24" s="273">
        <v>64.2</v>
      </c>
      <c r="F24" s="273">
        <v>84.8</v>
      </c>
      <c r="G24" s="273">
        <v>82.2</v>
      </c>
    </row>
    <row r="25" spans="1:7">
      <c r="A25" t="s">
        <v>736</v>
      </c>
      <c r="B25" s="273">
        <v>93</v>
      </c>
      <c r="C25" s="273">
        <v>40.4</v>
      </c>
      <c r="D25" s="273">
        <v>141.6</v>
      </c>
      <c r="E25" s="273">
        <v>70</v>
      </c>
      <c r="F25" s="273">
        <v>83.8</v>
      </c>
      <c r="G25" s="273">
        <v>83.1</v>
      </c>
    </row>
    <row r="26" spans="1:7">
      <c r="A26" t="s">
        <v>737</v>
      </c>
      <c r="B26" s="273">
        <v>92.6</v>
      </c>
      <c r="C26" s="273">
        <v>40.1</v>
      </c>
      <c r="D26" s="273">
        <v>143.5</v>
      </c>
      <c r="E26" s="273">
        <v>67.599999999999994</v>
      </c>
      <c r="F26" s="273">
        <v>85.4</v>
      </c>
      <c r="G26" s="273">
        <v>83.1</v>
      </c>
    </row>
    <row r="27" spans="1:7">
      <c r="A27" t="s">
        <v>738</v>
      </c>
      <c r="B27" s="273">
        <v>90.5</v>
      </c>
      <c r="C27" s="273">
        <v>39.5</v>
      </c>
      <c r="D27" s="273">
        <v>143.69999999999999</v>
      </c>
      <c r="E27" s="273">
        <v>69.3</v>
      </c>
      <c r="F27" s="273">
        <v>84.5</v>
      </c>
      <c r="G27" s="273">
        <v>83.2</v>
      </c>
    </row>
    <row r="28" spans="1:7">
      <c r="A28" t="s">
        <v>739</v>
      </c>
      <c r="B28" s="273">
        <v>90.1</v>
      </c>
      <c r="C28" s="273">
        <v>39.200000000000003</v>
      </c>
      <c r="D28" s="273">
        <v>145.6</v>
      </c>
      <c r="E28" s="273">
        <v>67.900000000000006</v>
      </c>
      <c r="F28" s="273">
        <v>83.5</v>
      </c>
      <c r="G28" s="273">
        <v>83</v>
      </c>
    </row>
    <row r="29" spans="1:7">
      <c r="A29" t="s">
        <v>740</v>
      </c>
      <c r="B29" s="273">
        <v>93.1</v>
      </c>
      <c r="C29" s="273">
        <v>38.700000000000003</v>
      </c>
      <c r="D29" s="273">
        <v>149.4</v>
      </c>
      <c r="E29" s="273">
        <v>68</v>
      </c>
      <c r="F29" s="273">
        <v>84.3</v>
      </c>
      <c r="G29" s="273">
        <v>83.1</v>
      </c>
    </row>
    <row r="30" spans="1:7">
      <c r="A30" t="s">
        <v>741</v>
      </c>
      <c r="B30" s="273">
        <v>88.2</v>
      </c>
      <c r="C30" s="273">
        <v>37.799999999999997</v>
      </c>
      <c r="D30" s="273">
        <v>148.6</v>
      </c>
      <c r="E30" s="273">
        <v>67.3</v>
      </c>
      <c r="F30" s="273">
        <v>83.1</v>
      </c>
      <c r="G30" s="273">
        <v>82.4</v>
      </c>
    </row>
    <row r="31" spans="1:7">
      <c r="A31" t="s">
        <v>742</v>
      </c>
      <c r="B31" s="273">
        <v>88.7</v>
      </c>
      <c r="C31" s="273">
        <v>37.4</v>
      </c>
      <c r="D31" s="273">
        <v>148</v>
      </c>
      <c r="E31" s="273">
        <v>69.400000000000006</v>
      </c>
      <c r="F31" s="273">
        <v>84.9</v>
      </c>
      <c r="G31" s="273">
        <v>83.4</v>
      </c>
    </row>
    <row r="32" spans="1:7">
      <c r="A32" t="s">
        <v>743</v>
      </c>
      <c r="B32" s="273">
        <v>95.1</v>
      </c>
      <c r="C32" s="273">
        <v>36.9</v>
      </c>
      <c r="D32" s="273">
        <v>140</v>
      </c>
      <c r="E32" s="273">
        <v>67.7</v>
      </c>
      <c r="F32" s="273">
        <v>88.4</v>
      </c>
      <c r="G32" s="273">
        <v>84.1</v>
      </c>
    </row>
    <row r="33" spans="1:7">
      <c r="A33" t="s">
        <v>744</v>
      </c>
      <c r="B33" s="273">
        <v>92.8</v>
      </c>
      <c r="C33" s="273">
        <v>36.200000000000003</v>
      </c>
      <c r="D33" s="273">
        <v>133.30000000000001</v>
      </c>
      <c r="E33" s="273">
        <v>71.5</v>
      </c>
      <c r="F33" s="273">
        <v>84.3</v>
      </c>
      <c r="G33" s="273">
        <v>84.5</v>
      </c>
    </row>
    <row r="34" spans="1:7">
      <c r="A34" t="s">
        <v>745</v>
      </c>
      <c r="B34" s="273">
        <v>92.9</v>
      </c>
      <c r="C34" s="273">
        <v>35.700000000000003</v>
      </c>
      <c r="D34" s="273">
        <v>127.9</v>
      </c>
      <c r="E34" s="273">
        <v>72.400000000000006</v>
      </c>
      <c r="F34" s="273">
        <v>82.2</v>
      </c>
      <c r="G34" s="273">
        <v>83.7</v>
      </c>
    </row>
    <row r="35" spans="1:7">
      <c r="A35" t="s">
        <v>746</v>
      </c>
      <c r="B35" s="273">
        <v>92.3</v>
      </c>
      <c r="C35" s="273">
        <v>35.6</v>
      </c>
      <c r="D35" s="273">
        <v>119.6</v>
      </c>
      <c r="E35" s="273">
        <v>72.3</v>
      </c>
      <c r="F35" s="273">
        <v>83.9</v>
      </c>
      <c r="G35" s="273">
        <v>84.1</v>
      </c>
    </row>
    <row r="36" spans="1:7">
      <c r="A36" t="s">
        <v>747</v>
      </c>
      <c r="B36" s="273">
        <v>93.3</v>
      </c>
      <c r="C36" s="273">
        <v>35.9</v>
      </c>
      <c r="D36" s="273">
        <v>115.8</v>
      </c>
      <c r="E36" s="273">
        <v>67.3</v>
      </c>
      <c r="F36" s="273">
        <v>83.3</v>
      </c>
      <c r="G36" s="273">
        <v>83.5</v>
      </c>
    </row>
    <row r="37" spans="1:7">
      <c r="A37" t="s">
        <v>748</v>
      </c>
      <c r="B37" s="273">
        <v>97.9</v>
      </c>
      <c r="C37" s="273">
        <v>36.1</v>
      </c>
      <c r="D37" s="273">
        <v>109.6</v>
      </c>
      <c r="E37" s="273">
        <v>67.7</v>
      </c>
      <c r="F37" s="273">
        <v>84.7</v>
      </c>
      <c r="G37" s="273">
        <v>84.8</v>
      </c>
    </row>
    <row r="38" spans="1:7">
      <c r="A38" t="s">
        <v>749</v>
      </c>
      <c r="B38" s="273">
        <v>88.5</v>
      </c>
      <c r="C38" s="273">
        <v>36.700000000000003</v>
      </c>
      <c r="D38" s="273">
        <v>111.7</v>
      </c>
      <c r="E38" s="273">
        <v>63.2</v>
      </c>
      <c r="F38" s="273">
        <v>81.5</v>
      </c>
      <c r="G38" s="273">
        <v>83.7</v>
      </c>
    </row>
    <row r="39" spans="1:7">
      <c r="A39" t="s">
        <v>750</v>
      </c>
      <c r="B39" s="273">
        <v>103.7</v>
      </c>
      <c r="C39" s="273">
        <v>36</v>
      </c>
      <c r="D39" s="273">
        <v>104.3</v>
      </c>
      <c r="E39" s="273">
        <v>66.400000000000006</v>
      </c>
      <c r="F39" s="273">
        <v>81.900000000000006</v>
      </c>
      <c r="G39" s="273">
        <v>84.8</v>
      </c>
    </row>
    <row r="40" spans="1:7">
      <c r="A40" t="s">
        <v>751</v>
      </c>
      <c r="B40" s="273">
        <v>94.3</v>
      </c>
      <c r="C40" s="273">
        <v>36.700000000000003</v>
      </c>
      <c r="D40" s="273">
        <v>99.3</v>
      </c>
      <c r="E40" s="273">
        <v>69.8</v>
      </c>
      <c r="F40" s="273">
        <v>81.7</v>
      </c>
      <c r="G40" s="273">
        <v>85.3</v>
      </c>
    </row>
    <row r="41" spans="1:7">
      <c r="A41" t="s">
        <v>752</v>
      </c>
      <c r="B41" s="273">
        <v>95.9</v>
      </c>
      <c r="C41" s="273">
        <v>38.6</v>
      </c>
      <c r="D41" s="273">
        <v>94.5</v>
      </c>
      <c r="E41" s="273">
        <v>68.599999999999994</v>
      </c>
      <c r="F41" s="273">
        <v>82.4</v>
      </c>
      <c r="G41" s="273">
        <v>84.4</v>
      </c>
    </row>
    <row r="42" spans="1:7">
      <c r="A42" t="s">
        <v>753</v>
      </c>
      <c r="B42" s="273">
        <v>97.3</v>
      </c>
      <c r="C42" s="273">
        <v>39.5</v>
      </c>
      <c r="D42" s="273">
        <v>91.2</v>
      </c>
      <c r="E42" s="273">
        <v>69.5</v>
      </c>
      <c r="F42" s="273">
        <v>83.3</v>
      </c>
      <c r="G42" s="273">
        <v>84.7</v>
      </c>
    </row>
    <row r="43" spans="1:7">
      <c r="A43" t="s">
        <v>754</v>
      </c>
      <c r="B43" s="273">
        <v>95.5</v>
      </c>
      <c r="C43" s="273">
        <v>40.4</v>
      </c>
      <c r="D43" s="273">
        <v>91.3</v>
      </c>
      <c r="E43" s="273">
        <v>67.8</v>
      </c>
      <c r="F43" s="273">
        <v>84.7</v>
      </c>
      <c r="G43" s="273">
        <v>85</v>
      </c>
    </row>
    <row r="44" spans="1:7">
      <c r="A44" t="s">
        <v>755</v>
      </c>
      <c r="B44" s="273">
        <v>95.1</v>
      </c>
      <c r="C44" s="273">
        <v>41.3</v>
      </c>
      <c r="D44" s="273">
        <v>91.6</v>
      </c>
      <c r="E44" s="273">
        <v>66.8</v>
      </c>
      <c r="F44" s="273">
        <v>84</v>
      </c>
      <c r="G44" s="273">
        <v>84.6</v>
      </c>
    </row>
    <row r="45" spans="1:7">
      <c r="A45" t="s">
        <v>756</v>
      </c>
      <c r="B45" s="273">
        <v>95</v>
      </c>
      <c r="C45" s="273">
        <v>42.4</v>
      </c>
      <c r="D45" s="273">
        <v>92.3</v>
      </c>
      <c r="E45" s="273">
        <v>69</v>
      </c>
      <c r="F45" s="273">
        <v>83.1</v>
      </c>
      <c r="G45" s="273">
        <v>84.4</v>
      </c>
    </row>
    <row r="46" spans="1:7">
      <c r="A46" t="s">
        <v>757</v>
      </c>
      <c r="B46" s="273">
        <v>95</v>
      </c>
      <c r="C46" s="273">
        <v>42.4</v>
      </c>
      <c r="D46" s="273">
        <v>92.2</v>
      </c>
      <c r="E46" s="273">
        <v>68.400000000000006</v>
      </c>
      <c r="F46" s="273">
        <v>85.9</v>
      </c>
      <c r="G46" s="273">
        <v>85.2</v>
      </c>
    </row>
    <row r="47" spans="1:7">
      <c r="A47" t="s">
        <v>758</v>
      </c>
      <c r="B47" s="273">
        <v>99.7</v>
      </c>
      <c r="C47" s="273">
        <v>42.5</v>
      </c>
      <c r="D47" s="273">
        <v>93</v>
      </c>
      <c r="E47" s="273">
        <v>66.7</v>
      </c>
      <c r="F47" s="273">
        <v>86.1</v>
      </c>
      <c r="G47" s="273">
        <v>85.3</v>
      </c>
    </row>
    <row r="48" spans="1:7">
      <c r="A48" t="s">
        <v>759</v>
      </c>
      <c r="B48" s="273">
        <v>98.9</v>
      </c>
      <c r="C48" s="273">
        <v>43</v>
      </c>
      <c r="D48" s="273">
        <v>95.6</v>
      </c>
      <c r="E48" s="273">
        <v>68.2</v>
      </c>
      <c r="F48" s="273">
        <v>84.7</v>
      </c>
      <c r="G48" s="273">
        <v>85.3</v>
      </c>
    </row>
    <row r="49" spans="1:7">
      <c r="A49" t="s">
        <v>760</v>
      </c>
      <c r="B49" s="273">
        <v>94.7</v>
      </c>
      <c r="C49" s="273">
        <v>43</v>
      </c>
      <c r="D49" s="273">
        <v>96.2</v>
      </c>
      <c r="E49" s="273">
        <v>67.099999999999994</v>
      </c>
      <c r="F49" s="273">
        <v>87</v>
      </c>
      <c r="G49" s="273">
        <v>85.7</v>
      </c>
    </row>
    <row r="50" spans="1:7">
      <c r="A50" t="s">
        <v>761</v>
      </c>
      <c r="B50" s="273">
        <v>96.8</v>
      </c>
      <c r="C50" s="273">
        <v>42.7</v>
      </c>
      <c r="D50" s="273">
        <v>93.2</v>
      </c>
      <c r="E50" s="273">
        <v>64.900000000000006</v>
      </c>
      <c r="F50" s="273">
        <v>88.3</v>
      </c>
      <c r="G50" s="273">
        <v>85.8</v>
      </c>
    </row>
    <row r="51" spans="1:7">
      <c r="A51" t="s">
        <v>762</v>
      </c>
      <c r="B51" s="273">
        <v>101.3</v>
      </c>
      <c r="C51" s="273">
        <v>41.9</v>
      </c>
      <c r="D51" s="273">
        <v>94</v>
      </c>
      <c r="E51" s="273">
        <v>65.400000000000006</v>
      </c>
      <c r="F51" s="273">
        <v>87.3</v>
      </c>
      <c r="G51" s="273">
        <v>86</v>
      </c>
    </row>
    <row r="52" spans="1:7">
      <c r="A52" t="s">
        <v>763</v>
      </c>
      <c r="B52" s="273">
        <v>99.2</v>
      </c>
      <c r="C52" s="273">
        <v>41.5</v>
      </c>
      <c r="D52" s="273">
        <v>94</v>
      </c>
      <c r="E52" s="273">
        <v>67.400000000000006</v>
      </c>
      <c r="F52" s="273">
        <v>89.9</v>
      </c>
      <c r="G52" s="273">
        <v>86.3</v>
      </c>
    </row>
    <row r="53" spans="1:7">
      <c r="A53" t="s">
        <v>764</v>
      </c>
      <c r="B53" s="273">
        <v>107.8</v>
      </c>
      <c r="C53" s="273">
        <v>41</v>
      </c>
      <c r="D53" s="273">
        <v>94.1</v>
      </c>
      <c r="E53" s="273">
        <v>67.599999999999994</v>
      </c>
      <c r="F53" s="273">
        <v>88.7</v>
      </c>
      <c r="G53" s="273">
        <v>86.3</v>
      </c>
    </row>
    <row r="54" spans="1:7">
      <c r="A54" t="s">
        <v>765</v>
      </c>
      <c r="B54" s="273">
        <v>104.5</v>
      </c>
      <c r="C54" s="273">
        <v>40.799999999999997</v>
      </c>
      <c r="D54" s="273">
        <v>94.6</v>
      </c>
      <c r="E54" s="273">
        <v>67.2</v>
      </c>
      <c r="F54" s="273">
        <v>90.1</v>
      </c>
      <c r="G54" s="273">
        <v>86.8</v>
      </c>
    </row>
    <row r="55" spans="1:7">
      <c r="A55" t="s">
        <v>766</v>
      </c>
      <c r="B55" s="273">
        <v>101.8</v>
      </c>
      <c r="C55" s="273">
        <v>40.6</v>
      </c>
      <c r="D55" s="273">
        <v>94.7</v>
      </c>
      <c r="E55" s="273">
        <v>68</v>
      </c>
      <c r="F55" s="273">
        <v>88.3</v>
      </c>
      <c r="G55" s="273">
        <v>86.8</v>
      </c>
    </row>
    <row r="56" spans="1:7">
      <c r="A56" t="s">
        <v>767</v>
      </c>
      <c r="B56" s="273">
        <v>103.5</v>
      </c>
      <c r="C56" s="273">
        <v>40.700000000000003</v>
      </c>
      <c r="D56" s="273">
        <v>94.7</v>
      </c>
      <c r="E56" s="273">
        <v>69.3</v>
      </c>
      <c r="F56" s="273">
        <v>87.9</v>
      </c>
      <c r="G56" s="273">
        <v>86.5</v>
      </c>
    </row>
    <row r="57" spans="1:7">
      <c r="A57" t="s">
        <v>768</v>
      </c>
      <c r="B57" s="273">
        <v>102.9</v>
      </c>
      <c r="C57" s="273">
        <v>40.9</v>
      </c>
      <c r="D57" s="273">
        <v>93.1</v>
      </c>
      <c r="E57" s="273">
        <v>72.7</v>
      </c>
      <c r="F57" s="273">
        <v>90</v>
      </c>
      <c r="G57" s="273">
        <v>87</v>
      </c>
    </row>
    <row r="58" spans="1:7">
      <c r="A58" t="s">
        <v>769</v>
      </c>
      <c r="B58" s="273">
        <v>102.7</v>
      </c>
      <c r="C58" s="273">
        <v>41.4</v>
      </c>
      <c r="D58" s="273">
        <v>93.5</v>
      </c>
      <c r="E58" s="273">
        <v>71.2</v>
      </c>
      <c r="F58" s="273">
        <v>88.8</v>
      </c>
      <c r="G58" s="273">
        <v>87.5</v>
      </c>
    </row>
    <row r="59" spans="1:7">
      <c r="A59" t="s">
        <v>770</v>
      </c>
      <c r="B59" s="273">
        <v>102.6</v>
      </c>
      <c r="C59" s="273">
        <v>41.8</v>
      </c>
      <c r="D59" s="273">
        <v>93.4</v>
      </c>
      <c r="E59" s="273">
        <v>70.5</v>
      </c>
      <c r="F59" s="273">
        <v>88.5</v>
      </c>
      <c r="G59" s="273">
        <v>88</v>
      </c>
    </row>
    <row r="60" spans="1:7">
      <c r="A60" t="s">
        <v>771</v>
      </c>
      <c r="B60" s="273">
        <v>103.6</v>
      </c>
      <c r="C60" s="273">
        <v>42.2</v>
      </c>
      <c r="D60" s="273">
        <v>93.2</v>
      </c>
      <c r="E60" s="273">
        <v>72.8</v>
      </c>
      <c r="F60" s="273">
        <v>90.7</v>
      </c>
      <c r="G60" s="273">
        <v>88.1</v>
      </c>
    </row>
    <row r="61" spans="1:7">
      <c r="A61" t="s">
        <v>772</v>
      </c>
      <c r="B61" s="273">
        <v>102.8</v>
      </c>
      <c r="C61" s="273">
        <v>42.7</v>
      </c>
      <c r="D61" s="273">
        <v>93.8</v>
      </c>
      <c r="E61" s="273">
        <v>75</v>
      </c>
      <c r="F61" s="273">
        <v>89.4</v>
      </c>
      <c r="G61" s="273">
        <v>88.3</v>
      </c>
    </row>
    <row r="62" spans="1:7">
      <c r="A62" t="s">
        <v>773</v>
      </c>
      <c r="B62" s="273">
        <v>101.9</v>
      </c>
      <c r="C62" s="273">
        <v>42.9</v>
      </c>
      <c r="D62" s="273">
        <v>95.5</v>
      </c>
      <c r="E62" s="273">
        <v>75.2</v>
      </c>
      <c r="F62" s="273">
        <v>90.2</v>
      </c>
      <c r="G62" s="273">
        <v>88.6</v>
      </c>
    </row>
    <row r="63" spans="1:7">
      <c r="A63" t="s">
        <v>774</v>
      </c>
      <c r="B63" s="273">
        <v>104.5</v>
      </c>
      <c r="C63" s="273">
        <v>43</v>
      </c>
      <c r="D63" s="273">
        <v>96.3</v>
      </c>
      <c r="E63" s="273">
        <v>74.900000000000006</v>
      </c>
      <c r="F63" s="273">
        <v>89.8</v>
      </c>
      <c r="G63" s="273">
        <v>89.1</v>
      </c>
    </row>
    <row r="64" spans="1:7">
      <c r="A64" t="s">
        <v>775</v>
      </c>
      <c r="B64" s="273">
        <v>102.7</v>
      </c>
      <c r="C64" s="273">
        <v>42.5</v>
      </c>
      <c r="D64" s="273">
        <v>96.2</v>
      </c>
      <c r="E64" s="273">
        <v>74.8</v>
      </c>
      <c r="F64" s="273">
        <v>91.3</v>
      </c>
      <c r="G64" s="273">
        <v>89</v>
      </c>
    </row>
    <row r="65" spans="1:7">
      <c r="A65" t="s">
        <v>776</v>
      </c>
      <c r="B65" s="273">
        <v>102.7</v>
      </c>
      <c r="C65" s="273">
        <v>41.6</v>
      </c>
      <c r="D65" s="273">
        <v>94.9</v>
      </c>
      <c r="E65" s="273">
        <v>73.900000000000006</v>
      </c>
      <c r="F65" s="273">
        <v>91.1</v>
      </c>
      <c r="G65" s="273">
        <v>89.2</v>
      </c>
    </row>
    <row r="66" spans="1:7">
      <c r="A66" t="s">
        <v>777</v>
      </c>
      <c r="B66" s="273">
        <v>101.2</v>
      </c>
      <c r="C66" s="273">
        <v>40.4</v>
      </c>
      <c r="D66" s="273">
        <v>93.8</v>
      </c>
      <c r="E66" s="273">
        <v>76.599999999999994</v>
      </c>
      <c r="F66" s="273">
        <v>90.6</v>
      </c>
      <c r="G66" s="273">
        <v>89.6</v>
      </c>
    </row>
    <row r="67" spans="1:7">
      <c r="A67" t="s">
        <v>778</v>
      </c>
      <c r="B67" s="273">
        <v>105.1</v>
      </c>
      <c r="C67" s="273">
        <v>39.1</v>
      </c>
      <c r="D67" s="273">
        <v>92.4</v>
      </c>
      <c r="E67" s="273">
        <v>74.099999999999994</v>
      </c>
      <c r="F67" s="273">
        <v>92.4</v>
      </c>
      <c r="G67" s="273">
        <v>89.7</v>
      </c>
    </row>
    <row r="68" spans="1:7">
      <c r="A68" t="s">
        <v>779</v>
      </c>
      <c r="B68" s="273">
        <v>102.8</v>
      </c>
      <c r="C68" s="273">
        <v>37.6</v>
      </c>
      <c r="D68" s="273">
        <v>91.9</v>
      </c>
      <c r="E68" s="273">
        <v>74</v>
      </c>
      <c r="F68" s="273">
        <v>91.9</v>
      </c>
      <c r="G68" s="273">
        <v>89.7</v>
      </c>
    </row>
    <row r="69" spans="1:7">
      <c r="A69" t="s">
        <v>780</v>
      </c>
      <c r="B69" s="273">
        <v>101</v>
      </c>
      <c r="C69" s="273">
        <v>35.799999999999997</v>
      </c>
      <c r="D69" s="273">
        <v>89.9</v>
      </c>
      <c r="E69" s="273">
        <v>74.599999999999994</v>
      </c>
      <c r="F69" s="273">
        <v>93.6</v>
      </c>
      <c r="G69" s="273">
        <v>89.6</v>
      </c>
    </row>
    <row r="70" spans="1:7">
      <c r="A70" t="s">
        <v>781</v>
      </c>
      <c r="B70" s="273">
        <v>102.7</v>
      </c>
      <c r="C70" s="273">
        <v>34.4</v>
      </c>
      <c r="D70" s="273">
        <v>88.7</v>
      </c>
      <c r="E70" s="273">
        <v>75.400000000000006</v>
      </c>
      <c r="F70" s="273">
        <v>93.1</v>
      </c>
      <c r="G70" s="273">
        <v>89.9</v>
      </c>
    </row>
    <row r="71" spans="1:7">
      <c r="A71" t="s">
        <v>782</v>
      </c>
      <c r="B71" s="273">
        <v>103.4</v>
      </c>
      <c r="C71" s="273">
        <v>33.200000000000003</v>
      </c>
      <c r="D71" s="273">
        <v>87.9</v>
      </c>
      <c r="E71" s="273">
        <v>73.7</v>
      </c>
      <c r="F71" s="273">
        <v>94.5</v>
      </c>
      <c r="G71" s="273">
        <v>89.9</v>
      </c>
    </row>
    <row r="72" spans="1:7">
      <c r="A72" t="s">
        <v>783</v>
      </c>
      <c r="B72" s="273">
        <v>104.9</v>
      </c>
      <c r="C72" s="273">
        <v>32.700000000000003</v>
      </c>
      <c r="D72" s="273">
        <v>88.5</v>
      </c>
      <c r="E72" s="273">
        <v>75.099999999999994</v>
      </c>
      <c r="F72" s="273">
        <v>95.9</v>
      </c>
      <c r="G72" s="273">
        <v>90.4</v>
      </c>
    </row>
    <row r="73" spans="1:7">
      <c r="A73" t="s">
        <v>784</v>
      </c>
      <c r="B73" s="273">
        <v>101</v>
      </c>
      <c r="C73" s="273">
        <v>32.5</v>
      </c>
      <c r="D73" s="273">
        <v>85.4</v>
      </c>
      <c r="E73" s="273">
        <v>74.099999999999994</v>
      </c>
      <c r="F73" s="273">
        <v>95.2</v>
      </c>
      <c r="G73" s="273">
        <v>90.3</v>
      </c>
    </row>
    <row r="74" spans="1:7">
      <c r="A74" t="s">
        <v>785</v>
      </c>
      <c r="B74" s="273">
        <v>104.5</v>
      </c>
      <c r="C74" s="273">
        <v>32.700000000000003</v>
      </c>
      <c r="D74" s="273">
        <v>83.5</v>
      </c>
      <c r="E74" s="273">
        <v>73.400000000000006</v>
      </c>
      <c r="F74" s="273">
        <v>94.8</v>
      </c>
      <c r="G74" s="273">
        <v>90.2</v>
      </c>
    </row>
    <row r="75" spans="1:7">
      <c r="A75" t="s">
        <v>786</v>
      </c>
      <c r="B75" s="273">
        <v>100</v>
      </c>
      <c r="C75" s="273">
        <v>33.4</v>
      </c>
      <c r="D75" s="273">
        <v>81</v>
      </c>
      <c r="E75" s="273">
        <v>75.2</v>
      </c>
      <c r="F75" s="273">
        <v>94.7</v>
      </c>
      <c r="G75" s="273">
        <v>90.5</v>
      </c>
    </row>
    <row r="76" spans="1:7">
      <c r="A76" t="s">
        <v>787</v>
      </c>
      <c r="B76" s="273">
        <v>101.8</v>
      </c>
      <c r="C76" s="273">
        <v>34.200000000000003</v>
      </c>
      <c r="D76" s="273">
        <v>81.900000000000006</v>
      </c>
      <c r="E76" s="273">
        <v>75.8</v>
      </c>
      <c r="F76" s="273">
        <v>93.1</v>
      </c>
      <c r="G76" s="273">
        <v>90.5</v>
      </c>
    </row>
    <row r="77" spans="1:7">
      <c r="A77" t="s">
        <v>788</v>
      </c>
      <c r="B77" s="273">
        <v>102.3</v>
      </c>
      <c r="C77" s="273">
        <v>35.299999999999997</v>
      </c>
      <c r="D77" s="273">
        <v>81.5</v>
      </c>
      <c r="E77" s="273">
        <v>73.3</v>
      </c>
      <c r="F77" s="273">
        <v>93</v>
      </c>
      <c r="G77" s="273">
        <v>90.6</v>
      </c>
    </row>
    <row r="78" spans="1:7">
      <c r="A78" t="s">
        <v>789</v>
      </c>
      <c r="B78" s="273">
        <v>100.5</v>
      </c>
      <c r="C78" s="273">
        <v>37.299999999999997</v>
      </c>
      <c r="D78" s="273">
        <v>82.6</v>
      </c>
      <c r="E78" s="273">
        <v>74.3</v>
      </c>
      <c r="F78" s="273">
        <v>94.6</v>
      </c>
      <c r="G78" s="273">
        <v>91</v>
      </c>
    </row>
    <row r="79" spans="1:7">
      <c r="A79" t="s">
        <v>790</v>
      </c>
      <c r="B79" s="273">
        <v>99.4</v>
      </c>
      <c r="C79" s="273">
        <v>38.9</v>
      </c>
      <c r="D79" s="273">
        <v>84.1</v>
      </c>
      <c r="E79" s="273">
        <v>76.2</v>
      </c>
      <c r="F79" s="273">
        <v>93.4</v>
      </c>
      <c r="G79" s="273">
        <v>90.8</v>
      </c>
    </row>
    <row r="80" spans="1:7">
      <c r="A80" t="s">
        <v>791</v>
      </c>
      <c r="B80" s="273">
        <v>97.6</v>
      </c>
      <c r="C80" s="273">
        <v>40.4</v>
      </c>
      <c r="D80" s="273">
        <v>84.6</v>
      </c>
      <c r="E80" s="273">
        <v>76.5</v>
      </c>
      <c r="F80" s="273">
        <v>96</v>
      </c>
      <c r="G80" s="273">
        <v>91.1</v>
      </c>
    </row>
    <row r="81" spans="1:7">
      <c r="A81" t="s">
        <v>792</v>
      </c>
      <c r="B81" s="273">
        <v>103.4</v>
      </c>
      <c r="C81" s="273">
        <v>41.7</v>
      </c>
      <c r="D81" s="273">
        <v>84.9</v>
      </c>
      <c r="E81" s="273">
        <v>76.5</v>
      </c>
      <c r="F81" s="273">
        <v>94.6</v>
      </c>
      <c r="G81" s="273">
        <v>91.2</v>
      </c>
    </row>
    <row r="82" spans="1:7">
      <c r="A82" t="s">
        <v>793</v>
      </c>
      <c r="B82" s="273">
        <v>104.6</v>
      </c>
      <c r="C82" s="273">
        <v>42.5</v>
      </c>
      <c r="D82" s="273">
        <v>86.4</v>
      </c>
      <c r="E82" s="273">
        <v>79.3</v>
      </c>
      <c r="F82" s="273">
        <v>94</v>
      </c>
      <c r="G82" s="273">
        <v>91.4</v>
      </c>
    </row>
    <row r="83" spans="1:7">
      <c r="A83" t="s">
        <v>794</v>
      </c>
      <c r="B83" s="273">
        <v>102.6</v>
      </c>
      <c r="C83" s="273">
        <v>42.9</v>
      </c>
      <c r="D83" s="273">
        <v>88.3</v>
      </c>
      <c r="E83" s="273">
        <v>79.900000000000006</v>
      </c>
      <c r="F83" s="273">
        <v>93.4</v>
      </c>
      <c r="G83" s="273">
        <v>91.6</v>
      </c>
    </row>
    <row r="84" spans="1:7">
      <c r="A84" t="s">
        <v>795</v>
      </c>
      <c r="B84" s="273">
        <v>103.1</v>
      </c>
      <c r="C84" s="273">
        <v>42.6</v>
      </c>
      <c r="D84" s="273">
        <v>90.1</v>
      </c>
      <c r="E84" s="273">
        <v>79.900000000000006</v>
      </c>
      <c r="F84" s="273">
        <v>93.3</v>
      </c>
      <c r="G84" s="273">
        <v>92.1</v>
      </c>
    </row>
    <row r="85" spans="1:7">
      <c r="A85" t="s">
        <v>796</v>
      </c>
      <c r="B85" s="273">
        <v>103.3</v>
      </c>
      <c r="C85" s="273">
        <v>42.7</v>
      </c>
      <c r="D85" s="273">
        <v>93.9</v>
      </c>
      <c r="E85" s="273">
        <v>82.8</v>
      </c>
      <c r="F85" s="273">
        <v>93</v>
      </c>
      <c r="G85" s="273">
        <v>91.9</v>
      </c>
    </row>
    <row r="86" spans="1:7">
      <c r="A86" t="s">
        <v>797</v>
      </c>
      <c r="B86" s="273">
        <v>102.8</v>
      </c>
      <c r="C86" s="273">
        <v>42.3</v>
      </c>
      <c r="D86" s="273">
        <v>95.5</v>
      </c>
      <c r="E86" s="273">
        <v>82</v>
      </c>
      <c r="F86" s="273">
        <v>92.3</v>
      </c>
      <c r="G86" s="273">
        <v>92.1</v>
      </c>
    </row>
    <row r="87" spans="1:7">
      <c r="A87" t="s">
        <v>798</v>
      </c>
      <c r="B87" s="273">
        <v>103.6</v>
      </c>
      <c r="C87" s="273">
        <v>41.7</v>
      </c>
      <c r="D87" s="273">
        <v>94.8</v>
      </c>
      <c r="E87" s="273">
        <v>82</v>
      </c>
      <c r="F87" s="273">
        <v>92.5</v>
      </c>
      <c r="G87" s="273">
        <v>92.2</v>
      </c>
    </row>
    <row r="88" spans="1:7">
      <c r="A88" t="s">
        <v>799</v>
      </c>
      <c r="B88" s="273">
        <v>103.1</v>
      </c>
      <c r="C88" s="273">
        <v>41.8</v>
      </c>
      <c r="D88" s="273">
        <v>95</v>
      </c>
      <c r="E88" s="273">
        <v>82.9</v>
      </c>
      <c r="F88" s="273">
        <v>91.8</v>
      </c>
      <c r="G88" s="273">
        <v>92.4</v>
      </c>
    </row>
    <row r="89" spans="1:7">
      <c r="A89" t="s">
        <v>800</v>
      </c>
      <c r="B89" s="273">
        <v>101</v>
      </c>
      <c r="C89" s="273">
        <v>42.5</v>
      </c>
      <c r="D89" s="273">
        <v>94.6</v>
      </c>
      <c r="E89" s="273">
        <v>81.7</v>
      </c>
      <c r="F89" s="273">
        <v>92.1</v>
      </c>
      <c r="G89" s="273">
        <v>92.9</v>
      </c>
    </row>
    <row r="90" spans="1:7">
      <c r="A90" t="s">
        <v>801</v>
      </c>
      <c r="B90" s="273">
        <v>99.2</v>
      </c>
      <c r="C90" s="273">
        <v>42.3</v>
      </c>
      <c r="D90" s="273">
        <v>91</v>
      </c>
      <c r="E90" s="273">
        <v>82.9</v>
      </c>
      <c r="F90" s="273">
        <v>90.8</v>
      </c>
      <c r="G90" s="273">
        <v>92.7</v>
      </c>
    </row>
    <row r="91" spans="1:7">
      <c r="A91" t="s">
        <v>802</v>
      </c>
      <c r="B91" s="273">
        <v>101.9</v>
      </c>
      <c r="C91" s="273">
        <v>44.3</v>
      </c>
      <c r="D91" s="273">
        <v>91.5</v>
      </c>
      <c r="E91" s="273">
        <v>81.5</v>
      </c>
      <c r="F91" s="273">
        <v>91.2</v>
      </c>
      <c r="G91" s="273">
        <v>93.1</v>
      </c>
    </row>
    <row r="92" spans="1:7">
      <c r="A92" t="s">
        <v>803</v>
      </c>
      <c r="B92" s="273">
        <v>106</v>
      </c>
      <c r="C92" s="273">
        <v>46.4</v>
      </c>
      <c r="D92" s="273">
        <v>91.1</v>
      </c>
      <c r="E92" s="273">
        <v>80.400000000000006</v>
      </c>
      <c r="F92" s="273">
        <v>94.4</v>
      </c>
      <c r="G92" s="273">
        <v>93.7</v>
      </c>
    </row>
    <row r="93" spans="1:7">
      <c r="A93" t="s">
        <v>804</v>
      </c>
      <c r="B93" s="273">
        <v>100.7</v>
      </c>
      <c r="C93" s="273">
        <v>48.3</v>
      </c>
      <c r="D93" s="273">
        <v>92.5</v>
      </c>
      <c r="E93" s="273">
        <v>78.2</v>
      </c>
      <c r="F93" s="273">
        <v>95.6</v>
      </c>
      <c r="G93" s="273">
        <v>93.9</v>
      </c>
    </row>
    <row r="94" spans="1:7">
      <c r="A94" t="s">
        <v>805</v>
      </c>
      <c r="B94" s="273">
        <v>97.9</v>
      </c>
      <c r="C94" s="273">
        <v>50.7</v>
      </c>
      <c r="D94" s="273">
        <v>94.7</v>
      </c>
      <c r="E94" s="273">
        <v>80.400000000000006</v>
      </c>
      <c r="F94" s="273">
        <v>96</v>
      </c>
      <c r="G94" s="273">
        <v>94</v>
      </c>
    </row>
    <row r="95" spans="1:7">
      <c r="A95" t="s">
        <v>806</v>
      </c>
      <c r="B95" s="273">
        <v>98.2</v>
      </c>
      <c r="C95" s="273">
        <v>52.8</v>
      </c>
      <c r="D95" s="273">
        <v>96.4</v>
      </c>
      <c r="E95" s="273">
        <v>82.5</v>
      </c>
      <c r="F95" s="273">
        <v>96.6</v>
      </c>
      <c r="G95" s="273">
        <v>94.1</v>
      </c>
    </row>
    <row r="96" spans="1:7">
      <c r="A96" t="s">
        <v>807</v>
      </c>
      <c r="B96" s="273">
        <v>98.2</v>
      </c>
      <c r="C96" s="273">
        <v>55.3</v>
      </c>
      <c r="D96" s="273">
        <v>97.8</v>
      </c>
      <c r="E96" s="273">
        <v>82.3</v>
      </c>
      <c r="F96" s="273">
        <v>97.2</v>
      </c>
      <c r="G96" s="273">
        <v>94.4</v>
      </c>
    </row>
    <row r="97" spans="1:7">
      <c r="A97" t="s">
        <v>808</v>
      </c>
      <c r="B97" s="273">
        <v>98.3</v>
      </c>
      <c r="C97" s="273">
        <v>57.4</v>
      </c>
      <c r="D97" s="273">
        <v>97.6</v>
      </c>
      <c r="E97" s="273">
        <v>82.3</v>
      </c>
      <c r="F97" s="273">
        <v>96.2</v>
      </c>
      <c r="G97" s="273">
        <v>94.6</v>
      </c>
    </row>
    <row r="98" spans="1:7">
      <c r="A98" t="s">
        <v>809</v>
      </c>
      <c r="B98" s="273">
        <v>100.5</v>
      </c>
      <c r="C98" s="273">
        <v>58.9</v>
      </c>
      <c r="D98" s="273">
        <v>95.4</v>
      </c>
      <c r="E98" s="273">
        <v>84</v>
      </c>
      <c r="F98" s="273">
        <v>96.5</v>
      </c>
      <c r="G98" s="273">
        <v>94.6</v>
      </c>
    </row>
    <row r="99" spans="1:7">
      <c r="A99" t="s">
        <v>810</v>
      </c>
      <c r="B99" s="273">
        <v>99.3</v>
      </c>
      <c r="C99" s="273">
        <v>60.4</v>
      </c>
      <c r="D99" s="273">
        <v>93.2</v>
      </c>
      <c r="E99" s="273">
        <v>82</v>
      </c>
      <c r="F99" s="273">
        <v>95.7</v>
      </c>
      <c r="G99" s="273">
        <v>94.8</v>
      </c>
    </row>
    <row r="100" spans="1:7">
      <c r="A100" t="s">
        <v>811</v>
      </c>
      <c r="B100" s="273">
        <v>100.9</v>
      </c>
      <c r="C100" s="273">
        <v>61.1</v>
      </c>
      <c r="D100" s="273">
        <v>92.2</v>
      </c>
      <c r="E100" s="273">
        <v>82.4</v>
      </c>
      <c r="F100" s="273">
        <v>97.4</v>
      </c>
      <c r="G100" s="273">
        <v>95</v>
      </c>
    </row>
    <row r="101" spans="1:7">
      <c r="A101" t="s">
        <v>812</v>
      </c>
      <c r="B101" s="273">
        <v>102.2</v>
      </c>
      <c r="C101" s="273">
        <v>62.1</v>
      </c>
      <c r="D101" s="273">
        <v>94.1</v>
      </c>
      <c r="E101" s="273">
        <v>84.1</v>
      </c>
      <c r="F101" s="273">
        <v>96.2</v>
      </c>
      <c r="G101" s="273">
        <v>95.4</v>
      </c>
    </row>
    <row r="102" spans="1:7">
      <c r="A102" t="s">
        <v>813</v>
      </c>
      <c r="B102" s="273">
        <v>105.8</v>
      </c>
      <c r="C102" s="273">
        <v>62.7</v>
      </c>
      <c r="D102" s="273">
        <v>97.6</v>
      </c>
      <c r="E102" s="273">
        <v>83.2</v>
      </c>
      <c r="F102" s="273">
        <v>95.4</v>
      </c>
      <c r="G102" s="273">
        <v>95.4</v>
      </c>
    </row>
    <row r="103" spans="1:7">
      <c r="A103" t="s">
        <v>814</v>
      </c>
      <c r="B103" s="273">
        <v>105.5</v>
      </c>
      <c r="C103" s="273">
        <v>63</v>
      </c>
      <c r="D103" s="273">
        <v>101</v>
      </c>
      <c r="E103" s="273">
        <v>83.9</v>
      </c>
      <c r="F103" s="273">
        <v>97.2</v>
      </c>
      <c r="G103" s="273">
        <v>95.6</v>
      </c>
    </row>
    <row r="104" spans="1:7">
      <c r="A104" t="s">
        <v>815</v>
      </c>
      <c r="B104" s="273">
        <v>110.2</v>
      </c>
      <c r="C104" s="273">
        <v>63.2</v>
      </c>
      <c r="D104" s="273">
        <v>103.8</v>
      </c>
      <c r="E104" s="273">
        <v>82.2</v>
      </c>
      <c r="F104" s="273">
        <v>100</v>
      </c>
      <c r="G104" s="273">
        <v>95.9</v>
      </c>
    </row>
    <row r="105" spans="1:7">
      <c r="A105" t="s">
        <v>816</v>
      </c>
      <c r="B105" s="273">
        <v>104.9</v>
      </c>
      <c r="C105" s="273">
        <v>63.4</v>
      </c>
      <c r="D105" s="273">
        <v>105.1</v>
      </c>
      <c r="E105" s="273">
        <v>82.6</v>
      </c>
      <c r="F105" s="273">
        <v>96.5</v>
      </c>
      <c r="G105" s="273">
        <v>95.7</v>
      </c>
    </row>
    <row r="106" spans="1:7">
      <c r="A106" t="s">
        <v>817</v>
      </c>
      <c r="B106" s="273">
        <v>106.5</v>
      </c>
      <c r="C106" s="273">
        <v>63.3</v>
      </c>
      <c r="D106" s="273">
        <v>105</v>
      </c>
      <c r="E106" s="273">
        <v>80.400000000000006</v>
      </c>
      <c r="F106" s="273">
        <v>96.3</v>
      </c>
      <c r="G106" s="273">
        <v>95.8</v>
      </c>
    </row>
    <row r="107" spans="1:7">
      <c r="A107" t="s">
        <v>818</v>
      </c>
      <c r="B107" s="273">
        <v>105.2</v>
      </c>
      <c r="C107" s="273">
        <v>63</v>
      </c>
      <c r="D107" s="273">
        <v>103</v>
      </c>
      <c r="E107" s="273">
        <v>82.4</v>
      </c>
      <c r="F107" s="273">
        <v>94.6</v>
      </c>
      <c r="G107" s="273">
        <v>95.7</v>
      </c>
    </row>
    <row r="108" spans="1:7">
      <c r="A108" t="s">
        <v>819</v>
      </c>
      <c r="B108" s="273">
        <v>103.2</v>
      </c>
      <c r="C108" s="273">
        <v>62.3</v>
      </c>
      <c r="D108" s="273">
        <v>100.9</v>
      </c>
      <c r="E108" s="273">
        <v>82.4</v>
      </c>
      <c r="F108" s="273">
        <v>93.5</v>
      </c>
      <c r="G108" s="273">
        <v>95.7</v>
      </c>
    </row>
    <row r="109" spans="1:7">
      <c r="A109" t="s">
        <v>820</v>
      </c>
      <c r="B109" s="273">
        <v>99</v>
      </c>
      <c r="C109" s="273">
        <v>61.5</v>
      </c>
      <c r="D109" s="273">
        <v>96.1</v>
      </c>
      <c r="E109" s="273">
        <v>82.8</v>
      </c>
      <c r="F109" s="273">
        <v>95.1</v>
      </c>
      <c r="G109" s="273">
        <v>95.9</v>
      </c>
    </row>
    <row r="110" spans="1:7">
      <c r="A110" t="s">
        <v>821</v>
      </c>
      <c r="B110" s="273">
        <v>104.2</v>
      </c>
      <c r="C110" s="273">
        <v>61.2</v>
      </c>
      <c r="D110" s="273">
        <v>100.3</v>
      </c>
      <c r="E110" s="273">
        <v>85.3</v>
      </c>
      <c r="F110" s="273">
        <v>95.7</v>
      </c>
      <c r="G110" s="273">
        <v>96.2</v>
      </c>
    </row>
    <row r="111" spans="1:7">
      <c r="A111" t="s">
        <v>822</v>
      </c>
      <c r="B111" s="273">
        <v>105.4</v>
      </c>
      <c r="C111" s="273">
        <v>61</v>
      </c>
      <c r="D111" s="273">
        <v>101.9</v>
      </c>
      <c r="E111" s="273">
        <v>82.1</v>
      </c>
      <c r="F111" s="273">
        <v>95.3</v>
      </c>
      <c r="G111" s="273">
        <v>96</v>
      </c>
    </row>
    <row r="112" spans="1:7">
      <c r="A112" t="s">
        <v>823</v>
      </c>
      <c r="B112" s="273">
        <v>105.3</v>
      </c>
      <c r="C112" s="273">
        <v>61</v>
      </c>
      <c r="D112" s="273">
        <v>102.6</v>
      </c>
      <c r="E112" s="273">
        <v>87.3</v>
      </c>
      <c r="F112" s="273">
        <v>94.5</v>
      </c>
      <c r="G112" s="273">
        <v>96.3</v>
      </c>
    </row>
    <row r="113" spans="1:7">
      <c r="A113" t="s">
        <v>824</v>
      </c>
      <c r="B113" s="273">
        <v>103.8</v>
      </c>
      <c r="C113" s="273">
        <v>61.6</v>
      </c>
      <c r="D113" s="273">
        <v>102.4</v>
      </c>
      <c r="E113" s="273">
        <v>88.2</v>
      </c>
      <c r="F113" s="273">
        <v>95</v>
      </c>
      <c r="G113" s="273">
        <v>96.5</v>
      </c>
    </row>
    <row r="114" spans="1:7">
      <c r="A114" t="s">
        <v>825</v>
      </c>
      <c r="B114" s="273">
        <v>103.5</v>
      </c>
      <c r="C114" s="273">
        <v>62.5</v>
      </c>
      <c r="D114" s="273">
        <v>101</v>
      </c>
      <c r="E114" s="273">
        <v>87.8</v>
      </c>
      <c r="F114" s="273">
        <v>95.1</v>
      </c>
      <c r="G114" s="273">
        <v>96.4</v>
      </c>
    </row>
    <row r="115" spans="1:7">
      <c r="A115" t="s">
        <v>826</v>
      </c>
      <c r="B115" s="273">
        <v>91.2</v>
      </c>
      <c r="C115" s="273">
        <v>63.8</v>
      </c>
      <c r="D115" s="273">
        <v>99.7</v>
      </c>
      <c r="E115" s="273">
        <v>87.7</v>
      </c>
      <c r="F115" s="273">
        <v>94.9</v>
      </c>
      <c r="G115" s="273">
        <v>96.5</v>
      </c>
    </row>
    <row r="116" spans="1:7">
      <c r="A116" t="s">
        <v>827</v>
      </c>
      <c r="B116" s="273">
        <v>95.3</v>
      </c>
      <c r="C116" s="273">
        <v>65.3</v>
      </c>
      <c r="D116" s="273">
        <v>98.9</v>
      </c>
      <c r="E116" s="273">
        <v>88.7</v>
      </c>
      <c r="F116" s="273">
        <v>92.6</v>
      </c>
      <c r="G116" s="273">
        <v>96.2</v>
      </c>
    </row>
    <row r="117" spans="1:7">
      <c r="A117" t="s">
        <v>828</v>
      </c>
      <c r="B117" s="273">
        <v>102</v>
      </c>
      <c r="C117" s="273">
        <v>67.3</v>
      </c>
      <c r="D117" s="273">
        <v>99.5</v>
      </c>
      <c r="E117" s="273">
        <v>87.5</v>
      </c>
      <c r="F117" s="273">
        <v>94.6</v>
      </c>
      <c r="G117" s="273">
        <v>96.7</v>
      </c>
    </row>
    <row r="118" spans="1:7">
      <c r="A118" t="s">
        <v>829</v>
      </c>
      <c r="B118" s="273">
        <v>101.2</v>
      </c>
      <c r="C118" s="273">
        <v>69.3</v>
      </c>
      <c r="D118" s="273">
        <v>103.4</v>
      </c>
      <c r="E118" s="273">
        <v>89.4</v>
      </c>
      <c r="F118" s="273">
        <v>96.7</v>
      </c>
      <c r="G118" s="273">
        <v>97.3</v>
      </c>
    </row>
    <row r="119" spans="1:7">
      <c r="A119" t="s">
        <v>830</v>
      </c>
      <c r="B119" s="273">
        <v>101.1</v>
      </c>
      <c r="C119" s="273">
        <v>71.2</v>
      </c>
      <c r="D119" s="273">
        <v>106.7</v>
      </c>
      <c r="E119" s="273">
        <v>89.2</v>
      </c>
      <c r="F119" s="273">
        <v>95</v>
      </c>
      <c r="G119" s="273">
        <v>97.3</v>
      </c>
    </row>
    <row r="120" spans="1:7">
      <c r="A120" t="s">
        <v>831</v>
      </c>
      <c r="B120" s="273">
        <v>99.8</v>
      </c>
      <c r="C120" s="273">
        <v>72.900000000000006</v>
      </c>
      <c r="D120" s="273">
        <v>108.3</v>
      </c>
      <c r="E120" s="273">
        <v>89.6</v>
      </c>
      <c r="F120" s="273">
        <v>95.5</v>
      </c>
      <c r="G120" s="273">
        <v>97</v>
      </c>
    </row>
    <row r="121" spans="1:7">
      <c r="A121" t="s">
        <v>832</v>
      </c>
      <c r="B121" s="273">
        <v>102.1</v>
      </c>
      <c r="C121" s="273">
        <v>74.099999999999994</v>
      </c>
      <c r="D121" s="273">
        <v>108</v>
      </c>
      <c r="E121" s="273">
        <v>90.7</v>
      </c>
      <c r="F121" s="273">
        <v>95</v>
      </c>
      <c r="G121" s="273">
        <v>97.4</v>
      </c>
    </row>
    <row r="122" spans="1:7">
      <c r="A122" t="s">
        <v>833</v>
      </c>
      <c r="B122" s="273">
        <v>102</v>
      </c>
      <c r="C122" s="273">
        <v>75.3</v>
      </c>
      <c r="D122" s="273">
        <v>106.2</v>
      </c>
      <c r="E122" s="273">
        <v>93.6</v>
      </c>
      <c r="F122" s="273">
        <v>95</v>
      </c>
      <c r="G122" s="273">
        <v>97.9</v>
      </c>
    </row>
    <row r="123" spans="1:7">
      <c r="A123" t="s">
        <v>834</v>
      </c>
      <c r="B123" s="273">
        <v>103.4</v>
      </c>
      <c r="C123" s="273">
        <v>76.099999999999994</v>
      </c>
      <c r="D123" s="273">
        <v>102.9</v>
      </c>
      <c r="E123" s="273">
        <v>91.8</v>
      </c>
      <c r="F123" s="273">
        <v>95.7</v>
      </c>
      <c r="G123" s="273">
        <v>98.2</v>
      </c>
    </row>
    <row r="124" spans="1:7">
      <c r="A124" t="s">
        <v>835</v>
      </c>
      <c r="B124" s="273">
        <v>104.9</v>
      </c>
      <c r="C124" s="273">
        <v>76.400000000000006</v>
      </c>
      <c r="D124" s="273">
        <v>99.8</v>
      </c>
      <c r="E124" s="273">
        <v>93.1</v>
      </c>
      <c r="F124" s="273">
        <v>96.2</v>
      </c>
      <c r="G124" s="273">
        <v>98</v>
      </c>
    </row>
    <row r="125" spans="1:7">
      <c r="A125" t="s">
        <v>836</v>
      </c>
      <c r="B125" s="273">
        <v>105.9</v>
      </c>
      <c r="C125" s="273">
        <v>76.900000000000006</v>
      </c>
      <c r="D125" s="273">
        <v>100.7</v>
      </c>
      <c r="E125" s="273">
        <v>96</v>
      </c>
      <c r="F125" s="273">
        <v>96</v>
      </c>
      <c r="G125" s="273">
        <v>98.5</v>
      </c>
    </row>
    <row r="126" spans="1:7">
      <c r="A126" t="s">
        <v>837</v>
      </c>
      <c r="B126" s="273">
        <v>106.8</v>
      </c>
      <c r="C126" s="273">
        <v>78.599999999999994</v>
      </c>
      <c r="D126" s="273">
        <v>101.7</v>
      </c>
      <c r="E126" s="273">
        <v>92.9</v>
      </c>
      <c r="F126" s="273">
        <v>94.5</v>
      </c>
      <c r="G126" s="273">
        <v>98.3</v>
      </c>
    </row>
    <row r="127" spans="1:7">
      <c r="A127" t="s">
        <v>838</v>
      </c>
      <c r="B127" s="273">
        <v>110</v>
      </c>
      <c r="C127" s="273">
        <v>81</v>
      </c>
      <c r="D127" s="273">
        <v>106.5</v>
      </c>
      <c r="E127" s="273">
        <v>92.1</v>
      </c>
      <c r="F127" s="273">
        <v>95.9</v>
      </c>
      <c r="G127" s="273">
        <v>98.1</v>
      </c>
    </row>
    <row r="128" spans="1:7">
      <c r="A128" t="s">
        <v>839</v>
      </c>
      <c r="B128" s="273">
        <v>112.8</v>
      </c>
      <c r="C128" s="273">
        <v>81.5</v>
      </c>
      <c r="D128" s="273">
        <v>116.3</v>
      </c>
      <c r="E128" s="273">
        <v>93</v>
      </c>
      <c r="F128" s="273">
        <v>96.8</v>
      </c>
      <c r="G128" s="273">
        <v>98.5</v>
      </c>
    </row>
    <row r="129" spans="1:7">
      <c r="A129" t="s">
        <v>840</v>
      </c>
      <c r="B129" s="273">
        <v>112.8</v>
      </c>
      <c r="C129" s="273">
        <v>80.5</v>
      </c>
      <c r="D129" s="273">
        <v>127.8</v>
      </c>
      <c r="E129" s="273">
        <v>92.5</v>
      </c>
      <c r="F129" s="273">
        <v>96.7</v>
      </c>
      <c r="G129" s="273">
        <v>98.6</v>
      </c>
    </row>
    <row r="130" spans="1:7">
      <c r="A130" t="s">
        <v>841</v>
      </c>
      <c r="B130" s="273">
        <v>117.6</v>
      </c>
      <c r="C130" s="273">
        <v>79.8</v>
      </c>
      <c r="D130" s="273">
        <v>127</v>
      </c>
      <c r="E130" s="273">
        <v>94.4</v>
      </c>
      <c r="F130" s="273">
        <v>97.1</v>
      </c>
      <c r="G130" s="273">
        <v>98.1</v>
      </c>
    </row>
    <row r="131" spans="1:7">
      <c r="A131" t="s">
        <v>842</v>
      </c>
      <c r="B131" s="273">
        <v>105.8</v>
      </c>
      <c r="C131" s="273">
        <v>59.4</v>
      </c>
      <c r="D131" s="273">
        <v>119.8</v>
      </c>
      <c r="E131" s="273">
        <v>95.1</v>
      </c>
      <c r="F131" s="273">
        <v>92.5</v>
      </c>
      <c r="G131" s="273">
        <v>91</v>
      </c>
    </row>
    <row r="132" spans="1:7">
      <c r="A132" t="s">
        <v>843</v>
      </c>
      <c r="B132" s="273">
        <v>79.3</v>
      </c>
      <c r="C132" s="273">
        <v>50</v>
      </c>
      <c r="D132" s="273">
        <v>98.5</v>
      </c>
      <c r="E132" s="273">
        <v>89.8</v>
      </c>
      <c r="F132" s="273">
        <v>54</v>
      </c>
      <c r="G132" s="273">
        <v>73.2</v>
      </c>
    </row>
    <row r="133" spans="1:7">
      <c r="A133" t="s">
        <v>844</v>
      </c>
      <c r="B133" s="273">
        <v>87.3</v>
      </c>
      <c r="C133" s="273">
        <v>59.1</v>
      </c>
      <c r="D133" s="273">
        <v>91.5</v>
      </c>
      <c r="E133" s="273">
        <v>88.4</v>
      </c>
      <c r="F133" s="273">
        <v>59.3</v>
      </c>
      <c r="G133" s="273">
        <v>74.7</v>
      </c>
    </row>
    <row r="134" spans="1:7">
      <c r="A134" t="s">
        <v>845</v>
      </c>
      <c r="B134" s="273">
        <v>102.9</v>
      </c>
      <c r="C134" s="273">
        <v>76.099999999999994</v>
      </c>
      <c r="D134" s="273">
        <v>99.2</v>
      </c>
      <c r="E134" s="273">
        <v>88.7</v>
      </c>
      <c r="F134" s="273">
        <v>72.7</v>
      </c>
      <c r="G134" s="273">
        <v>81.7</v>
      </c>
    </row>
    <row r="135" spans="1:7">
      <c r="A135" t="s">
        <v>846</v>
      </c>
      <c r="B135" s="273">
        <v>105.8</v>
      </c>
      <c r="C135" s="273">
        <v>69.7</v>
      </c>
      <c r="D135" s="273">
        <v>104.3</v>
      </c>
      <c r="E135" s="273">
        <v>93.1</v>
      </c>
      <c r="F135" s="273">
        <v>83.8</v>
      </c>
      <c r="G135" s="273">
        <v>87.1</v>
      </c>
    </row>
    <row r="136" spans="1:7">
      <c r="A136" t="s">
        <v>847</v>
      </c>
      <c r="B136" s="273">
        <v>109.1</v>
      </c>
      <c r="C136" s="273">
        <v>69.2</v>
      </c>
      <c r="D136" s="273">
        <v>118.4</v>
      </c>
      <c r="E136" s="273">
        <v>91.7</v>
      </c>
      <c r="F136" s="273">
        <v>86.3</v>
      </c>
      <c r="G136" s="273">
        <v>90</v>
      </c>
    </row>
    <row r="137" spans="1:7">
      <c r="A137" t="s">
        <v>848</v>
      </c>
      <c r="B137" s="273">
        <v>113.2</v>
      </c>
      <c r="C137" s="273">
        <v>86.2</v>
      </c>
      <c r="D137" s="273">
        <v>126.2</v>
      </c>
      <c r="E137" s="273">
        <v>92.7</v>
      </c>
      <c r="F137" s="273">
        <v>89</v>
      </c>
      <c r="G137" s="273">
        <v>91.3</v>
      </c>
    </row>
    <row r="138" spans="1:7">
      <c r="A138" t="s">
        <v>849</v>
      </c>
      <c r="B138" s="273">
        <v>114.2</v>
      </c>
      <c r="C138" s="273">
        <v>78.599999999999994</v>
      </c>
      <c r="D138" s="273">
        <v>122.3</v>
      </c>
      <c r="E138" s="273">
        <v>90.7</v>
      </c>
      <c r="F138" s="273">
        <v>89.1</v>
      </c>
      <c r="G138" s="273">
        <v>91.7</v>
      </c>
    </row>
    <row r="139" spans="1:7">
      <c r="A139" t="s">
        <v>850</v>
      </c>
      <c r="B139" s="273">
        <v>112.8</v>
      </c>
      <c r="C139" s="273">
        <v>79.7</v>
      </c>
      <c r="D139" s="273">
        <v>116.5</v>
      </c>
      <c r="E139" s="273">
        <v>89</v>
      </c>
      <c r="F139" s="273">
        <v>90.1</v>
      </c>
      <c r="G139" s="273">
        <v>89.7</v>
      </c>
    </row>
    <row r="140" spans="1:7">
      <c r="A140" t="s">
        <v>851</v>
      </c>
      <c r="B140" s="273">
        <v>116.9</v>
      </c>
      <c r="C140" s="273">
        <v>80.2</v>
      </c>
      <c r="D140" s="273">
        <v>115.6</v>
      </c>
      <c r="E140" s="273">
        <v>89.4</v>
      </c>
      <c r="F140" s="273">
        <v>89.1</v>
      </c>
      <c r="G140" s="273">
        <v>91.1</v>
      </c>
    </row>
    <row r="141" spans="1:7">
      <c r="A141" t="s">
        <v>852</v>
      </c>
      <c r="B141" s="273">
        <v>107.5</v>
      </c>
      <c r="C141" s="273">
        <v>81.3</v>
      </c>
      <c r="D141" s="273">
        <v>118.8</v>
      </c>
      <c r="E141" s="273">
        <v>90.2</v>
      </c>
      <c r="F141" s="273">
        <v>87.9</v>
      </c>
      <c r="G141" s="273">
        <v>88.1</v>
      </c>
    </row>
    <row r="142" spans="1:7">
      <c r="A142" t="s">
        <v>853</v>
      </c>
      <c r="B142" s="273">
        <v>106.8</v>
      </c>
      <c r="C142" s="273">
        <v>80.900000000000006</v>
      </c>
      <c r="D142" s="273">
        <v>118.2</v>
      </c>
      <c r="E142" s="273">
        <v>89.5</v>
      </c>
      <c r="F142" s="273">
        <v>92</v>
      </c>
      <c r="G142" s="273">
        <v>89.4</v>
      </c>
    </row>
    <row r="143" spans="1:7">
      <c r="A143" t="s">
        <v>854</v>
      </c>
      <c r="B143" s="273">
        <v>108</v>
      </c>
      <c r="C143" s="273">
        <v>84.4</v>
      </c>
      <c r="D143" s="273">
        <v>120.1</v>
      </c>
      <c r="E143" s="273">
        <v>92.2</v>
      </c>
      <c r="F143" s="273">
        <v>95</v>
      </c>
      <c r="G143" s="273">
        <v>92</v>
      </c>
    </row>
    <row r="144" spans="1:7">
      <c r="A144" t="s">
        <v>855</v>
      </c>
      <c r="B144" s="273">
        <v>107.2</v>
      </c>
      <c r="C144" s="273">
        <v>84</v>
      </c>
      <c r="D144" s="273">
        <v>119.9</v>
      </c>
      <c r="E144" s="273">
        <v>92.6</v>
      </c>
      <c r="F144" s="273">
        <v>95.5</v>
      </c>
      <c r="G144" s="273">
        <v>95.1</v>
      </c>
    </row>
    <row r="145" spans="1:7">
      <c r="A145" t="s">
        <v>856</v>
      </c>
      <c r="B145" s="273">
        <v>106.9</v>
      </c>
      <c r="C145" s="273">
        <v>83.8</v>
      </c>
      <c r="D145" s="273">
        <v>118.8</v>
      </c>
      <c r="E145" s="273">
        <v>95.9</v>
      </c>
      <c r="F145" s="273">
        <v>94.2</v>
      </c>
      <c r="G145" s="273">
        <v>96.5</v>
      </c>
    </row>
    <row r="146" spans="1:7">
      <c r="A146" t="s">
        <v>857</v>
      </c>
      <c r="B146" s="273">
        <v>110.5</v>
      </c>
      <c r="C146" s="273">
        <v>84.2</v>
      </c>
      <c r="D146" s="273">
        <v>117.9</v>
      </c>
      <c r="E146" s="273">
        <v>93.9</v>
      </c>
      <c r="F146" s="273">
        <v>93.5</v>
      </c>
      <c r="G146" s="273">
        <v>97.3</v>
      </c>
    </row>
    <row r="147" spans="1:7">
      <c r="A147" t="s">
        <v>858</v>
      </c>
      <c r="B147" s="273">
        <v>102.4</v>
      </c>
      <c r="C147" s="273">
        <v>83.1</v>
      </c>
      <c r="D147" s="273">
        <v>115.3</v>
      </c>
      <c r="E147" s="273">
        <v>98.8</v>
      </c>
      <c r="F147" s="273">
        <v>92.5</v>
      </c>
      <c r="G147" s="273">
        <v>97</v>
      </c>
    </row>
    <row r="148" spans="1:7">
      <c r="A148" t="s">
        <v>859</v>
      </c>
      <c r="B148" s="273">
        <v>102.9</v>
      </c>
      <c r="C148" s="273">
        <v>83.9</v>
      </c>
      <c r="D148" s="273">
        <v>115</v>
      </c>
      <c r="E148" s="273">
        <v>99.6</v>
      </c>
      <c r="F148" s="273">
        <v>92.3</v>
      </c>
      <c r="G148" s="273">
        <v>97.9</v>
      </c>
    </row>
    <row r="149" spans="1:7">
      <c r="A149" t="s">
        <v>860</v>
      </c>
      <c r="B149" s="273">
        <v>103.3</v>
      </c>
      <c r="C149" s="273">
        <v>86.9</v>
      </c>
      <c r="D149" s="273">
        <v>107.8</v>
      </c>
      <c r="E149" s="273">
        <v>101.2</v>
      </c>
      <c r="F149" s="273">
        <v>92.6</v>
      </c>
      <c r="G149" s="273">
        <v>98.5</v>
      </c>
    </row>
    <row r="150" spans="1:7">
      <c r="A150" t="s">
        <v>861</v>
      </c>
      <c r="B150" s="273">
        <v>101.6</v>
      </c>
      <c r="C150" s="273">
        <v>90.5</v>
      </c>
      <c r="D150" s="273">
        <v>105.6</v>
      </c>
      <c r="E150" s="273">
        <v>102.9</v>
      </c>
      <c r="F150" s="273">
        <v>93.1</v>
      </c>
      <c r="G150" s="273">
        <v>98.8</v>
      </c>
    </row>
    <row r="151" spans="1:7">
      <c r="A151" t="s">
        <v>862</v>
      </c>
      <c r="B151" s="273">
        <v>102.7</v>
      </c>
      <c r="C151" s="273">
        <v>92.4</v>
      </c>
      <c r="D151" s="273">
        <v>99.8</v>
      </c>
      <c r="E151" s="273">
        <v>99.8</v>
      </c>
      <c r="F151" s="273">
        <v>94.5</v>
      </c>
      <c r="G151" s="273">
        <v>99.3</v>
      </c>
    </row>
    <row r="152" spans="1:7">
      <c r="A152" t="s">
        <v>863</v>
      </c>
      <c r="B152" s="273">
        <v>104.2</v>
      </c>
      <c r="C152" s="273">
        <v>95</v>
      </c>
      <c r="D152" s="273">
        <v>99</v>
      </c>
      <c r="E152" s="273">
        <v>103.5</v>
      </c>
      <c r="F152" s="273">
        <v>95.9</v>
      </c>
      <c r="G152" s="273">
        <v>99.2</v>
      </c>
    </row>
    <row r="153" spans="1:7">
      <c r="A153" t="s">
        <v>864</v>
      </c>
      <c r="B153" s="273">
        <v>106.1</v>
      </c>
      <c r="C153" s="273">
        <v>96.6</v>
      </c>
      <c r="D153" s="273">
        <v>98</v>
      </c>
      <c r="E153" s="273">
        <v>109.5</v>
      </c>
      <c r="F153" s="273">
        <v>96.8</v>
      </c>
      <c r="G153" s="273">
        <v>99.4</v>
      </c>
    </row>
    <row r="154" spans="1:7">
      <c r="A154" t="s">
        <v>865</v>
      </c>
      <c r="B154" s="273">
        <v>106.2</v>
      </c>
      <c r="C154" s="273">
        <v>98.7</v>
      </c>
      <c r="D154" s="273">
        <v>98.8</v>
      </c>
      <c r="E154" s="273">
        <v>109.5</v>
      </c>
      <c r="F154" s="273">
        <v>96.8</v>
      </c>
      <c r="G154" s="273">
        <v>100</v>
      </c>
    </row>
    <row r="155" spans="1:7">
      <c r="A155" t="s">
        <v>866</v>
      </c>
      <c r="B155" s="273">
        <v>105.8</v>
      </c>
      <c r="C155" s="273">
        <v>100.7</v>
      </c>
      <c r="D155" s="273">
        <v>99.3</v>
      </c>
      <c r="E155" s="273">
        <v>103.2</v>
      </c>
      <c r="F155" s="273">
        <v>98.3</v>
      </c>
      <c r="G155" s="273">
        <v>99.9</v>
      </c>
    </row>
    <row r="156" spans="1:7">
      <c r="A156" t="s">
        <v>867</v>
      </c>
      <c r="B156" s="273">
        <v>103.2</v>
      </c>
      <c r="C156" s="273">
        <v>100.4</v>
      </c>
      <c r="D156" s="273">
        <v>98.4</v>
      </c>
      <c r="E156" s="273">
        <v>104</v>
      </c>
      <c r="F156" s="273">
        <v>98.8</v>
      </c>
      <c r="G156" s="273">
        <v>99.9</v>
      </c>
    </row>
    <row r="157" spans="1:7">
      <c r="A157" t="s">
        <v>868</v>
      </c>
      <c r="B157" s="273">
        <v>101.6</v>
      </c>
      <c r="C157" s="273">
        <v>100.3</v>
      </c>
      <c r="D157" s="273">
        <v>98.3</v>
      </c>
      <c r="E157" s="273">
        <v>100.8</v>
      </c>
      <c r="F157" s="273">
        <v>100.8</v>
      </c>
      <c r="G157" s="273">
        <v>100.5</v>
      </c>
    </row>
    <row r="158" spans="1:7">
      <c r="A158" t="s">
        <v>869</v>
      </c>
      <c r="B158" s="273">
        <v>99.7</v>
      </c>
      <c r="C158" s="273">
        <v>99.9</v>
      </c>
      <c r="D158" s="273">
        <v>98.8</v>
      </c>
      <c r="E158" s="273">
        <v>99</v>
      </c>
      <c r="F158" s="273">
        <v>98.3</v>
      </c>
      <c r="G158" s="273">
        <v>99.5</v>
      </c>
    </row>
    <row r="159" spans="1:7">
      <c r="A159" t="s">
        <v>870</v>
      </c>
      <c r="B159" s="273">
        <v>97.7</v>
      </c>
      <c r="C159" s="273">
        <v>100.2</v>
      </c>
      <c r="D159" s="273">
        <v>99.5</v>
      </c>
      <c r="E159" s="273">
        <v>97.9</v>
      </c>
      <c r="F159" s="273">
        <v>100.6</v>
      </c>
      <c r="G159" s="273">
        <v>100.1</v>
      </c>
    </row>
    <row r="160" spans="1:7">
      <c r="A160" t="s">
        <v>871</v>
      </c>
      <c r="B160" s="273">
        <v>98.5</v>
      </c>
      <c r="C160" s="273">
        <v>100.5</v>
      </c>
      <c r="D160" s="273">
        <v>100.5</v>
      </c>
      <c r="E160" s="273">
        <v>98.2</v>
      </c>
      <c r="F160" s="273">
        <v>100.8</v>
      </c>
      <c r="G160" s="273">
        <v>100.2</v>
      </c>
    </row>
    <row r="161" spans="1:7">
      <c r="A161" t="s">
        <v>872</v>
      </c>
      <c r="B161" s="273">
        <v>96.6</v>
      </c>
      <c r="C161" s="273">
        <v>100.6</v>
      </c>
      <c r="D161" s="273">
        <v>101.4</v>
      </c>
      <c r="E161" s="273">
        <v>94.9</v>
      </c>
      <c r="F161" s="273">
        <v>100.1</v>
      </c>
      <c r="G161" s="273">
        <v>99.6</v>
      </c>
    </row>
    <row r="162" spans="1:7">
      <c r="A162" t="s">
        <v>873</v>
      </c>
      <c r="B162" s="273">
        <v>94.8</v>
      </c>
      <c r="C162" s="273">
        <v>99.8</v>
      </c>
      <c r="D162" s="273">
        <v>101</v>
      </c>
      <c r="E162" s="273">
        <v>94.4</v>
      </c>
      <c r="F162" s="273">
        <v>102</v>
      </c>
      <c r="G162" s="273">
        <v>100.5</v>
      </c>
    </row>
    <row r="163" spans="1:7">
      <c r="A163" t="s">
        <v>874</v>
      </c>
      <c r="B163" s="273">
        <v>95.5</v>
      </c>
      <c r="C163" s="273">
        <v>100.6</v>
      </c>
      <c r="D163" s="273">
        <v>102.6</v>
      </c>
      <c r="E163" s="273">
        <v>94.4</v>
      </c>
      <c r="F163" s="273">
        <v>102.4</v>
      </c>
      <c r="G163" s="273">
        <v>100.5</v>
      </c>
    </row>
    <row r="164" spans="1:7">
      <c r="A164" t="s">
        <v>875</v>
      </c>
      <c r="B164" s="273">
        <v>94.3</v>
      </c>
      <c r="C164" s="273">
        <v>101.7</v>
      </c>
      <c r="D164" s="273">
        <v>103.5</v>
      </c>
      <c r="E164" s="273">
        <v>94.4</v>
      </c>
      <c r="F164" s="273">
        <v>104.2</v>
      </c>
      <c r="G164" s="273">
        <v>100.1</v>
      </c>
    </row>
    <row r="165" spans="1:7">
      <c r="A165" t="s">
        <v>876</v>
      </c>
      <c r="B165" s="273">
        <v>100.4</v>
      </c>
      <c r="C165" s="273">
        <v>103.9</v>
      </c>
      <c r="D165" s="273">
        <v>104.2</v>
      </c>
      <c r="E165" s="273">
        <v>96.5</v>
      </c>
      <c r="F165" s="273">
        <v>100.4</v>
      </c>
      <c r="G165" s="273">
        <v>100.3</v>
      </c>
    </row>
    <row r="166" spans="1:7">
      <c r="A166" t="s">
        <v>877</v>
      </c>
      <c r="B166" s="273">
        <v>99.5</v>
      </c>
      <c r="C166" s="273">
        <v>107.2</v>
      </c>
      <c r="D166" s="273">
        <v>104.4</v>
      </c>
      <c r="E166" s="273">
        <v>95.2</v>
      </c>
      <c r="F166" s="273">
        <v>102.7</v>
      </c>
      <c r="G166" s="273">
        <v>100.7</v>
      </c>
    </row>
    <row r="167" spans="1:7">
      <c r="A167" t="s">
        <v>878</v>
      </c>
      <c r="B167" s="273">
        <v>100.4</v>
      </c>
      <c r="C167" s="273">
        <v>109.5</v>
      </c>
      <c r="D167" s="273">
        <v>104.9</v>
      </c>
      <c r="E167" s="273">
        <v>93.7</v>
      </c>
      <c r="F167" s="273">
        <v>102.4</v>
      </c>
      <c r="G167" s="273">
        <v>100.4</v>
      </c>
    </row>
    <row r="168" spans="1:7">
      <c r="A168" t="s">
        <v>879</v>
      </c>
      <c r="B168" s="273">
        <v>101.3</v>
      </c>
      <c r="C168" s="273">
        <v>111.8</v>
      </c>
      <c r="D168" s="273">
        <v>105.3</v>
      </c>
      <c r="E168" s="273">
        <v>94.2</v>
      </c>
      <c r="F168" s="273">
        <v>102.2</v>
      </c>
      <c r="G168" s="273">
        <v>100.5</v>
      </c>
    </row>
    <row r="169" spans="1:7">
      <c r="A169" t="s">
        <v>880</v>
      </c>
      <c r="B169" s="273">
        <v>102.2</v>
      </c>
      <c r="C169" s="273">
        <v>113.6</v>
      </c>
      <c r="D169" s="273">
        <v>105.8</v>
      </c>
      <c r="E169" s="273">
        <v>95.2</v>
      </c>
      <c r="F169" s="273">
        <v>101.1</v>
      </c>
      <c r="G169" s="273">
        <v>100.1</v>
      </c>
    </row>
    <row r="170" spans="1:7">
      <c r="A170" t="s">
        <v>881</v>
      </c>
      <c r="B170" s="273">
        <v>103</v>
      </c>
      <c r="C170" s="273">
        <v>114.6</v>
      </c>
      <c r="D170" s="273">
        <v>106.5</v>
      </c>
      <c r="E170" s="273">
        <v>94.4</v>
      </c>
      <c r="F170" s="273">
        <v>104.2</v>
      </c>
      <c r="G170" s="273">
        <v>100.8</v>
      </c>
    </row>
    <row r="171" spans="1:7">
      <c r="A171" t="s">
        <v>882</v>
      </c>
      <c r="B171" s="273">
        <v>105.9</v>
      </c>
      <c r="C171" s="273">
        <v>115.1</v>
      </c>
      <c r="D171" s="273">
        <v>107</v>
      </c>
      <c r="E171" s="273">
        <v>90.9</v>
      </c>
      <c r="F171" s="273">
        <v>103.3</v>
      </c>
      <c r="G171" s="273">
        <v>100.4</v>
      </c>
    </row>
    <row r="172" spans="1:7">
      <c r="A172" t="s">
        <v>883</v>
      </c>
      <c r="B172" s="273">
        <v>106.8</v>
      </c>
      <c r="C172" s="273">
        <v>116.1</v>
      </c>
      <c r="D172" s="273">
        <v>107</v>
      </c>
      <c r="E172" s="273">
        <v>92.7</v>
      </c>
      <c r="F172" s="273">
        <v>102</v>
      </c>
      <c r="G172" s="273">
        <v>100.4</v>
      </c>
    </row>
    <row r="173" spans="1:7">
      <c r="A173" t="s">
        <v>884</v>
      </c>
      <c r="B173" s="273">
        <v>106.2</v>
      </c>
      <c r="C173" s="273">
        <v>117.2</v>
      </c>
      <c r="D173" s="273">
        <v>106.9</v>
      </c>
      <c r="E173" s="273">
        <v>92.6</v>
      </c>
      <c r="F173" s="273">
        <v>102.8</v>
      </c>
      <c r="G173" s="273">
        <v>100.3</v>
      </c>
    </row>
    <row r="174" spans="1:7">
      <c r="A174" t="s">
        <v>885</v>
      </c>
      <c r="B174" s="273">
        <v>104.7</v>
      </c>
      <c r="C174" s="273">
        <v>120</v>
      </c>
      <c r="D174" s="273">
        <v>105.9</v>
      </c>
      <c r="E174" s="273">
        <v>91.5</v>
      </c>
      <c r="F174" s="273">
        <v>102.9</v>
      </c>
      <c r="G174" s="273">
        <v>99.9</v>
      </c>
    </row>
    <row r="175" spans="1:7">
      <c r="A175" t="s">
        <v>886</v>
      </c>
      <c r="B175" s="273">
        <v>106.2</v>
      </c>
      <c r="C175" s="273">
        <v>123.4</v>
      </c>
      <c r="D175" s="273">
        <v>106.7</v>
      </c>
      <c r="E175" s="273">
        <v>90.5</v>
      </c>
      <c r="F175" s="273">
        <v>102.6</v>
      </c>
      <c r="G175" s="273">
        <v>100.2</v>
      </c>
    </row>
    <row r="176" spans="1:7">
      <c r="A176" t="s">
        <v>887</v>
      </c>
      <c r="B176" s="273">
        <v>109</v>
      </c>
      <c r="C176" s="273">
        <v>126.4</v>
      </c>
      <c r="D176" s="273">
        <v>106.1</v>
      </c>
      <c r="E176" s="273">
        <v>92.1</v>
      </c>
      <c r="F176" s="273">
        <v>101.8</v>
      </c>
      <c r="G176" s="273">
        <v>100.1</v>
      </c>
    </row>
    <row r="177" spans="1:7">
      <c r="A177" t="s">
        <v>888</v>
      </c>
      <c r="B177" s="273">
        <v>107.5</v>
      </c>
      <c r="C177" s="273">
        <v>129</v>
      </c>
      <c r="D177" s="273">
        <v>105.4</v>
      </c>
      <c r="E177" s="273">
        <v>92.3</v>
      </c>
      <c r="F177" s="273">
        <v>103</v>
      </c>
      <c r="G177" s="273">
        <v>100.5</v>
      </c>
    </row>
    <row r="178" spans="1:7">
      <c r="A178" t="s">
        <v>889</v>
      </c>
      <c r="B178" s="273">
        <v>109.8</v>
      </c>
      <c r="C178" s="273">
        <v>130.6</v>
      </c>
      <c r="D178" s="273">
        <v>104.7</v>
      </c>
      <c r="E178" s="273">
        <v>92.4</v>
      </c>
      <c r="F178" s="273">
        <v>101.7</v>
      </c>
      <c r="G178" s="273">
        <v>100.7</v>
      </c>
    </row>
    <row r="179" spans="1:7">
      <c r="A179" t="s">
        <v>890</v>
      </c>
      <c r="B179" s="273">
        <v>108.4</v>
      </c>
      <c r="C179" s="273">
        <v>131.5</v>
      </c>
      <c r="D179" s="273">
        <v>104.4</v>
      </c>
      <c r="E179" s="273">
        <v>93.2</v>
      </c>
      <c r="F179" s="273">
        <v>102.2</v>
      </c>
      <c r="G179" s="273">
        <v>101.3</v>
      </c>
    </row>
    <row r="180" spans="1:7">
      <c r="A180" t="s">
        <v>891</v>
      </c>
      <c r="B180" s="273">
        <v>105.2</v>
      </c>
      <c r="C180" s="273">
        <v>132</v>
      </c>
      <c r="D180" s="273">
        <v>103.6</v>
      </c>
      <c r="E180" s="273">
        <v>98.4</v>
      </c>
      <c r="F180" s="273">
        <v>101.2</v>
      </c>
      <c r="G180" s="273">
        <v>101.1</v>
      </c>
    </row>
    <row r="181" spans="1:7">
      <c r="A181" t="s">
        <v>892</v>
      </c>
      <c r="B181" s="273">
        <v>105.9</v>
      </c>
      <c r="C181" s="273">
        <v>132.30000000000001</v>
      </c>
      <c r="D181" s="273">
        <v>102.8</v>
      </c>
      <c r="E181" s="273">
        <v>95.6</v>
      </c>
      <c r="F181" s="273">
        <v>103</v>
      </c>
      <c r="G181" s="273">
        <v>101.4</v>
      </c>
    </row>
    <row r="182" spans="1:7">
      <c r="A182" t="s">
        <v>893</v>
      </c>
      <c r="B182" s="273">
        <v>109.6</v>
      </c>
      <c r="C182" s="273">
        <v>131.6</v>
      </c>
      <c r="D182" s="273">
        <v>101.8</v>
      </c>
      <c r="E182" s="273">
        <v>95.4</v>
      </c>
      <c r="F182" s="273">
        <v>103.1</v>
      </c>
      <c r="G182" s="273">
        <v>101.3</v>
      </c>
    </row>
    <row r="183" spans="1:7">
      <c r="A183" t="s">
        <v>894</v>
      </c>
      <c r="B183" s="273">
        <v>108.1</v>
      </c>
      <c r="C183" s="273">
        <v>130.30000000000001</v>
      </c>
      <c r="D183" s="273">
        <v>101.1</v>
      </c>
      <c r="E183" s="273">
        <v>97</v>
      </c>
      <c r="F183" s="273">
        <v>102.4</v>
      </c>
      <c r="G183" s="273">
        <v>101.2</v>
      </c>
    </row>
    <row r="184" spans="1:7">
      <c r="A184" t="s">
        <v>895</v>
      </c>
      <c r="B184" s="273">
        <v>109.9</v>
      </c>
      <c r="C184" s="273">
        <v>128.9</v>
      </c>
      <c r="D184" s="273">
        <v>100.8</v>
      </c>
      <c r="E184" s="273">
        <v>98</v>
      </c>
      <c r="F184" s="273">
        <v>103.1</v>
      </c>
      <c r="G184" s="273">
        <v>101.3</v>
      </c>
    </row>
    <row r="185" spans="1:7">
      <c r="A185" t="s">
        <v>896</v>
      </c>
      <c r="B185" s="273">
        <v>107</v>
      </c>
      <c r="C185" s="273">
        <v>127.5</v>
      </c>
      <c r="D185" s="273">
        <v>100.9</v>
      </c>
      <c r="E185" s="273">
        <v>96</v>
      </c>
      <c r="F185" s="273">
        <v>103</v>
      </c>
      <c r="G185" s="273">
        <v>101.3</v>
      </c>
    </row>
    <row r="186" spans="1:7">
      <c r="A186" t="s">
        <v>897</v>
      </c>
      <c r="B186" s="273">
        <v>107.2</v>
      </c>
      <c r="C186" s="273">
        <v>125.8</v>
      </c>
      <c r="D186" s="273">
        <v>100.6</v>
      </c>
      <c r="E186" s="273">
        <v>96.7</v>
      </c>
      <c r="F186" s="273">
        <v>103</v>
      </c>
      <c r="G186" s="273">
        <v>101.1</v>
      </c>
    </row>
    <row r="187" spans="1:7">
      <c r="A187" t="s">
        <v>898</v>
      </c>
      <c r="B187" s="273">
        <v>106.7</v>
      </c>
      <c r="C187" s="273">
        <v>124.1</v>
      </c>
      <c r="D187" s="273">
        <v>100.4</v>
      </c>
      <c r="E187" s="273">
        <v>97.6</v>
      </c>
      <c r="F187" s="273">
        <v>103.6</v>
      </c>
      <c r="G187" s="273">
        <v>101.2</v>
      </c>
    </row>
    <row r="188" spans="1:7">
      <c r="A188" t="s">
        <v>899</v>
      </c>
      <c r="B188" s="273">
        <v>107.3</v>
      </c>
      <c r="C188" s="273">
        <v>122.2</v>
      </c>
      <c r="D188" s="273">
        <v>100.9</v>
      </c>
      <c r="E188" s="273">
        <v>96.3</v>
      </c>
      <c r="F188" s="273">
        <v>103.4</v>
      </c>
      <c r="G188" s="273">
        <v>101.6</v>
      </c>
    </row>
  </sheetData>
  <hyperlinks>
    <hyperlink ref="B4" r:id="rId1" xr:uid="{8BADC157-C417-45CC-B59F-F2AF82D7C2D9}"/>
    <hyperlink ref="C4" r:id="rId2" xr:uid="{9E72D8B2-40AB-4BBE-8DA4-4CDE6CAED039}"/>
    <hyperlink ref="D4" r:id="rId3" xr:uid="{C0EE0DA7-51D8-4D38-B913-3D60B386B128}"/>
    <hyperlink ref="E4" r:id="rId4" xr:uid="{AE155674-CD1E-468E-B430-080A6677A75A}"/>
    <hyperlink ref="F4" r:id="rId5" xr:uid="{414DD75A-2CA4-4937-B259-8F89DD68174F}"/>
    <hyperlink ref="G4" r:id="rId6" xr:uid="{9CC8B9D9-DB73-46E6-9DFD-CC4894F4D62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28A51-EEAC-428D-8429-3F71E6F24924}">
  <dimension ref="A1"/>
  <sheetViews>
    <sheetView workbookViewId="0">
      <selection activeCell="A2" sqref="A2"/>
    </sheetView>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044DF-4946-40A2-8543-6B41F8158C77}">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A38E8-5D45-40DC-A88B-24D8FEB80482}">
  <dimension ref="A4:L15"/>
  <sheetViews>
    <sheetView workbookViewId="0">
      <selection activeCell="J7" sqref="J7"/>
    </sheetView>
  </sheetViews>
  <sheetFormatPr defaultRowHeight="15"/>
  <cols>
    <col min="7" max="7" width="14.42578125" bestFit="1" customWidth="1"/>
    <col min="10" max="10" width="23" bestFit="1" customWidth="1"/>
  </cols>
  <sheetData>
    <row r="4" spans="1:12">
      <c r="B4" t="s">
        <v>631</v>
      </c>
      <c r="C4" t="s">
        <v>632</v>
      </c>
      <c r="D4" t="s">
        <v>625</v>
      </c>
      <c r="E4" t="s">
        <v>633</v>
      </c>
      <c r="H4" s="178" t="s">
        <v>631</v>
      </c>
      <c r="I4" s="178" t="s">
        <v>632</v>
      </c>
      <c r="J4" s="178" t="s">
        <v>625</v>
      </c>
      <c r="K4" s="178" t="s">
        <v>633</v>
      </c>
    </row>
    <row r="5" spans="1:12">
      <c r="A5">
        <v>2014</v>
      </c>
      <c r="B5" s="6">
        <f ca="1">OFFSET(NATO2!$C$39,0,ROW()-ROW('International Comparison'!$A$5))</f>
        <v>2.1423756962030893</v>
      </c>
      <c r="C5" s="6">
        <f ca="1">OFFSET(NATO2!$C$40,0,ROW()-ROW('International Comparison'!$A$5))</f>
        <v>3.7139172994177043</v>
      </c>
      <c r="D5" s="6">
        <f ca="1">OFFSET(NATO2!$C$41,0,ROW()-ROW('International Comparison'!$A$5))</f>
        <v>1.4278082919106425</v>
      </c>
      <c r="E5" s="6">
        <f ca="1">OFFSET(NATO2!$C$42,0,ROW()-ROW('International Comparison'!$A$5))</f>
        <v>2.5785805502066639</v>
      </c>
      <c r="G5" t="s">
        <v>942</v>
      </c>
      <c r="H5" s="6">
        <f ca="1">AVERAGE(B5:B12)</f>
        <v>2.1453620113190288</v>
      </c>
      <c r="I5" s="6">
        <f ca="1">AVERAGE(C5:C11)</f>
        <v>3.4718875949748558</v>
      </c>
      <c r="J5" s="6">
        <f ca="1">AVERAGE(D5:D11)</f>
        <v>1.505928292960897</v>
      </c>
      <c r="K5" s="6">
        <f ca="1">AVERAGE(E5:E11)</f>
        <v>2.5036718948766823</v>
      </c>
      <c r="L5">
        <v>2</v>
      </c>
    </row>
    <row r="6" spans="1:12">
      <c r="A6">
        <f>A5+1</f>
        <v>2015</v>
      </c>
      <c r="B6" s="6">
        <f ca="1">OFFSET(NATO2!$C$39,0,ROW()-ROW('International Comparison'!$A$5))</f>
        <v>2.0318995706903014</v>
      </c>
      <c r="C6" s="6">
        <f ca="1">OFFSET(NATO2!$C$40,0,ROW()-ROW('International Comparison'!$A$5))</f>
        <v>3.5050687840225803</v>
      </c>
      <c r="D6" s="6">
        <f ca="1">OFFSET(NATO2!$C$41,0,ROW()-ROW('International Comparison'!$A$5))</f>
        <v>1.4235905263572248</v>
      </c>
      <c r="E6" s="6">
        <f ca="1">OFFSET(NATO2!$C$42,0,ROW()-ROW('International Comparison'!$A$5))</f>
        <v>2.4765060155213505</v>
      </c>
      <c r="G6">
        <v>2022</v>
      </c>
      <c r="H6" s="6">
        <f ca="1">B13</f>
        <v>2.2852877176642599</v>
      </c>
      <c r="I6" s="6">
        <f t="shared" ref="I6:K6" ca="1" si="0">C13</f>
        <v>3.3120710807410436</v>
      </c>
      <c r="J6" s="6">
        <f t="shared" ca="1" si="0"/>
        <v>1.6586735405031181</v>
      </c>
      <c r="K6" s="6">
        <f t="shared" ca="1" si="0"/>
        <v>2.5076563765782325</v>
      </c>
      <c r="L6">
        <v>2</v>
      </c>
    </row>
    <row r="7" spans="1:12">
      <c r="A7">
        <f t="shared" ref="A7:A15" si="1">A6+1</f>
        <v>2016</v>
      </c>
      <c r="B7" s="6">
        <f ca="1">OFFSET(NATO2!$C$39,0,ROW()-ROW('International Comparison'!$A$5))</f>
        <v>2.0882048758689429</v>
      </c>
      <c r="C7" s="6">
        <f ca="1">OFFSET(NATO2!$C$40,0,ROW()-ROW('International Comparison'!$A$5))</f>
        <v>3.49608027384535</v>
      </c>
      <c r="D7" s="6">
        <f ca="1">OFFSET(NATO2!$C$41,0,ROW()-ROW('International Comparison'!$A$5))</f>
        <v>1.4385267420172207</v>
      </c>
      <c r="E7" s="6">
        <f ca="1">OFFSET(NATO2!$C$42,0,ROW()-ROW('International Comparison'!$A$5))</f>
        <v>2.4789265762768897</v>
      </c>
      <c r="G7">
        <v>2023</v>
      </c>
      <c r="H7" s="6">
        <f ca="1">B14</f>
        <v>2.3026834331913704</v>
      </c>
      <c r="I7" s="6">
        <f t="shared" ref="I7:K7" ca="1" si="2">C14</f>
        <v>3.232423677565305</v>
      </c>
      <c r="J7" s="6">
        <f t="shared" ca="1" si="2"/>
        <v>1.7754774900155899</v>
      </c>
      <c r="K7" s="6">
        <f t="shared" ca="1" si="2"/>
        <v>2.5252496924979835</v>
      </c>
      <c r="L7">
        <v>2</v>
      </c>
    </row>
    <row r="8" spans="1:12">
      <c r="A8">
        <f t="shared" si="1"/>
        <v>2017</v>
      </c>
      <c r="B8" s="6">
        <f ca="1">OFFSET(NATO2!$C$39,0,ROW()-ROW('International Comparison'!$A$5))</f>
        <v>2.0772049630479397</v>
      </c>
      <c r="C8" s="6">
        <f ca="1">OFFSET(NATO2!$C$40,0,ROW()-ROW('International Comparison'!$A$5))</f>
        <v>3.2820879654442607</v>
      </c>
      <c r="D8" s="6">
        <f ca="1">OFFSET(NATO2!$C$41,0,ROW()-ROW('International Comparison'!$A$5))</f>
        <v>1.4777917414522164</v>
      </c>
      <c r="E8" s="6">
        <f ca="1">OFFSET(NATO2!$C$42,0,ROW()-ROW('International Comparison'!$A$5))</f>
        <v>2.3874315163230011</v>
      </c>
      <c r="G8">
        <v>2024</v>
      </c>
      <c r="H8" s="6">
        <f ca="1">B15</f>
        <v>2.3322602255087128</v>
      </c>
      <c r="I8" s="6">
        <f t="shared" ref="I8:K8" ca="1" si="3">C15</f>
        <v>3.3790207262385565</v>
      </c>
      <c r="J8" s="6">
        <f t="shared" ca="1" si="3"/>
        <v>2.0154548520439497</v>
      </c>
      <c r="K8" s="6">
        <f t="shared" ca="1" si="3"/>
        <v>2.7127497283473159</v>
      </c>
      <c r="L8">
        <v>2</v>
      </c>
    </row>
    <row r="9" spans="1:12">
      <c r="A9">
        <f t="shared" si="1"/>
        <v>2018</v>
      </c>
      <c r="B9" s="6">
        <f ca="1">OFFSET(NATO2!$C$39,0,ROW()-ROW('International Comparison'!$A$5))</f>
        <v>2.1001678509959567</v>
      </c>
      <c r="C9" s="6">
        <f ca="1">OFFSET(NATO2!$C$40,0,ROW()-ROW('International Comparison'!$A$5))</f>
        <v>3.2571300122054732</v>
      </c>
      <c r="D9" s="6">
        <f ca="1">OFFSET(NATO2!$C$41,0,ROW()-ROW('International Comparison'!$A$5))</f>
        <v>1.5116958768416593</v>
      </c>
      <c r="E9" s="6">
        <f ca="1">OFFSET(NATO2!$C$42,0,ROW()-ROW('International Comparison'!$A$5))</f>
        <v>2.3961537030455871</v>
      </c>
    </row>
    <row r="10" spans="1:12">
      <c r="A10">
        <f t="shared" si="1"/>
        <v>2019</v>
      </c>
      <c r="B10" s="6">
        <f ca="1">OFFSET(NATO2!$C$39,0,ROW()-ROW('International Comparison'!$A$5))</f>
        <v>2.0819421993884295</v>
      </c>
      <c r="C10" s="6">
        <f ca="1">OFFSET(NATO2!$C$40,0,ROW()-ROW('International Comparison'!$A$5))</f>
        <v>3.4715857523401015</v>
      </c>
      <c r="D10" s="6">
        <f ca="1">OFFSET(NATO2!$C$41,0,ROW()-ROW('International Comparison'!$A$5))</f>
        <v>1.5406884358348552</v>
      </c>
      <c r="E10" s="6">
        <f ca="1">OFFSET(NATO2!$C$42,0,ROW()-ROW('International Comparison'!$A$5))</f>
        <v>2.522916612237466</v>
      </c>
    </row>
    <row r="11" spans="1:12">
      <c r="A11">
        <f t="shared" si="1"/>
        <v>2020</v>
      </c>
      <c r="B11" s="6">
        <f ca="1">OFFSET(NATO2!$C$39,0,ROW()-ROW('International Comparison'!$A$5))</f>
        <v>2.3520820343983333</v>
      </c>
      <c r="C11" s="6">
        <f ca="1">OFFSET(NATO2!$C$40,0,ROW()-ROW('International Comparison'!$A$5))</f>
        <v>3.5773430775485204</v>
      </c>
      <c r="D11" s="6">
        <f ca="1">OFFSET(NATO2!$C$41,0,ROW()-ROW('International Comparison'!$A$5))</f>
        <v>1.7213964363124601</v>
      </c>
      <c r="E11" s="6">
        <f ca="1">OFFSET(NATO2!$C$42,0,ROW()-ROW('International Comparison'!$A$5))</f>
        <v>2.6851882905258178</v>
      </c>
    </row>
    <row r="12" spans="1:12">
      <c r="A12">
        <f t="shared" si="1"/>
        <v>2021</v>
      </c>
      <c r="B12" s="6">
        <f ca="1">OFFSET(NATO2!$C$39,0,ROW()-ROW('International Comparison'!$A$5))</f>
        <v>2.2890188999592396</v>
      </c>
      <c r="C12" s="6">
        <f ca="1">OFFSET(NATO2!$C$40,0,ROW()-ROW('International Comparison'!$A$5))</f>
        <v>3.5268367534098526</v>
      </c>
      <c r="D12" s="6">
        <f ca="1">OFFSET(NATO2!$C$41,0,ROW()-ROW('International Comparison'!$A$5))</f>
        <v>1.6580387561465986</v>
      </c>
      <c r="E12" s="6">
        <f ca="1">OFFSET(NATO2!$C$42,0,ROW()-ROW('International Comparison'!$A$5))</f>
        <v>2.6255994241879068</v>
      </c>
    </row>
    <row r="13" spans="1:12">
      <c r="A13">
        <f t="shared" si="1"/>
        <v>2022</v>
      </c>
      <c r="B13" s="6">
        <f ca="1">OFFSET(NATO2!$C$39,0,ROW()-ROW('International Comparison'!$A$5))</f>
        <v>2.2852877176642599</v>
      </c>
      <c r="C13" s="6">
        <f ca="1">OFFSET(NATO2!$C$40,0,ROW()-ROW('International Comparison'!$A$5))</f>
        <v>3.3120710807410436</v>
      </c>
      <c r="D13" s="6">
        <f ca="1">OFFSET(NATO2!$C$41,0,ROW()-ROW('International Comparison'!$A$5))</f>
        <v>1.6586735405031181</v>
      </c>
      <c r="E13" s="6">
        <f ca="1">OFFSET(NATO2!$C$42,0,ROW()-ROW('International Comparison'!$A$5))</f>
        <v>2.5076563765782325</v>
      </c>
    </row>
    <row r="14" spans="1:12">
      <c r="A14">
        <f t="shared" si="1"/>
        <v>2023</v>
      </c>
      <c r="B14" s="6">
        <f ca="1">OFFSET(NATO2!$C$39,0,ROW()-ROW('International Comparison'!$A$5))</f>
        <v>2.3026834331913704</v>
      </c>
      <c r="C14" s="6">
        <f ca="1">OFFSET(NATO2!$C$40,0,ROW()-ROW('International Comparison'!$A$5))</f>
        <v>3.232423677565305</v>
      </c>
      <c r="D14" s="6">
        <f ca="1">OFFSET(NATO2!$C$41,0,ROW()-ROW('International Comparison'!$A$5))</f>
        <v>1.7754774900155899</v>
      </c>
      <c r="E14" s="6">
        <f ca="1">OFFSET(NATO2!$C$42,0,ROW()-ROW('International Comparison'!$A$5))</f>
        <v>2.5252496924979835</v>
      </c>
    </row>
    <row r="15" spans="1:12">
      <c r="A15">
        <f t="shared" si="1"/>
        <v>2024</v>
      </c>
      <c r="B15" s="6">
        <f ca="1">OFFSET(NATO2!$C$39,0,ROW()-ROW('International Comparison'!$A$5))</f>
        <v>2.3322602255087128</v>
      </c>
      <c r="C15" s="6">
        <f ca="1">OFFSET(NATO2!$C$40,0,ROW()-ROW('International Comparison'!$A$5))</f>
        <v>3.3790207262385565</v>
      </c>
      <c r="D15" s="6">
        <f ca="1">OFFSET(NATO2!$C$41,0,ROW()-ROW('International Comparison'!$A$5))</f>
        <v>2.0154548520439497</v>
      </c>
      <c r="E15" s="6">
        <f ca="1">OFFSET(NATO2!$C$42,0,ROW()-ROW('International Comparison'!$A$5))</f>
        <v>2.7127497283473159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5E9DB-DE98-4E58-91CD-3F02FE3AE481}">
  <dimension ref="A2:BI128"/>
  <sheetViews>
    <sheetView zoomScaleNormal="100" workbookViewId="0">
      <pane xSplit="7" ySplit="4" topLeftCell="AN18" activePane="bottomRight" state="frozen"/>
      <selection pane="topRight" activeCell="H1" sqref="H1"/>
      <selection pane="bottomLeft" activeCell="A5" sqref="A5"/>
      <selection pane="bottomRight" activeCell="AV35" sqref="AV35"/>
    </sheetView>
  </sheetViews>
  <sheetFormatPr defaultRowHeight="15"/>
  <cols>
    <col min="4" max="4" width="12.28515625" bestFit="1" customWidth="1"/>
    <col min="5" max="5" width="14.42578125" bestFit="1" customWidth="1"/>
    <col min="8" max="8" width="12.28515625" bestFit="1" customWidth="1"/>
    <col min="9" max="9" width="14.42578125" bestFit="1" customWidth="1"/>
    <col min="10" max="10" width="9" bestFit="1" customWidth="1"/>
    <col min="12" max="12" width="12.28515625" bestFit="1" customWidth="1"/>
    <col min="13" max="13" width="14.42578125" bestFit="1" customWidth="1"/>
    <col min="14" max="14" width="9" bestFit="1" customWidth="1"/>
    <col min="34" max="34" width="14.7109375" bestFit="1" customWidth="1"/>
    <col min="50" max="50" width="32" bestFit="1" customWidth="1"/>
    <col min="51" max="51" width="17.140625" bestFit="1" customWidth="1"/>
    <col min="59" max="59" width="9.85546875" bestFit="1" customWidth="1"/>
  </cols>
  <sheetData>
    <row r="2" spans="1:61">
      <c r="H2" s="427" t="s">
        <v>544</v>
      </c>
      <c r="I2" s="427"/>
      <c r="J2" s="427"/>
      <c r="L2" s="427" t="s">
        <v>545</v>
      </c>
      <c r="M2" s="427"/>
      <c r="N2" s="427"/>
      <c r="P2" s="427" t="s">
        <v>590</v>
      </c>
      <c r="Q2" s="427"/>
      <c r="R2" s="427"/>
      <c r="S2" s="426" t="s">
        <v>421</v>
      </c>
      <c r="T2" s="426"/>
      <c r="U2" s="426"/>
      <c r="W2" s="427" t="s">
        <v>591</v>
      </c>
      <c r="X2" s="427"/>
      <c r="Y2" s="427"/>
      <c r="Z2" s="426" t="s">
        <v>421</v>
      </c>
      <c r="AA2" s="426"/>
      <c r="AB2" s="426"/>
      <c r="AD2" t="s">
        <v>909</v>
      </c>
      <c r="AI2" t="s">
        <v>915</v>
      </c>
      <c r="AM2" t="s">
        <v>917</v>
      </c>
      <c r="AQ2" t="s">
        <v>935</v>
      </c>
      <c r="AX2" t="s">
        <v>918</v>
      </c>
      <c r="AY2" t="s">
        <v>922</v>
      </c>
      <c r="AZ2" t="s">
        <v>923</v>
      </c>
      <c r="BF2" t="s">
        <v>936</v>
      </c>
    </row>
    <row r="3" spans="1:61">
      <c r="D3" s="5" t="s">
        <v>389</v>
      </c>
      <c r="E3" s="5" t="s">
        <v>390</v>
      </c>
      <c r="H3" s="5" t="s">
        <v>389</v>
      </c>
      <c r="I3" s="5" t="s">
        <v>390</v>
      </c>
      <c r="J3" s="5" t="s">
        <v>421</v>
      </c>
      <c r="L3" s="5" t="s">
        <v>389</v>
      </c>
      <c r="M3" s="5" t="s">
        <v>390</v>
      </c>
      <c r="N3" s="5" t="s">
        <v>421</v>
      </c>
      <c r="P3" s="178" t="s">
        <v>546</v>
      </c>
      <c r="Q3" s="178" t="s">
        <v>547</v>
      </c>
      <c r="R3" s="178" t="s">
        <v>548</v>
      </c>
      <c r="S3" s="178" t="s">
        <v>546</v>
      </c>
      <c r="T3" s="178" t="s">
        <v>547</v>
      </c>
      <c r="U3" s="178" t="s">
        <v>548</v>
      </c>
      <c r="W3" s="178" t="s">
        <v>546</v>
      </c>
      <c r="X3" s="178" t="s">
        <v>547</v>
      </c>
      <c r="Y3" s="178" t="s">
        <v>548</v>
      </c>
      <c r="Z3" s="178" t="s">
        <v>546</v>
      </c>
      <c r="AA3" s="178" t="s">
        <v>547</v>
      </c>
      <c r="AB3" s="178" t="s">
        <v>548</v>
      </c>
      <c r="AI3" t="s">
        <v>916</v>
      </c>
      <c r="AJ3" t="s">
        <v>547</v>
      </c>
      <c r="AK3" t="s">
        <v>548</v>
      </c>
      <c r="AM3" t="s">
        <v>916</v>
      </c>
      <c r="AN3" t="s">
        <v>547</v>
      </c>
      <c r="AO3" t="s">
        <v>548</v>
      </c>
      <c r="AX3" t="s">
        <v>919</v>
      </c>
      <c r="AY3" s="6">
        <f>AJ35</f>
        <v>3.5054371760000009</v>
      </c>
      <c r="AZ3" s="6">
        <f>AI35</f>
        <v>10.205437176</v>
      </c>
      <c r="BB3">
        <v>1.5</v>
      </c>
      <c r="BC3">
        <v>0</v>
      </c>
      <c r="BG3" t="s">
        <v>937</v>
      </c>
      <c r="BH3">
        <v>9.9</v>
      </c>
      <c r="BI3">
        <v>0</v>
      </c>
    </row>
    <row r="4" spans="1:61">
      <c r="A4" s="5" t="s">
        <v>387</v>
      </c>
      <c r="B4" s="5" t="s">
        <v>388</v>
      </c>
      <c r="D4" s="5" t="s">
        <v>381</v>
      </c>
      <c r="E4" s="5" t="s">
        <v>386</v>
      </c>
      <c r="H4" s="5"/>
      <c r="I4" s="5"/>
      <c r="AX4" t="s">
        <v>920</v>
      </c>
      <c r="AY4" s="6">
        <f>AN35</f>
        <v>13.805437176000002</v>
      </c>
      <c r="AZ4" s="6">
        <f>AM35</f>
        <v>27.205437176</v>
      </c>
      <c r="BB4">
        <v>1.5</v>
      </c>
      <c r="BC4">
        <v>35</v>
      </c>
      <c r="BG4" t="s">
        <v>940</v>
      </c>
      <c r="BH4">
        <v>9.9</v>
      </c>
      <c r="BI4" s="273">
        <f>AQ34</f>
        <v>6.7945628239999998</v>
      </c>
    </row>
    <row r="5" spans="1:61">
      <c r="A5" s="5">
        <v>2000</v>
      </c>
      <c r="B5" s="5">
        <v>2000</v>
      </c>
      <c r="C5" t="s">
        <v>114</v>
      </c>
      <c r="D5" s="7">
        <f>INDEX(GMW!$A:$NF,MATCH('Fiscal position'!D$4,GMW!$NE:$NE,0),MATCH('Fiscal position'!$C5,GMW!$1:$1,0))</f>
        <v>272305</v>
      </c>
      <c r="E5" s="7">
        <f>INDEX(GMW!$A:$NF,MATCH('Fiscal position'!E$4,GMW!$NE:$NE,0),MATCH('Fiscal position'!$C5,GMW!$1:$1,0))</f>
        <v>15211</v>
      </c>
      <c r="G5" s="5" t="s">
        <v>391</v>
      </c>
      <c r="H5" s="7">
        <f>SUMIFS(D:D,$B:$B,"=20"&amp;RIGHT($G5,2))/1000</f>
        <v>1111.336</v>
      </c>
      <c r="I5" s="6">
        <f>SUMIFS(E:E,$B:$B,"=20"&amp;RIGHT($G5,2))/1000</f>
        <v>20.728000000000002</v>
      </c>
      <c r="J5" s="6">
        <f>I5/H5*100</f>
        <v>1.8651424951589799</v>
      </c>
      <c r="L5" s="7">
        <f>OBR!AE62</f>
        <v>1114.6880000000001</v>
      </c>
      <c r="M5" s="6">
        <f>-OBR!Q62</f>
        <v>20.728000000000002</v>
      </c>
      <c r="N5" s="6">
        <f t="shared" ref="N5:N33" si="0">M5/L5*100</f>
        <v>1.8595337888270078</v>
      </c>
      <c r="AX5" t="s">
        <v>921</v>
      </c>
      <c r="AY5" s="6">
        <v>9.9</v>
      </c>
      <c r="AZ5" s="321">
        <v>15.7</v>
      </c>
      <c r="BG5" t="s">
        <v>941</v>
      </c>
      <c r="BH5" s="273">
        <f ca="1">SUM(BH4:BI4)-BI5</f>
        <v>12.331499070795989</v>
      </c>
      <c r="BI5" s="273">
        <f ca="1">AR34</f>
        <v>4.3630637532040133</v>
      </c>
    </row>
    <row r="6" spans="1:61">
      <c r="A6" s="5">
        <v>2000</v>
      </c>
      <c r="B6" s="5">
        <v>2001</v>
      </c>
      <c r="C6" t="s">
        <v>115</v>
      </c>
      <c r="D6" s="7">
        <f>INDEX(GMW!$A:$NF,MATCH('Fiscal position'!D$4,GMW!$NE:$NE,0),MATCH('Fiscal position'!$C6,GMW!$1:$1,0))</f>
        <v>273916</v>
      </c>
      <c r="E6" s="7">
        <f>INDEX(GMW!$A:$NF,MATCH('Fiscal position'!E$4,GMW!$NE:$NE,0),MATCH('Fiscal position'!$C6,GMW!$1:$1,0))</f>
        <v>3302</v>
      </c>
      <c r="G6" s="5" t="s">
        <v>392</v>
      </c>
      <c r="H6" s="7">
        <f t="shared" ref="H6:H34" si="1">SUMIFS(D:D,$B:$B,"=20"&amp;RIGHT($G6,2))/1000</f>
        <v>1155.732</v>
      </c>
      <c r="I6" s="6">
        <f t="shared" ref="I6:I33" si="2">SUMIFS(E:E,$B:$B,"=20"&amp;RIGHT($G6,2))/1000</f>
        <v>6.85</v>
      </c>
      <c r="J6" s="6">
        <f t="shared" ref="J6:J34" si="3">I6/H6*100</f>
        <v>0.59269796111901374</v>
      </c>
      <c r="L6" s="7">
        <f>OBR!AE63</f>
        <v>1152.3630000000001</v>
      </c>
      <c r="M6" s="6">
        <f>-OBR!Q63</f>
        <v>6.85</v>
      </c>
      <c r="N6" s="6">
        <f t="shared" si="0"/>
        <v>0.59443074795008155</v>
      </c>
      <c r="BG6" t="s">
        <v>938</v>
      </c>
      <c r="BH6" s="273">
        <f ca="1">BH5-BI6</f>
        <v>6.231499070795989</v>
      </c>
      <c r="BI6">
        <v>6.1</v>
      </c>
    </row>
    <row r="7" spans="1:61">
      <c r="A7" s="5">
        <v>2000</v>
      </c>
      <c r="B7" s="5">
        <v>2001</v>
      </c>
      <c r="C7" t="s">
        <v>116</v>
      </c>
      <c r="D7" s="7">
        <f>INDEX(GMW!$A:$NF,MATCH('Fiscal position'!D$4,GMW!$NE:$NE,0),MATCH('Fiscal position'!$C7,GMW!$1:$1,0))</f>
        <v>276174</v>
      </c>
      <c r="E7" s="7">
        <f>INDEX(GMW!$A:$NF,MATCH('Fiscal position'!E$4,GMW!$NE:$NE,0),MATCH('Fiscal position'!$C7,GMW!$1:$1,0))</f>
        <v>4784</v>
      </c>
      <c r="G7" s="5" t="s">
        <v>393</v>
      </c>
      <c r="H7" s="7">
        <f t="shared" si="1"/>
        <v>1206.4380000000001</v>
      </c>
      <c r="I7" s="6">
        <f t="shared" si="2"/>
        <v>-17.815999999999999</v>
      </c>
      <c r="J7" s="6">
        <f t="shared" si="3"/>
        <v>-1.4767439354529612</v>
      </c>
      <c r="L7" s="7">
        <f>OBR!AE64</f>
        <v>1208.8630000000001</v>
      </c>
      <c r="M7" s="6">
        <f>-OBR!Q64</f>
        <v>-17.815999999999999</v>
      </c>
      <c r="N7" s="6">
        <f t="shared" si="0"/>
        <v>-1.4737815616823409</v>
      </c>
      <c r="BG7" t="s">
        <v>939</v>
      </c>
      <c r="BH7" s="273">
        <f ca="1">BH3+BI4-BI5-BI6</f>
        <v>6.231499070795989</v>
      </c>
      <c r="BI7">
        <v>0</v>
      </c>
    </row>
    <row r="8" spans="1:61">
      <c r="A8" s="5">
        <v>2000</v>
      </c>
      <c r="B8" s="5">
        <v>2001</v>
      </c>
      <c r="C8" t="s">
        <v>117</v>
      </c>
      <c r="D8" s="7">
        <f>INDEX(GMW!$A:$NF,MATCH('Fiscal position'!D$4,GMW!$NE:$NE,0),MATCH('Fiscal position'!$C8,GMW!$1:$1,0))</f>
        <v>278357</v>
      </c>
      <c r="E8" s="7">
        <f>INDEX(GMW!$A:$NF,MATCH('Fiscal position'!E$4,GMW!$NE:$NE,0),MATCH('Fiscal position'!$C8,GMW!$1:$1,0))</f>
        <v>-2602</v>
      </c>
      <c r="G8" s="5" t="s">
        <v>394</v>
      </c>
      <c r="H8" s="7">
        <f t="shared" si="1"/>
        <v>1273.627</v>
      </c>
      <c r="I8" s="6">
        <f t="shared" si="2"/>
        <v>-22.408000000000001</v>
      </c>
      <c r="J8" s="6">
        <f t="shared" si="3"/>
        <v>-1.7593848120368054</v>
      </c>
      <c r="L8" s="7">
        <f>OBR!AE65</f>
        <v>1272.6020000000001</v>
      </c>
      <c r="M8" s="6">
        <f>-OBR!Q65</f>
        <v>-22.408000000000001</v>
      </c>
      <c r="N8" s="6">
        <f t="shared" si="0"/>
        <v>-1.7608018846426456</v>
      </c>
      <c r="AX8" t="s">
        <v>925</v>
      </c>
    </row>
    <row r="9" spans="1:61">
      <c r="A9" s="5">
        <f>A5+1</f>
        <v>2001</v>
      </c>
      <c r="B9" s="5">
        <v>2001</v>
      </c>
      <c r="C9" t="s">
        <v>118</v>
      </c>
      <c r="D9" s="7">
        <f>INDEX(GMW!$A:$NF,MATCH('Fiscal position'!D$4,GMW!$NE:$NE,0),MATCH('Fiscal position'!$C9,GMW!$1:$1,0))</f>
        <v>282889</v>
      </c>
      <c r="E9" s="7">
        <f>INDEX(GMW!$A:$NF,MATCH('Fiscal position'!E$4,GMW!$NE:$NE,0),MATCH('Fiscal position'!$C9,GMW!$1:$1,0))</f>
        <v>15244</v>
      </c>
      <c r="G9" s="5" t="s">
        <v>395</v>
      </c>
      <c r="H9" s="7">
        <f t="shared" si="1"/>
        <v>1341.1130000000001</v>
      </c>
      <c r="I9" s="6">
        <f t="shared" si="2"/>
        <v>-24.704999999999998</v>
      </c>
      <c r="J9" s="6">
        <f t="shared" si="3"/>
        <v>-1.8421266515200434</v>
      </c>
      <c r="L9" s="7">
        <f>OBR!AE66</f>
        <v>1342.153</v>
      </c>
      <c r="M9" s="6">
        <f>-OBR!Q66</f>
        <v>-24.704999999999998</v>
      </c>
      <c r="N9" s="6">
        <f t="shared" si="0"/>
        <v>-1.840699234737023</v>
      </c>
      <c r="AX9" t="s">
        <v>924</v>
      </c>
      <c r="AY9" s="6">
        <f>0.8*0.34+0.2*1</f>
        <v>0.47200000000000003</v>
      </c>
    </row>
    <row r="10" spans="1:61">
      <c r="A10" s="5">
        <f>A6+1</f>
        <v>2001</v>
      </c>
      <c r="B10" s="5">
        <f>B6+1</f>
        <v>2002</v>
      </c>
      <c r="C10" t="s">
        <v>119</v>
      </c>
      <c r="D10" s="7">
        <f>INDEX(GMW!$A:$NF,MATCH('Fiscal position'!D$4,GMW!$NE:$NE,0),MATCH('Fiscal position'!$C10,GMW!$1:$1,0))</f>
        <v>286728</v>
      </c>
      <c r="E10" s="7">
        <f>INDEX(GMW!$A:$NF,MATCH('Fiscal position'!E$4,GMW!$NE:$NE,0),MATCH('Fiscal position'!$C10,GMW!$1:$1,0))</f>
        <v>1081</v>
      </c>
      <c r="G10" s="5" t="s">
        <v>396</v>
      </c>
      <c r="H10" s="7">
        <f t="shared" si="1"/>
        <v>1418.7080000000001</v>
      </c>
      <c r="I10" s="6">
        <f t="shared" si="2"/>
        <v>-19.677</v>
      </c>
      <c r="J10" s="6">
        <f t="shared" si="3"/>
        <v>-1.3869661692187538</v>
      </c>
      <c r="L10" s="7">
        <f>OBR!AE67</f>
        <v>1418.4169999999999</v>
      </c>
      <c r="M10" s="6">
        <f>-OBR!Q67</f>
        <v>-19.677</v>
      </c>
      <c r="N10" s="6">
        <f t="shared" si="0"/>
        <v>-1.3872507168202299</v>
      </c>
      <c r="AX10" t="s">
        <v>926</v>
      </c>
      <c r="AY10" s="6">
        <f>0.34*(Q30/P30)+1*(R30/P30)</f>
        <v>0.57618729096989973</v>
      </c>
    </row>
    <row r="11" spans="1:61">
      <c r="A11" s="5">
        <f t="shared" ref="A11:B11" si="4">A7+1</f>
        <v>2001</v>
      </c>
      <c r="B11" s="5">
        <f t="shared" si="4"/>
        <v>2002</v>
      </c>
      <c r="C11" t="s">
        <v>120</v>
      </c>
      <c r="D11" s="7">
        <f>INDEX(GMW!$A:$NF,MATCH('Fiscal position'!D$4,GMW!$NE:$NE,0),MATCH('Fiscal position'!$C11,GMW!$1:$1,0))</f>
        <v>288166</v>
      </c>
      <c r="E11" s="7">
        <f>INDEX(GMW!$A:$NF,MATCH('Fiscal position'!E$4,GMW!$NE:$NE,0),MATCH('Fiscal position'!$C11,GMW!$1:$1,0))</f>
        <v>4081</v>
      </c>
      <c r="G11" s="5" t="s">
        <v>397</v>
      </c>
      <c r="H11" s="7">
        <f t="shared" si="1"/>
        <v>1487.7829999999999</v>
      </c>
      <c r="I11" s="6">
        <f t="shared" si="2"/>
        <v>-14.606</v>
      </c>
      <c r="J11" s="6">
        <f t="shared" si="3"/>
        <v>-0.98172919034563522</v>
      </c>
      <c r="L11" s="7">
        <f>OBR!AE68</f>
        <v>1486.2539999999999</v>
      </c>
      <c r="M11" s="6">
        <f>-OBR!Q68</f>
        <v>-14.606</v>
      </c>
      <c r="N11" s="6">
        <f t="shared" si="0"/>
        <v>-0.98273915494928865</v>
      </c>
      <c r="AX11" t="s">
        <v>927</v>
      </c>
      <c r="AY11" s="6">
        <f>0.5*(AY10-AY9)</f>
        <v>5.2093645484949852E-2</v>
      </c>
    </row>
    <row r="12" spans="1:61">
      <c r="A12" s="5">
        <f t="shared" ref="A12:B12" si="5">A8+1</f>
        <v>2001</v>
      </c>
      <c r="B12" s="5">
        <f t="shared" si="5"/>
        <v>2002</v>
      </c>
      <c r="C12" t="s">
        <v>121</v>
      </c>
      <c r="D12" s="7">
        <f>INDEX(GMW!$A:$NF,MATCH('Fiscal position'!D$4,GMW!$NE:$NE,0),MATCH('Fiscal position'!$C12,GMW!$1:$1,0))</f>
        <v>288352</v>
      </c>
      <c r="E12" s="7">
        <f>INDEX(GMW!$A:$NF,MATCH('Fiscal position'!E$4,GMW!$NE:$NE,0),MATCH('Fiscal position'!$C12,GMW!$1:$1,0))</f>
        <v>-6283</v>
      </c>
      <c r="G12" s="5" t="s">
        <v>398</v>
      </c>
      <c r="H12" s="7">
        <f t="shared" si="1"/>
        <v>1565.479</v>
      </c>
      <c r="I12" s="6">
        <f t="shared" si="2"/>
        <v>-17.484999999999999</v>
      </c>
      <c r="J12" s="6">
        <f t="shared" si="3"/>
        <v>-1.116910543035071</v>
      </c>
      <c r="L12" s="7">
        <f>OBR!AE69</f>
        <v>1565.8230000000001</v>
      </c>
      <c r="M12" s="6">
        <f>-OBR!Q69</f>
        <v>-17.623999999999999</v>
      </c>
      <c r="N12" s="6">
        <f t="shared" si="0"/>
        <v>-1.1255422867080123</v>
      </c>
      <c r="AX12" t="s">
        <v>928</v>
      </c>
      <c r="AY12" s="6">
        <f>AY10-AY9</f>
        <v>0.1041872909698997</v>
      </c>
    </row>
    <row r="13" spans="1:61">
      <c r="A13" s="5">
        <f t="shared" ref="A13:B13" si="6">A9+1</f>
        <v>2002</v>
      </c>
      <c r="B13" s="5">
        <f t="shared" si="6"/>
        <v>2002</v>
      </c>
      <c r="C13" t="s">
        <v>122</v>
      </c>
      <c r="D13" s="7">
        <f>INDEX(GMW!$A:$NF,MATCH('Fiscal position'!D$4,GMW!$NE:$NE,0),MATCH('Fiscal position'!$C13,GMW!$1:$1,0))</f>
        <v>292486</v>
      </c>
      <c r="E13" s="7">
        <f>INDEX(GMW!$A:$NF,MATCH('Fiscal position'!E$4,GMW!$NE:$NE,0),MATCH('Fiscal position'!$C13,GMW!$1:$1,0))</f>
        <v>7971</v>
      </c>
      <c r="G13" s="5" t="s">
        <v>399</v>
      </c>
      <c r="H13" s="7">
        <f t="shared" si="1"/>
        <v>1582.674</v>
      </c>
      <c r="I13" s="6">
        <f t="shared" si="2"/>
        <v>-56.046999999999997</v>
      </c>
      <c r="J13" s="6">
        <f t="shared" si="3"/>
        <v>-3.5412851920231199</v>
      </c>
      <c r="L13" s="7">
        <f>OBR!AE70</f>
        <v>1582.979</v>
      </c>
      <c r="M13" s="6">
        <f>-OBR!Q70</f>
        <v>-69.397999999999996</v>
      </c>
      <c r="N13" s="6">
        <f t="shared" si="0"/>
        <v>-4.3840126748364945</v>
      </c>
    </row>
    <row r="14" spans="1:61">
      <c r="A14" s="5">
        <f t="shared" ref="A14:B14" si="7">A10+1</f>
        <v>2002</v>
      </c>
      <c r="B14" s="5">
        <f t="shared" si="7"/>
        <v>2003</v>
      </c>
      <c r="C14" t="s">
        <v>123</v>
      </c>
      <c r="D14" s="7">
        <f>INDEX(GMW!$A:$NF,MATCH('Fiscal position'!D$4,GMW!$NE:$NE,0),MATCH('Fiscal position'!$C14,GMW!$1:$1,0))</f>
        <v>295516</v>
      </c>
      <c r="E14" s="7">
        <f>INDEX(GMW!$A:$NF,MATCH('Fiscal position'!E$4,GMW!$NE:$NE,0),MATCH('Fiscal position'!$C14,GMW!$1:$1,0))</f>
        <v>-7813</v>
      </c>
      <c r="G14" s="5" t="s">
        <v>400</v>
      </c>
      <c r="H14" s="7">
        <f t="shared" si="1"/>
        <v>1558.104</v>
      </c>
      <c r="I14" s="6">
        <f t="shared" si="2"/>
        <v>-96.477000000000004</v>
      </c>
      <c r="J14" s="6">
        <f t="shared" si="3"/>
        <v>-6.1919486760832401</v>
      </c>
      <c r="L14" s="7">
        <f>OBR!AE71</f>
        <v>1557.029</v>
      </c>
      <c r="M14" s="6">
        <f>-OBR!Q71</f>
        <v>-113.66</v>
      </c>
      <c r="N14" s="6">
        <f t="shared" si="0"/>
        <v>-7.2997998110504048</v>
      </c>
    </row>
    <row r="15" spans="1:61">
      <c r="A15" s="5">
        <f t="shared" ref="A15:B15" si="8">A11+1</f>
        <v>2002</v>
      </c>
      <c r="B15" s="5">
        <f t="shared" si="8"/>
        <v>2003</v>
      </c>
      <c r="C15" t="s">
        <v>124</v>
      </c>
      <c r="D15" s="7">
        <f>INDEX(GMW!$A:$NF,MATCH('Fiscal position'!D$4,GMW!$NE:$NE,0),MATCH('Fiscal position'!$C15,GMW!$1:$1,0))</f>
        <v>299230</v>
      </c>
      <c r="E15" s="7">
        <f>INDEX(GMW!$A:$NF,MATCH('Fiscal position'!E$4,GMW!$NE:$NE,0),MATCH('Fiscal position'!$C15,GMW!$1:$1,0))</f>
        <v>-2787</v>
      </c>
      <c r="G15" s="5" t="s">
        <v>401</v>
      </c>
      <c r="H15" s="7">
        <f t="shared" si="1"/>
        <v>1627.183</v>
      </c>
      <c r="I15" s="6">
        <f t="shared" si="2"/>
        <v>-83.343000000000004</v>
      </c>
      <c r="J15" s="6">
        <f t="shared" si="3"/>
        <v>-5.1219192924213193</v>
      </c>
      <c r="L15" s="7">
        <f>OBR!AE72</f>
        <v>1627.8230000000001</v>
      </c>
      <c r="M15" s="6">
        <f>-OBR!Q72</f>
        <v>-101.69499999999999</v>
      </c>
      <c r="N15" s="6">
        <f t="shared" si="0"/>
        <v>-6.2473008429049095</v>
      </c>
    </row>
    <row r="16" spans="1:61">
      <c r="A16" s="5">
        <f t="shared" ref="A16:B16" si="9">A12+1</f>
        <v>2002</v>
      </c>
      <c r="B16" s="5">
        <f t="shared" si="9"/>
        <v>2003</v>
      </c>
      <c r="C16" t="s">
        <v>125</v>
      </c>
      <c r="D16" s="7">
        <f>INDEX(GMW!$A:$NF,MATCH('Fiscal position'!D$4,GMW!$NE:$NE,0),MATCH('Fiscal position'!$C16,GMW!$1:$1,0))</f>
        <v>304207</v>
      </c>
      <c r="E16" s="7">
        <f>INDEX(GMW!$A:$NF,MATCH('Fiscal position'!E$4,GMW!$NE:$NE,0),MATCH('Fiscal position'!$C16,GMW!$1:$1,0))</f>
        <v>-9802</v>
      </c>
      <c r="G16" s="5" t="s">
        <v>402</v>
      </c>
      <c r="H16" s="7">
        <f t="shared" si="1"/>
        <v>1672.3240000000001</v>
      </c>
      <c r="I16" s="6">
        <f t="shared" si="2"/>
        <v>-70.730999999999995</v>
      </c>
      <c r="J16" s="6">
        <f t="shared" si="3"/>
        <v>-4.2295033737481491</v>
      </c>
      <c r="L16" s="7">
        <f>OBR!AE73</f>
        <v>1673.2429999999999</v>
      </c>
      <c r="M16" s="6">
        <f>-OBR!Q73</f>
        <v>-89.84</v>
      </c>
      <c r="N16" s="6">
        <f t="shared" si="0"/>
        <v>-5.3692141547880379</v>
      </c>
    </row>
    <row r="17" spans="1:54">
      <c r="A17" s="5">
        <f t="shared" ref="A17:B17" si="10">A13+1</f>
        <v>2003</v>
      </c>
      <c r="B17" s="5">
        <f t="shared" si="10"/>
        <v>2003</v>
      </c>
      <c r="C17" t="s">
        <v>126</v>
      </c>
      <c r="D17" s="7">
        <f>INDEX(GMW!$A:$NF,MATCH('Fiscal position'!D$4,GMW!$NE:$NE,0),MATCH('Fiscal position'!$C17,GMW!$1:$1,0))</f>
        <v>307485</v>
      </c>
      <c r="E17" s="7">
        <f>INDEX(GMW!$A:$NF,MATCH('Fiscal position'!E$4,GMW!$NE:$NE,0),MATCH('Fiscal position'!$C17,GMW!$1:$1,0))</f>
        <v>2586</v>
      </c>
      <c r="G17" s="5" t="s">
        <v>403</v>
      </c>
      <c r="H17" s="7">
        <f t="shared" si="1"/>
        <v>1727.4580000000001</v>
      </c>
      <c r="I17" s="6">
        <f t="shared" si="2"/>
        <v>-79.331999999999994</v>
      </c>
      <c r="J17" s="6">
        <f t="shared" si="3"/>
        <v>-4.5924126664729323</v>
      </c>
      <c r="L17" s="7">
        <f>OBR!AE74</f>
        <v>1725.3389999999999</v>
      </c>
      <c r="M17" s="6">
        <f>-OBR!Q74</f>
        <v>-91.375</v>
      </c>
      <c r="N17" s="6">
        <f t="shared" si="0"/>
        <v>-5.2960606582242677</v>
      </c>
      <c r="AY17" t="s">
        <v>919</v>
      </c>
      <c r="AZ17" t="s">
        <v>920</v>
      </c>
      <c r="BA17" t="s">
        <v>919</v>
      </c>
      <c r="BB17" t="s">
        <v>920</v>
      </c>
    </row>
    <row r="18" spans="1:54">
      <c r="A18" s="5">
        <f t="shared" ref="A18:B18" si="11">A14+1</f>
        <v>2003</v>
      </c>
      <c r="B18" s="5">
        <f t="shared" si="11"/>
        <v>2004</v>
      </c>
      <c r="C18" t="s">
        <v>127</v>
      </c>
      <c r="D18" s="7">
        <f>INDEX(GMW!$A:$NF,MATCH('Fiscal position'!D$4,GMW!$NE:$NE,0),MATCH('Fiscal position'!$C18,GMW!$1:$1,0))</f>
        <v>312948</v>
      </c>
      <c r="E18" s="7">
        <f>INDEX(GMW!$A:$NF,MATCH('Fiscal position'!E$4,GMW!$NE:$NE,0),MATCH('Fiscal position'!$C18,GMW!$1:$1,0))</f>
        <v>-10449</v>
      </c>
      <c r="G18" s="5" t="s">
        <v>404</v>
      </c>
      <c r="H18" s="7">
        <f t="shared" si="1"/>
        <v>1800.761</v>
      </c>
      <c r="I18" s="6">
        <f t="shared" si="2"/>
        <v>-68.498000000000005</v>
      </c>
      <c r="J18" s="6">
        <f t="shared" si="3"/>
        <v>-3.8038362670004515</v>
      </c>
      <c r="L18" s="7">
        <f>OBR!AE75</f>
        <v>1803.854</v>
      </c>
      <c r="M18" s="6">
        <f>-OBR!Q75</f>
        <v>-77.272999999999996</v>
      </c>
      <c r="N18" s="6">
        <f t="shared" si="0"/>
        <v>-4.2837724117362042</v>
      </c>
      <c r="AX18" t="s">
        <v>929</v>
      </c>
      <c r="AY18">
        <v>9.9</v>
      </c>
      <c r="AZ18">
        <v>9.9</v>
      </c>
      <c r="BA18">
        <v>15.7</v>
      </c>
      <c r="BB18">
        <v>15.7</v>
      </c>
    </row>
    <row r="19" spans="1:54">
      <c r="A19" s="5">
        <f t="shared" ref="A19:B19" si="12">A15+1</f>
        <v>2003</v>
      </c>
      <c r="B19" s="5">
        <f t="shared" si="12"/>
        <v>2004</v>
      </c>
      <c r="C19" t="s">
        <v>128</v>
      </c>
      <c r="D19" s="7">
        <f>INDEX(GMW!$A:$NF,MATCH('Fiscal position'!D$4,GMW!$NE:$NE,0),MATCH('Fiscal position'!$C19,GMW!$1:$1,0))</f>
        <v>317463</v>
      </c>
      <c r="E19" s="7">
        <f>INDEX(GMW!$A:$NF,MATCH('Fiscal position'!E$4,GMW!$NE:$NE,0),MATCH('Fiscal position'!$C19,GMW!$1:$1,0))</f>
        <v>-7428</v>
      </c>
      <c r="G19" s="5" t="s">
        <v>405</v>
      </c>
      <c r="H19" s="7">
        <f t="shared" si="1"/>
        <v>1879.511</v>
      </c>
      <c r="I19" s="6">
        <f t="shared" si="2"/>
        <v>-53.924999999999997</v>
      </c>
      <c r="J19" s="6">
        <f t="shared" si="3"/>
        <v>-2.8690973343598416</v>
      </c>
      <c r="L19" s="7">
        <f>OBR!AE76</f>
        <v>1875.402</v>
      </c>
      <c r="M19" s="6">
        <f>-OBR!Q76</f>
        <v>-62.195</v>
      </c>
      <c r="N19" s="6">
        <f t="shared" si="0"/>
        <v>-3.3163556400174468</v>
      </c>
      <c r="W19" s="6">
        <f ca="1">OFFSET(NATO1!$D$40,0,ROW()-ROW('Fiscal position'!$G$19))/1000</f>
        <v>39.902047274380003</v>
      </c>
      <c r="X19" s="6"/>
      <c r="Y19" s="6"/>
      <c r="Z19" s="6">
        <f ca="1">W19/$L19*100</f>
        <v>2.1276530191596255</v>
      </c>
      <c r="AA19" s="6"/>
      <c r="AB19" s="6"/>
      <c r="AX19" t="s">
        <v>930</v>
      </c>
      <c r="AY19" s="273">
        <f>AY3</f>
        <v>3.5054371760000009</v>
      </c>
      <c r="AZ19" s="273">
        <f>AY4</f>
        <v>13.805437176000002</v>
      </c>
      <c r="BA19" s="273">
        <f>AZ3</f>
        <v>10.205437176</v>
      </c>
      <c r="BB19" s="273">
        <f>AZ4</f>
        <v>27.205437176</v>
      </c>
    </row>
    <row r="20" spans="1:54">
      <c r="A20" s="5">
        <f t="shared" ref="A20:B20" si="13">A16+1</f>
        <v>2003</v>
      </c>
      <c r="B20" s="5">
        <f t="shared" si="13"/>
        <v>2004</v>
      </c>
      <c r="C20" t="s">
        <v>129</v>
      </c>
      <c r="D20" s="7">
        <f>INDEX(GMW!$A:$NF,MATCH('Fiscal position'!D$4,GMW!$NE:$NE,0),MATCH('Fiscal position'!$C20,GMW!$1:$1,0))</f>
        <v>320438</v>
      </c>
      <c r="E20" s="7">
        <f>INDEX(GMW!$A:$NF,MATCH('Fiscal position'!E$4,GMW!$NE:$NE,0),MATCH('Fiscal position'!$C20,GMW!$1:$1,0))</f>
        <v>-10401</v>
      </c>
      <c r="G20" s="5" t="s">
        <v>406</v>
      </c>
      <c r="H20" s="7">
        <f t="shared" si="1"/>
        <v>1931.454</v>
      </c>
      <c r="I20" s="6">
        <f t="shared" si="2"/>
        <v>-42.197000000000003</v>
      </c>
      <c r="J20" s="6">
        <f t="shared" si="3"/>
        <v>-2.1847271537401358</v>
      </c>
      <c r="L20" s="7">
        <f>OBR!AE77</f>
        <v>1932.1</v>
      </c>
      <c r="M20" s="6">
        <f>-OBR!Q77</f>
        <v>-49.369</v>
      </c>
      <c r="N20" s="6">
        <f t="shared" si="0"/>
        <v>-2.5551990062626158</v>
      </c>
      <c r="W20" s="6">
        <f ca="1">OFFSET(NATO1!$D$40,0,ROW()-ROW('Fiscal position'!$G$19))/1000</f>
        <v>38.940359641489998</v>
      </c>
      <c r="X20" s="6"/>
      <c r="Y20" s="6"/>
      <c r="Z20" s="6">
        <f t="shared" ref="Z20:Z34" ca="1" si="14">W20/$L20*100</f>
        <v>2.0154422463376638</v>
      </c>
      <c r="AA20" s="6"/>
      <c r="AB20" s="6"/>
    </row>
    <row r="21" spans="1:54">
      <c r="A21" s="5">
        <f t="shared" ref="A21:B21" si="15">A17+1</f>
        <v>2004</v>
      </c>
      <c r="B21" s="5">
        <f t="shared" si="15"/>
        <v>2004</v>
      </c>
      <c r="C21" t="s">
        <v>130</v>
      </c>
      <c r="D21" s="7">
        <f>INDEX(GMW!$A:$NF,MATCH('Fiscal position'!D$4,GMW!$NE:$NE,0),MATCH('Fiscal position'!$C21,GMW!$1:$1,0))</f>
        <v>322778</v>
      </c>
      <c r="E21" s="7">
        <f>INDEX(GMW!$A:$NF,MATCH('Fiscal position'!E$4,GMW!$NE:$NE,0),MATCH('Fiscal position'!$C21,GMW!$1:$1,0))</f>
        <v>5870</v>
      </c>
      <c r="G21" s="5" t="s">
        <v>407</v>
      </c>
      <c r="H21" s="7">
        <f t="shared" si="1"/>
        <v>2015.7760000000001</v>
      </c>
      <c r="I21" s="6">
        <f t="shared" si="2"/>
        <v>-10.395</v>
      </c>
      <c r="J21" s="6">
        <f t="shared" si="3"/>
        <v>-0.51568229803311472</v>
      </c>
      <c r="L21" s="7">
        <f>OBR!AE78</f>
        <v>2013.606</v>
      </c>
      <c r="M21" s="6">
        <f>-OBR!Q78</f>
        <v>-21.212</v>
      </c>
      <c r="N21" s="6">
        <f t="shared" si="0"/>
        <v>-1.0534334919542354</v>
      </c>
      <c r="W21" s="6">
        <f ca="1">OFFSET(NATO1!$D$40,0,ROW()-ROW('Fiscal position'!$G$19))/1000</f>
        <v>41.589628000000005</v>
      </c>
      <c r="X21" s="6"/>
      <c r="Y21" s="6"/>
      <c r="Z21" s="6">
        <f t="shared" ca="1" si="14"/>
        <v>2.0654302778199911</v>
      </c>
      <c r="AA21" s="6"/>
      <c r="AB21" s="6"/>
      <c r="AY21">
        <v>2.5</v>
      </c>
      <c r="AZ21">
        <v>0</v>
      </c>
    </row>
    <row r="22" spans="1:54">
      <c r="A22" s="5">
        <f t="shared" ref="A22:B22" si="16">A18+1</f>
        <v>2004</v>
      </c>
      <c r="B22" s="5">
        <f t="shared" si="16"/>
        <v>2005</v>
      </c>
      <c r="C22" t="s">
        <v>131</v>
      </c>
      <c r="D22" s="7">
        <f>INDEX(GMW!$A:$NF,MATCH('Fiscal position'!D$4,GMW!$NE:$NE,0),MATCH('Fiscal position'!$C22,GMW!$1:$1,0))</f>
        <v>329732</v>
      </c>
      <c r="E22" s="7">
        <f>INDEX(GMW!$A:$NF,MATCH('Fiscal position'!E$4,GMW!$NE:$NE,0),MATCH('Fiscal position'!$C22,GMW!$1:$1,0))</f>
        <v>-11665</v>
      </c>
      <c r="G22" s="5" t="s">
        <v>408</v>
      </c>
      <c r="H22" s="7">
        <f t="shared" si="1"/>
        <v>2099.799</v>
      </c>
      <c r="I22" s="6">
        <f t="shared" si="2"/>
        <v>-1.494</v>
      </c>
      <c r="J22" s="6">
        <f t="shared" si="3"/>
        <v>-7.1149667182430321E-2</v>
      </c>
      <c r="L22" s="7">
        <f>OBR!AE79</f>
        <v>2098.8090000000002</v>
      </c>
      <c r="M22" s="6">
        <f>-OBR!Q79</f>
        <v>-13.393000000000001</v>
      </c>
      <c r="N22" s="6">
        <f t="shared" si="0"/>
        <v>-0.63812381212392355</v>
      </c>
      <c r="W22" s="6">
        <f ca="1">OFFSET(NATO1!$D$40,0,ROW()-ROW('Fiscal position'!$G$19))/1000</f>
        <v>43.257419458579996</v>
      </c>
      <c r="X22" s="6"/>
      <c r="Y22" s="6"/>
      <c r="Z22" s="6">
        <f t="shared" ca="1" si="14"/>
        <v>2.0610460246063358</v>
      </c>
      <c r="AA22" s="6"/>
      <c r="AB22" s="6"/>
      <c r="AY22">
        <v>2.5</v>
      </c>
      <c r="AZ22">
        <v>35</v>
      </c>
    </row>
    <row r="23" spans="1:54">
      <c r="A23" s="5">
        <f t="shared" ref="A23:B23" si="17">A19+1</f>
        <v>2004</v>
      </c>
      <c r="B23" s="5">
        <f t="shared" si="17"/>
        <v>2005</v>
      </c>
      <c r="C23" t="s">
        <v>132</v>
      </c>
      <c r="D23" s="7">
        <f>INDEX(GMW!$A:$NF,MATCH('Fiscal position'!D$4,GMW!$NE:$NE,0),MATCH('Fiscal position'!$C23,GMW!$1:$1,0))</f>
        <v>331592</v>
      </c>
      <c r="E23" s="7">
        <f>INDEX(GMW!$A:$NF,MATCH('Fiscal position'!E$4,GMW!$NE:$NE,0),MATCH('Fiscal position'!$C23,GMW!$1:$1,0))</f>
        <v>-7986</v>
      </c>
      <c r="G23" s="5" t="s">
        <v>409</v>
      </c>
      <c r="H23" s="7">
        <f t="shared" si="1"/>
        <v>2170.2330000000002</v>
      </c>
      <c r="I23" s="6">
        <f t="shared" si="2"/>
        <v>9.7590000000000003</v>
      </c>
      <c r="J23" s="6">
        <f t="shared" si="3"/>
        <v>0.44967521920457382</v>
      </c>
      <c r="L23" s="7">
        <f>OBR!AE80</f>
        <v>2173.6660000000002</v>
      </c>
      <c r="M23" s="6">
        <f>-OBR!Q80</f>
        <v>0.76200000000000001</v>
      </c>
      <c r="N23" s="6">
        <f t="shared" si="0"/>
        <v>3.5055983761994709E-2</v>
      </c>
      <c r="W23" s="6">
        <f ca="1">OFFSET(NATO1!$D$40,0,ROW()-ROW('Fiscal position'!$G$19))/1000</f>
        <v>45.201996663700001</v>
      </c>
      <c r="X23" s="6"/>
      <c r="Y23" s="6"/>
      <c r="Z23" s="6">
        <f t="shared" ca="1" si="14"/>
        <v>2.0795281641107692</v>
      </c>
      <c r="AA23" s="6"/>
      <c r="AB23" s="6"/>
    </row>
    <row r="24" spans="1:54">
      <c r="A24" s="5">
        <f t="shared" ref="A24:B24" si="18">A20+1</f>
        <v>2004</v>
      </c>
      <c r="B24" s="5">
        <f t="shared" si="18"/>
        <v>2005</v>
      </c>
      <c r="C24" t="s">
        <v>133</v>
      </c>
      <c r="D24" s="7">
        <f>INDEX(GMW!$A:$NF,MATCH('Fiscal position'!D$4,GMW!$NE:$NE,0),MATCH('Fiscal position'!$C24,GMW!$1:$1,0))</f>
        <v>338535</v>
      </c>
      <c r="E24" s="7">
        <f>INDEX(GMW!$A:$NF,MATCH('Fiscal position'!E$4,GMW!$NE:$NE,0),MATCH('Fiscal position'!$C24,GMW!$1:$1,0))</f>
        <v>-10568</v>
      </c>
      <c r="G24" s="5" t="s">
        <v>410</v>
      </c>
      <c r="H24" s="7">
        <f t="shared" si="1"/>
        <v>2240.752</v>
      </c>
      <c r="I24" s="6">
        <f t="shared" si="2"/>
        <v>-11.145</v>
      </c>
      <c r="J24" s="6">
        <f t="shared" si="3"/>
        <v>-0.49737766606924816</v>
      </c>
      <c r="L24" s="7">
        <f>OBR!AE81</f>
        <v>2241.8040000000001</v>
      </c>
      <c r="M24" s="6">
        <f>-OBR!Q81</f>
        <v>-18.271000000000001</v>
      </c>
      <c r="N24" s="6">
        <f t="shared" si="0"/>
        <v>-0.81501326610176439</v>
      </c>
      <c r="W24" s="6">
        <f ca="1">OFFSET(NATO1!$D$40,0,ROW()-ROW('Fiscal position'!$G$19))/1000</f>
        <v>46.508943999999993</v>
      </c>
      <c r="X24" s="6"/>
      <c r="Y24" s="6"/>
      <c r="Z24" s="6">
        <f t="shared" ca="1" si="14"/>
        <v>2.0746213317488946</v>
      </c>
      <c r="AA24" s="6"/>
      <c r="AB24" s="6"/>
    </row>
    <row r="25" spans="1:54">
      <c r="A25" s="5">
        <f t="shared" ref="A25:B25" si="19">A21+1</f>
        <v>2005</v>
      </c>
      <c r="B25" s="5">
        <f t="shared" si="19"/>
        <v>2005</v>
      </c>
      <c r="C25" t="s">
        <v>134</v>
      </c>
      <c r="D25" s="7">
        <f>INDEX(GMW!$A:$NF,MATCH('Fiscal position'!D$4,GMW!$NE:$NE,0),MATCH('Fiscal position'!$C25,GMW!$1:$1,0))</f>
        <v>341254</v>
      </c>
      <c r="E25" s="7">
        <f>INDEX(GMW!$A:$NF,MATCH('Fiscal position'!E$4,GMW!$NE:$NE,0),MATCH('Fiscal position'!$C25,GMW!$1:$1,0))</f>
        <v>5514</v>
      </c>
      <c r="G25" s="5" t="s">
        <v>411</v>
      </c>
      <c r="H25" s="7">
        <f t="shared" si="1"/>
        <v>2085.587</v>
      </c>
      <c r="I25" s="6">
        <f t="shared" si="2"/>
        <v>-233.31899999999999</v>
      </c>
      <c r="J25" s="6">
        <f t="shared" si="3"/>
        <v>-11.187210123576719</v>
      </c>
      <c r="L25" s="7">
        <f>OBR!AE82</f>
        <v>2087.4</v>
      </c>
      <c r="M25" s="6">
        <f>-OBR!Q82</f>
        <v>-242.64</v>
      </c>
      <c r="N25" s="6">
        <f t="shared" si="0"/>
        <v>-11.624029893647599</v>
      </c>
      <c r="W25" s="6">
        <f ca="1">OFFSET(NATO1!$D$40,0,ROW()-ROW('Fiscal position'!$G$19))/1000</f>
        <v>49.494579999999992</v>
      </c>
      <c r="X25" s="6"/>
      <c r="Y25" s="6"/>
      <c r="Z25" s="6">
        <f t="shared" ca="1" si="14"/>
        <v>2.3711114304876877</v>
      </c>
      <c r="AA25" s="6"/>
      <c r="AB25" s="6"/>
    </row>
    <row r="26" spans="1:54">
      <c r="A26" s="5">
        <f t="shared" ref="A26:B26" si="20">A22+1</f>
        <v>2005</v>
      </c>
      <c r="B26" s="5">
        <f t="shared" si="20"/>
        <v>2006</v>
      </c>
      <c r="C26" t="s">
        <v>135</v>
      </c>
      <c r="D26" s="7">
        <f>INDEX(GMW!$A:$NF,MATCH('Fiscal position'!D$4,GMW!$NE:$NE,0),MATCH('Fiscal position'!$C26,GMW!$1:$1,0))</f>
        <v>348491</v>
      </c>
      <c r="E26" s="7">
        <f>INDEX(GMW!$A:$NF,MATCH('Fiscal position'!E$4,GMW!$NE:$NE,0),MATCH('Fiscal position'!$C26,GMW!$1:$1,0))</f>
        <v>-10247</v>
      </c>
      <c r="G26" s="5" t="s">
        <v>412</v>
      </c>
      <c r="H26" s="7">
        <f t="shared" si="1"/>
        <v>2357.7539999999999</v>
      </c>
      <c r="I26" s="6">
        <f t="shared" si="2"/>
        <v>-60.386000000000003</v>
      </c>
      <c r="J26" s="6">
        <f t="shared" si="3"/>
        <v>-2.5611662624684342</v>
      </c>
      <c r="L26" s="7">
        <f>OBR!AE83</f>
        <v>2356.8829999999998</v>
      </c>
      <c r="M26" s="6">
        <f>-OBR!Q83</f>
        <v>-68.954999999999998</v>
      </c>
      <c r="N26" s="6">
        <f t="shared" si="0"/>
        <v>-2.9256861710997111</v>
      </c>
      <c r="W26" s="6">
        <f ca="1">OFFSET(NATO1!$D$40,0,ROW()-ROW('Fiscal position'!$G$19))/1000</f>
        <v>52.282999999999987</v>
      </c>
      <c r="X26" s="6"/>
      <c r="Y26" s="6"/>
      <c r="Z26" s="6">
        <f t="shared" ca="1" si="14"/>
        <v>2.2183112186731373</v>
      </c>
      <c r="AA26" s="6"/>
      <c r="AB26" s="6"/>
    </row>
    <row r="27" spans="1:54">
      <c r="A27" s="5">
        <f t="shared" ref="A27:B27" si="21">A23+1</f>
        <v>2005</v>
      </c>
      <c r="B27" s="5">
        <f t="shared" si="21"/>
        <v>2006</v>
      </c>
      <c r="C27" t="s">
        <v>136</v>
      </c>
      <c r="D27" s="7">
        <f>INDEX(GMW!$A:$NF,MATCH('Fiscal position'!D$4,GMW!$NE:$NE,0),MATCH('Fiscal position'!$C27,GMW!$1:$1,0))</f>
        <v>352001</v>
      </c>
      <c r="E27" s="7">
        <f>INDEX(GMW!$A:$NF,MATCH('Fiscal position'!E$4,GMW!$NE:$NE,0),MATCH('Fiscal position'!$C27,GMW!$1:$1,0))</f>
        <v>-5645</v>
      </c>
      <c r="G27" s="5" t="s">
        <v>413</v>
      </c>
      <c r="H27" s="7">
        <f t="shared" si="1"/>
        <v>2583.1849999999999</v>
      </c>
      <c r="I27" s="6">
        <f t="shared" si="2"/>
        <v>-67.67</v>
      </c>
      <c r="J27" s="6">
        <f t="shared" si="3"/>
        <v>-2.6196342886785113</v>
      </c>
      <c r="L27" s="7">
        <f>OBR!AE84</f>
        <v>2584.8409999999999</v>
      </c>
      <c r="M27" s="6">
        <f>-OBR!Q84</f>
        <v>-77.358000000000004</v>
      </c>
      <c r="N27" s="6">
        <f t="shared" si="0"/>
        <v>-2.9927566144300561</v>
      </c>
      <c r="W27" s="6">
        <f ca="1">OFFSET(NATO1!$D$40,0,ROW()-ROW('Fiscal position'!$G$19))/1000</f>
        <v>57.268875999999992</v>
      </c>
      <c r="X27" s="6"/>
      <c r="Y27" s="6"/>
      <c r="Z27" s="6">
        <f t="shared" ca="1" si="14"/>
        <v>2.2155666828249783</v>
      </c>
      <c r="AA27" s="6"/>
      <c r="AB27" s="6"/>
    </row>
    <row r="28" spans="1:54">
      <c r="A28" s="5">
        <f t="shared" ref="A28:B28" si="22">A24+1</f>
        <v>2005</v>
      </c>
      <c r="B28" s="5">
        <f t="shared" si="22"/>
        <v>2006</v>
      </c>
      <c r="C28" t="s">
        <v>137</v>
      </c>
      <c r="D28" s="7">
        <f>INDEX(GMW!$A:$NF,MATCH('Fiscal position'!D$4,GMW!$NE:$NE,0),MATCH('Fiscal position'!$C28,GMW!$1:$1,0))</f>
        <v>357003</v>
      </c>
      <c r="E28" s="7">
        <f>INDEX(GMW!$A:$NF,MATCH('Fiscal position'!E$4,GMW!$NE:$NE,0),MATCH('Fiscal position'!$C28,GMW!$1:$1,0))</f>
        <v>-11313</v>
      </c>
      <c r="G28" s="5" t="s">
        <v>414</v>
      </c>
      <c r="H28" s="7">
        <f t="shared" si="1"/>
        <v>2749.0169999999998</v>
      </c>
      <c r="I28" s="6">
        <f t="shared" si="2"/>
        <v>-50.575000000000003</v>
      </c>
      <c r="J28" s="6">
        <f t="shared" si="3"/>
        <v>-1.8397485355674412</v>
      </c>
      <c r="L28" s="7">
        <f>OBR!AE85</f>
        <v>2752.9839999999999</v>
      </c>
      <c r="M28" s="6">
        <f>-OBR!Q85</f>
        <v>-60.829000000000001</v>
      </c>
      <c r="N28" s="6">
        <f t="shared" si="0"/>
        <v>-2.2095660563228847</v>
      </c>
      <c r="P28" s="178">
        <v>53.9</v>
      </c>
      <c r="Q28" s="178">
        <f>P28-R28</f>
        <v>34.799999999999997</v>
      </c>
      <c r="R28" s="178">
        <v>19.100000000000001</v>
      </c>
      <c r="S28" s="6">
        <f>P28/$L28*100</f>
        <v>1.9578755270644506</v>
      </c>
      <c r="T28" s="6">
        <f t="shared" ref="T28" si="23">Q28/$L28*100</f>
        <v>1.264082900590777</v>
      </c>
      <c r="U28" s="6">
        <f t="shared" ref="U28" si="24">R28/$L28*100</f>
        <v>0.69379262647367379</v>
      </c>
      <c r="V28" s="272">
        <f ca="1">W28/P28</f>
        <v>1.1480034664385503</v>
      </c>
      <c r="W28" s="6">
        <f ca="1">OFFSET(NATO1!$D$40,0,ROW()-ROW('Fiscal position'!$G$19))/1000</f>
        <v>61.877386841037861</v>
      </c>
      <c r="X28" s="6">
        <f ca="1">W28-Y28</f>
        <v>39.950520632061554</v>
      </c>
      <c r="Y28" s="6">
        <f t="shared" ref="Y28:Y33" ca="1" si="25">R28/P28*W28</f>
        <v>21.92686620897631</v>
      </c>
      <c r="Z28" s="6">
        <f t="shared" ca="1" si="14"/>
        <v>2.2476478919251934</v>
      </c>
      <c r="AA28" s="6">
        <f t="shared" ref="AA28:AB34" ca="1" si="26">X28/$L28*100</f>
        <v>1.4511715517439097</v>
      </c>
      <c r="AB28" s="6">
        <f t="shared" ca="1" si="26"/>
        <v>0.79647634018128366</v>
      </c>
      <c r="AD28" s="6">
        <f t="shared" ref="AD28:AD33" si="27">0.5/100*L28</f>
        <v>13.76492</v>
      </c>
      <c r="AE28" s="6"/>
      <c r="AF28" s="6"/>
      <c r="AG28" s="6"/>
    </row>
    <row r="29" spans="1:54">
      <c r="A29" s="5">
        <f t="shared" ref="A29:B29" si="28">A25+1</f>
        <v>2006</v>
      </c>
      <c r="B29" s="5">
        <f t="shared" si="28"/>
        <v>2006</v>
      </c>
      <c r="C29" t="s">
        <v>138</v>
      </c>
      <c r="D29" s="7">
        <f>INDEX(GMW!$A:$NF,MATCH('Fiscal position'!D$4,GMW!$NE:$NE,0),MATCH('Fiscal position'!$C29,GMW!$1:$1,0))</f>
        <v>361213</v>
      </c>
      <c r="E29" s="7">
        <f>INDEX(GMW!$A:$NF,MATCH('Fiscal position'!E$4,GMW!$NE:$NE,0),MATCH('Fiscal position'!$C29,GMW!$1:$1,0))</f>
        <v>7528</v>
      </c>
      <c r="G29" s="5" t="s">
        <v>415</v>
      </c>
      <c r="H29" s="7">
        <f t="shared" si="1"/>
        <v>2882.82</v>
      </c>
      <c r="I29" s="6">
        <f t="shared" si="2"/>
        <v>-56.195809999999994</v>
      </c>
      <c r="J29" s="6">
        <f t="shared" si="3"/>
        <v>-1.9493346792376904</v>
      </c>
      <c r="L29" s="7">
        <f>OBR!AE86</f>
        <v>2814.6771269999999</v>
      </c>
      <c r="M29" s="6">
        <f>-OBR!Q86</f>
        <v>-55.477860925319675</v>
      </c>
      <c r="N29" s="6">
        <f t="shared" si="0"/>
        <v>-1.9710204198252141</v>
      </c>
      <c r="P29" s="178">
        <v>56.9</v>
      </c>
      <c r="Q29" s="178">
        <f>P29-R29</f>
        <v>37.4</v>
      </c>
      <c r="R29" s="178">
        <v>19.5</v>
      </c>
      <c r="S29" s="6">
        <f>P29/$L29*100</f>
        <v>2.0215462531806052</v>
      </c>
      <c r="T29" s="6">
        <f t="shared" ref="T29" si="29">Q29/$L29*100</f>
        <v>1.328749206835758</v>
      </c>
      <c r="U29" s="6">
        <f t="shared" ref="U29" si="30">R29/$L29*100</f>
        <v>0.69279704634484707</v>
      </c>
      <c r="V29" s="272">
        <f ca="1">W29/P29</f>
        <v>1.1350411515848555</v>
      </c>
      <c r="W29" s="6">
        <f ca="1">OFFSET(NATO1!$D$40,0,ROW()-ROW('Fiscal position'!$G$19))/1000</f>
        <v>64.583841525178272</v>
      </c>
      <c r="X29" s="6">
        <f t="shared" ref="X29:X34" ca="1" si="31">W29-Y29</f>
        <v>42.450539069273589</v>
      </c>
      <c r="Y29" s="6">
        <f t="shared" ca="1" si="25"/>
        <v>22.133302455904683</v>
      </c>
      <c r="Z29" s="6">
        <f t="shared" ca="1" si="14"/>
        <v>2.2945381871921637</v>
      </c>
      <c r="AA29" s="6">
        <f t="shared" ca="1" si="26"/>
        <v>1.5081850298943218</v>
      </c>
      <c r="AB29" s="6">
        <f t="shared" ca="1" si="26"/>
        <v>0.78635315729784183</v>
      </c>
      <c r="AD29" s="6">
        <f t="shared" si="27"/>
        <v>14.073385634999999</v>
      </c>
      <c r="AE29" s="6"/>
      <c r="AF29" s="6"/>
      <c r="AG29" s="6"/>
    </row>
    <row r="30" spans="1:54">
      <c r="A30" s="5">
        <f t="shared" ref="A30:B30" si="32">A26+1</f>
        <v>2006</v>
      </c>
      <c r="B30" s="5">
        <f t="shared" si="32"/>
        <v>2007</v>
      </c>
      <c r="C30" t="s">
        <v>139</v>
      </c>
      <c r="D30" s="7">
        <f>INDEX(GMW!$A:$NF,MATCH('Fiscal position'!D$4,GMW!$NE:$NE,0),MATCH('Fiscal position'!$C30,GMW!$1:$1,0))</f>
        <v>367042</v>
      </c>
      <c r="E30" s="7">
        <f>INDEX(GMW!$A:$NF,MATCH('Fiscal position'!E$4,GMW!$NE:$NE,0),MATCH('Fiscal position'!$C30,GMW!$1:$1,0))</f>
        <v>-9232</v>
      </c>
      <c r="G30" s="5" t="s">
        <v>416</v>
      </c>
      <c r="H30" s="7">
        <f t="shared" si="1"/>
        <v>3012.7532999999999</v>
      </c>
      <c r="I30" s="6">
        <f t="shared" si="2"/>
        <v>-14.619840000000003</v>
      </c>
      <c r="J30" s="6">
        <f t="shared" si="3"/>
        <v>-0.48526508957769637</v>
      </c>
      <c r="L30" s="7">
        <f>OBR!AE87</f>
        <v>2950.017241</v>
      </c>
      <c r="M30" s="6">
        <f>-OBR!Q87</f>
        <v>-26.16260883011212</v>
      </c>
      <c r="N30" s="6">
        <f t="shared" si="0"/>
        <v>-0.88686291274838425</v>
      </c>
      <c r="P30" s="178">
        <v>59.8</v>
      </c>
      <c r="Q30" s="178">
        <f>P30-R30</f>
        <v>38.4</v>
      </c>
      <c r="R30" s="178">
        <v>21.4</v>
      </c>
      <c r="S30" s="6">
        <f>P30/$L30*100</f>
        <v>2.0271067968310899</v>
      </c>
      <c r="T30" s="6">
        <f t="shared" ref="T30:T34" si="33">Q30/$L30*100</f>
        <v>1.3016873076641113</v>
      </c>
      <c r="U30" s="6">
        <f t="shared" ref="U30:U34" si="34">R30/$L30*100</f>
        <v>0.72541948916697874</v>
      </c>
      <c r="W30" s="6">
        <f ca="1">P30*$V$29</f>
        <v>67.875460864774354</v>
      </c>
      <c r="X30" s="6">
        <f t="shared" ca="1" si="31"/>
        <v>43.585580220858446</v>
      </c>
      <c r="Y30" s="6">
        <f t="shared" ca="1" si="25"/>
        <v>24.289880643915904</v>
      </c>
      <c r="Z30" s="6">
        <f t="shared" ca="1" si="14"/>
        <v>2.3008496330606478</v>
      </c>
      <c r="AA30" s="6">
        <f t="shared" ca="1" si="26"/>
        <v>1.4774686606944629</v>
      </c>
      <c r="AB30" s="6">
        <f t="shared" ca="1" si="26"/>
        <v>0.82338097236618513</v>
      </c>
      <c r="AD30" s="6">
        <f t="shared" si="27"/>
        <v>14.750086205000001</v>
      </c>
      <c r="AE30" s="6"/>
      <c r="AF30" s="6"/>
      <c r="AG30" s="6"/>
    </row>
    <row r="31" spans="1:54">
      <c r="A31" s="5">
        <f t="shared" ref="A31:B31" si="35">A27+1</f>
        <v>2006</v>
      </c>
      <c r="B31" s="5">
        <f t="shared" si="35"/>
        <v>2007</v>
      </c>
      <c r="C31" t="s">
        <v>140</v>
      </c>
      <c r="D31" s="7">
        <f>INDEX(GMW!$A:$NF,MATCH('Fiscal position'!D$4,GMW!$NE:$NE,0),MATCH('Fiscal position'!$C31,GMW!$1:$1,0))</f>
        <v>370883</v>
      </c>
      <c r="E31" s="7">
        <f>INDEX(GMW!$A:$NF,MATCH('Fiscal position'!E$4,GMW!$NE:$NE,0),MATCH('Fiscal position'!$C31,GMW!$1:$1,0))</f>
        <v>-6581</v>
      </c>
      <c r="G31" s="5" t="s">
        <v>417</v>
      </c>
      <c r="H31" s="7">
        <f t="shared" si="1"/>
        <v>3134.8607000000002</v>
      </c>
      <c r="I31" s="6">
        <f t="shared" si="2"/>
        <v>2.0306059999999997</v>
      </c>
      <c r="J31" s="6">
        <f t="shared" si="3"/>
        <v>6.4774999412254577E-2</v>
      </c>
      <c r="L31" s="7">
        <f>OBR!AE88</f>
        <v>3059.3962009999996</v>
      </c>
      <c r="M31" s="6">
        <f>-OBR!Q88</f>
        <v>-5.2214481265951767</v>
      </c>
      <c r="N31" s="6">
        <f t="shared" si="0"/>
        <v>-0.17066923613517218</v>
      </c>
      <c r="P31" s="6">
        <f>$L31*(S$30/100)</f>
        <v>62.017228332463141</v>
      </c>
      <c r="Q31" s="6">
        <f t="shared" ref="Q31:R34" si="36">$L31*(T$30/100)</f>
        <v>39.823772039574997</v>
      </c>
      <c r="R31" s="6">
        <f t="shared" si="36"/>
        <v>22.19345629288815</v>
      </c>
      <c r="S31" s="6">
        <f t="shared" ref="S31:S34" si="37">P31/$L31*100</f>
        <v>2.0271067968310899</v>
      </c>
      <c r="T31" s="6">
        <f t="shared" si="33"/>
        <v>1.3016873076641113</v>
      </c>
      <c r="U31" s="6">
        <f t="shared" si="34"/>
        <v>0.72541948916697874</v>
      </c>
      <c r="W31" s="6">
        <f t="shared" ref="W31:W34" ca="1" si="38">P31*$V$29</f>
        <v>70.392106264579894</v>
      </c>
      <c r="X31" s="6">
        <f t="shared" ca="1" si="31"/>
        <v>45.20162007625197</v>
      </c>
      <c r="Y31" s="6">
        <f t="shared" ca="1" si="25"/>
        <v>25.190486188327924</v>
      </c>
      <c r="Z31" s="6">
        <f t="shared" ca="1" si="14"/>
        <v>2.3008496330606478</v>
      </c>
      <c r="AA31" s="6">
        <f t="shared" ca="1" si="26"/>
        <v>1.4774686606944629</v>
      </c>
      <c r="AB31" s="6">
        <f t="shared" ca="1" si="26"/>
        <v>0.82338097236618513</v>
      </c>
      <c r="AD31" s="6">
        <f t="shared" si="27"/>
        <v>15.296981004999997</v>
      </c>
      <c r="AE31" s="6"/>
      <c r="AF31" s="6"/>
      <c r="AG31" s="6"/>
    </row>
    <row r="32" spans="1:54">
      <c r="A32" s="5">
        <f t="shared" ref="A32:B32" si="39">A28+1</f>
        <v>2006</v>
      </c>
      <c r="B32" s="5">
        <f t="shared" si="39"/>
        <v>2007</v>
      </c>
      <c r="C32" t="s">
        <v>141</v>
      </c>
      <c r="D32" s="7">
        <f>INDEX(GMW!$A:$NF,MATCH('Fiscal position'!D$4,GMW!$NE:$NE,0),MATCH('Fiscal position'!$C32,GMW!$1:$1,0))</f>
        <v>372900</v>
      </c>
      <c r="E32" s="7">
        <f>INDEX(GMW!$A:$NF,MATCH('Fiscal position'!E$4,GMW!$NE:$NE,0),MATCH('Fiscal position'!$C32,GMW!$1:$1,0))</f>
        <v>-10437</v>
      </c>
      <c r="G32" s="5" t="s">
        <v>418</v>
      </c>
      <c r="H32" s="7">
        <f t="shared" si="1"/>
        <v>3257.5234</v>
      </c>
      <c r="I32" s="6">
        <f t="shared" si="2"/>
        <v>21.142880999999999</v>
      </c>
      <c r="J32" s="6">
        <f t="shared" si="3"/>
        <v>0.64904770906634157</v>
      </c>
      <c r="L32" s="7">
        <f>OBR!AE89</f>
        <v>3167.3345859999999</v>
      </c>
      <c r="M32" s="6">
        <f>-OBR!Q89</f>
        <v>10.924144259066102</v>
      </c>
      <c r="N32" s="6">
        <f t="shared" si="0"/>
        <v>0.34490022959216671</v>
      </c>
      <c r="P32" s="6">
        <f t="shared" ref="P32:P34" si="40">$L32*(S$30/100)</f>
        <v>64.205254671187859</v>
      </c>
      <c r="Q32" s="6">
        <f t="shared" si="36"/>
        <v>41.22879229721763</v>
      </c>
      <c r="R32" s="6">
        <f t="shared" ref="R32:R34" si="41">$L32*(U$30/100)</f>
        <v>22.976462373970243</v>
      </c>
      <c r="S32" s="6">
        <f t="shared" si="37"/>
        <v>2.0271067968310899</v>
      </c>
      <c r="T32" s="6">
        <f t="shared" si="33"/>
        <v>1.3016873076641116</v>
      </c>
      <c r="U32" s="6">
        <f t="shared" si="34"/>
        <v>0.72541948916697874</v>
      </c>
      <c r="W32" s="6">
        <f t="shared" ca="1" si="38"/>
        <v>72.875606199783988</v>
      </c>
      <c r="X32" s="6">
        <f t="shared" ca="1" si="31"/>
        <v>46.796375887486704</v>
      </c>
      <c r="Y32" s="6">
        <f t="shared" ca="1" si="25"/>
        <v>26.079230312297287</v>
      </c>
      <c r="Z32" s="6">
        <f t="shared" ca="1" si="14"/>
        <v>2.3008496330606478</v>
      </c>
      <c r="AA32" s="6">
        <f t="shared" ca="1" si="26"/>
        <v>1.4774686606944627</v>
      </c>
      <c r="AB32" s="6">
        <f t="shared" ca="1" si="26"/>
        <v>0.82338097236618524</v>
      </c>
      <c r="AD32" s="6">
        <f t="shared" si="27"/>
        <v>15.836672930000001</v>
      </c>
      <c r="AE32" s="6"/>
      <c r="AF32" s="6"/>
      <c r="AG32" s="6"/>
    </row>
    <row r="33" spans="1:49">
      <c r="A33" s="5">
        <f t="shared" ref="A33:B33" si="42">A29+1</f>
        <v>2007</v>
      </c>
      <c r="B33" s="5">
        <f t="shared" si="42"/>
        <v>2007</v>
      </c>
      <c r="C33" t="s">
        <v>142</v>
      </c>
      <c r="D33" s="7">
        <f>INDEX(GMW!$A:$NF,MATCH('Fiscal position'!D$4,GMW!$NE:$NE,0),MATCH('Fiscal position'!$C33,GMW!$1:$1,0))</f>
        <v>376958</v>
      </c>
      <c r="E33" s="7">
        <f>INDEX(GMW!$A:$NF,MATCH('Fiscal position'!E$4,GMW!$NE:$NE,0),MATCH('Fiscal position'!$C33,GMW!$1:$1,0))</f>
        <v>11644</v>
      </c>
      <c r="G33" s="5" t="s">
        <v>419</v>
      </c>
      <c r="H33" s="7">
        <f t="shared" si="1"/>
        <v>3385.5128000000004</v>
      </c>
      <c r="I33" s="6">
        <f t="shared" si="2"/>
        <v>22.922025000000001</v>
      </c>
      <c r="J33" s="6">
        <f t="shared" si="3"/>
        <v>0.67706212778164654</v>
      </c>
      <c r="L33" s="7">
        <f>OBR!AE90</f>
        <v>3279.049422</v>
      </c>
      <c r="M33" s="6">
        <f>-OBR!Q90</f>
        <v>9.3399897995398931</v>
      </c>
      <c r="N33" s="6">
        <f t="shared" si="0"/>
        <v>0.28483833567360894</v>
      </c>
      <c r="P33" s="6">
        <f t="shared" si="40"/>
        <v>66.469833704812558</v>
      </c>
      <c r="Q33" s="6">
        <f t="shared" si="36"/>
        <v>42.682970138207409</v>
      </c>
      <c r="R33" s="6">
        <f t="shared" si="41"/>
        <v>23.78686356660517</v>
      </c>
      <c r="S33" s="6">
        <f t="shared" si="37"/>
        <v>2.0271067968310899</v>
      </c>
      <c r="T33" s="6">
        <f t="shared" si="33"/>
        <v>1.3016873076641116</v>
      </c>
      <c r="U33" s="6">
        <f t="shared" si="34"/>
        <v>0.72541948916697874</v>
      </c>
      <c r="W33" s="6">
        <f t="shared" ca="1" si="38"/>
        <v>75.445996593964296</v>
      </c>
      <c r="X33" s="6">
        <f t="shared" ca="1" si="31"/>
        <v>48.446927578732918</v>
      </c>
      <c r="Y33" s="6">
        <f t="shared" ca="1" si="25"/>
        <v>26.999069015231377</v>
      </c>
      <c r="Z33" s="6">
        <f t="shared" ca="1" si="14"/>
        <v>2.3008496330606478</v>
      </c>
      <c r="AA33" s="6">
        <f t="shared" ca="1" si="26"/>
        <v>1.4774686606944627</v>
      </c>
      <c r="AB33" s="6">
        <f t="shared" ca="1" si="26"/>
        <v>0.82338097236618524</v>
      </c>
      <c r="AD33" s="6">
        <f t="shared" si="27"/>
        <v>16.39524711</v>
      </c>
      <c r="AE33" s="6"/>
      <c r="AF33" s="6"/>
      <c r="AG33" s="6"/>
    </row>
    <row r="34" spans="1:49">
      <c r="A34" s="5">
        <f t="shared" ref="A34:B34" si="43">A30+1</f>
        <v>2007</v>
      </c>
      <c r="B34" s="5">
        <f t="shared" si="43"/>
        <v>2008</v>
      </c>
      <c r="C34" t="s">
        <v>143</v>
      </c>
      <c r="D34" s="7">
        <f>INDEX(GMW!$A:$NF,MATCH('Fiscal position'!D$4,GMW!$NE:$NE,0),MATCH('Fiscal position'!$C34,GMW!$1:$1,0))</f>
        <v>386144</v>
      </c>
      <c r="E34" s="7">
        <f>INDEX(GMW!$A:$NF,MATCH('Fiscal position'!E$4,GMW!$NE:$NE,0),MATCH('Fiscal position'!$C34,GMW!$1:$1,0))</f>
        <v>-10567</v>
      </c>
      <c r="G34" s="5" t="s">
        <v>420</v>
      </c>
      <c r="H34" s="7">
        <f t="shared" si="1"/>
        <v>3509.0874000000003</v>
      </c>
      <c r="I34" s="6">
        <f>SUMIFS(E:E,$B:$B,"=20"&amp;RIGHT($G34,2))/1000</f>
        <v>25.331904999999999</v>
      </c>
      <c r="J34" s="6">
        <f t="shared" si="3"/>
        <v>0.72189438769749648</v>
      </c>
      <c r="L34" s="7">
        <f>OBR!AE91</f>
        <v>3397.2814119999998</v>
      </c>
      <c r="M34" s="6">
        <f>-OBR!Q91</f>
        <v>9.9293594982254874</v>
      </c>
      <c r="N34" s="6">
        <f>M34/L34*100</f>
        <v>0.29227368280863181</v>
      </c>
      <c r="P34" s="6">
        <f t="shared" si="40"/>
        <v>68.866522410131211</v>
      </c>
      <c r="Q34" s="6">
        <f t="shared" si="36"/>
        <v>44.221980945636105</v>
      </c>
      <c r="R34" s="6">
        <f t="shared" si="41"/>
        <v>24.644541464495124</v>
      </c>
      <c r="S34" s="6">
        <f t="shared" si="37"/>
        <v>2.0271067968310899</v>
      </c>
      <c r="T34" s="6">
        <f t="shared" si="33"/>
        <v>1.3016873076641113</v>
      </c>
      <c r="U34" s="6">
        <f t="shared" si="34"/>
        <v>0.72541948916697874</v>
      </c>
      <c r="W34" s="6">
        <f t="shared" ca="1" si="38"/>
        <v>78.166336902039589</v>
      </c>
      <c r="X34" s="6">
        <f t="shared" ca="1" si="31"/>
        <v>50.19376817789832</v>
      </c>
      <c r="Y34" s="6">
        <f ca="1">R34/P34*W34</f>
        <v>27.972568724141265</v>
      </c>
      <c r="Z34" s="6">
        <f t="shared" ca="1" si="14"/>
        <v>2.3008496330606478</v>
      </c>
      <c r="AA34" s="6">
        <f t="shared" ca="1" si="26"/>
        <v>1.4774686606944625</v>
      </c>
      <c r="AB34" s="6">
        <f t="shared" ca="1" si="26"/>
        <v>0.82338097236618524</v>
      </c>
      <c r="AD34" s="6">
        <f>0.5/100*L34</f>
        <v>16.986407059999998</v>
      </c>
      <c r="AE34" s="6">
        <f>AD34*0.5</f>
        <v>8.4932035299999988</v>
      </c>
      <c r="AF34" s="6">
        <f>AE34*0.5</f>
        <v>4.2466017649999994</v>
      </c>
      <c r="AG34" s="6"/>
      <c r="AH34" s="6" t="s">
        <v>931</v>
      </c>
      <c r="AI34" s="6">
        <v>17</v>
      </c>
      <c r="AJ34" s="6">
        <v>10.3</v>
      </c>
      <c r="AK34" s="6">
        <f>AI34-AJ34</f>
        <v>6.6999999999999993</v>
      </c>
      <c r="AL34" s="6"/>
      <c r="AM34" s="6">
        <f>AI34*2</f>
        <v>34</v>
      </c>
      <c r="AN34" s="6">
        <f t="shared" ref="AN34:AO34" si="44">AJ34*2</f>
        <v>20.6</v>
      </c>
      <c r="AO34" s="6">
        <f t="shared" si="44"/>
        <v>13.399999999999999</v>
      </c>
      <c r="AP34" s="6"/>
      <c r="AQ34" s="6">
        <f>L34*0.2/100</f>
        <v>6.7945628239999998</v>
      </c>
      <c r="AR34" s="6">
        <f ca="1">AQ34*(X30/W30)</f>
        <v>4.3630637532040133</v>
      </c>
      <c r="AS34" s="6">
        <f ca="1">AQ34-AR34</f>
        <v>2.4314990707959865</v>
      </c>
      <c r="AT34" s="6"/>
      <c r="AU34" s="6">
        <f>AQ34</f>
        <v>6.7945628239999998</v>
      </c>
      <c r="AV34" s="6">
        <f>AU34*0.25</f>
        <v>1.6986407059999999</v>
      </c>
      <c r="AW34" s="273">
        <f>AU34-AV34</f>
        <v>5.0959221179999998</v>
      </c>
    </row>
    <row r="35" spans="1:49">
      <c r="A35" s="5">
        <f t="shared" ref="A35:B35" si="45">A31+1</f>
        <v>2007</v>
      </c>
      <c r="B35" s="5">
        <f t="shared" si="45"/>
        <v>2008</v>
      </c>
      <c r="C35" t="s">
        <v>144</v>
      </c>
      <c r="D35" s="7">
        <f>INDEX(GMW!$A:$NF,MATCH('Fiscal position'!D$4,GMW!$NE:$NE,0),MATCH('Fiscal position'!$C35,GMW!$1:$1,0))</f>
        <v>389291</v>
      </c>
      <c r="E35" s="7">
        <f>INDEX(GMW!$A:$NF,MATCH('Fiscal position'!E$4,GMW!$NE:$NE,0),MATCH('Fiscal position'!$C35,GMW!$1:$1,0))</f>
        <v>-6310</v>
      </c>
      <c r="Q35" s="6"/>
      <c r="AH35" s="321" t="s">
        <v>932</v>
      </c>
      <c r="AI35" s="6">
        <f>AI34-0.2/100*$L$34</f>
        <v>10.205437176</v>
      </c>
      <c r="AJ35" s="6">
        <f>AJ34-0.2/100*L34</f>
        <v>3.5054371760000009</v>
      </c>
      <c r="AK35" s="6">
        <f>AI35-AJ35</f>
        <v>6.6999999999999993</v>
      </c>
      <c r="AM35" s="6">
        <f>AM34-0.2/100*$L$34</f>
        <v>27.205437176</v>
      </c>
      <c r="AN35" s="6">
        <f>AN34-L34*0.2/100</f>
        <v>13.805437176000002</v>
      </c>
      <c r="AO35" s="6">
        <f>AM35-AN35</f>
        <v>13.399999999999999</v>
      </c>
      <c r="AP35" s="6"/>
      <c r="AQ35" s="6"/>
      <c r="AR35" s="6"/>
      <c r="AS35" s="6"/>
      <c r="AT35" s="6"/>
      <c r="AU35" s="6"/>
      <c r="AV35" s="6"/>
    </row>
    <row r="36" spans="1:49">
      <c r="A36" s="5">
        <f t="shared" ref="A36:B36" si="46">A32+1</f>
        <v>2007</v>
      </c>
      <c r="B36" s="5">
        <f t="shared" si="46"/>
        <v>2008</v>
      </c>
      <c r="C36" t="s">
        <v>145</v>
      </c>
      <c r="D36" s="7">
        <f>INDEX(GMW!$A:$NF,MATCH('Fiscal position'!D$4,GMW!$NE:$NE,0),MATCH('Fiscal position'!$C36,GMW!$1:$1,0))</f>
        <v>392244</v>
      </c>
      <c r="E36" s="7">
        <f>INDEX(GMW!$A:$NF,MATCH('Fiscal position'!E$4,GMW!$NE:$NE,0),MATCH('Fiscal position'!$C36,GMW!$1:$1,0))</f>
        <v>-11905</v>
      </c>
      <c r="L36" s="6">
        <v>4.3</v>
      </c>
      <c r="Q36" s="6">
        <f>Q30/P30*100</f>
        <v>64.214046822742475</v>
      </c>
    </row>
    <row r="37" spans="1:49">
      <c r="A37" s="5">
        <f t="shared" ref="A37:B37" si="47">A33+1</f>
        <v>2008</v>
      </c>
      <c r="B37" s="5">
        <f t="shared" si="47"/>
        <v>2008</v>
      </c>
      <c r="C37" t="s">
        <v>146</v>
      </c>
      <c r="D37" s="7">
        <f>INDEX(GMW!$A:$NF,MATCH('Fiscal position'!D$4,GMW!$NE:$NE,0),MATCH('Fiscal position'!$C37,GMW!$1:$1,0))</f>
        <v>397800</v>
      </c>
      <c r="E37" s="7">
        <f>INDEX(GMW!$A:$NF,MATCH('Fiscal position'!E$4,GMW!$NE:$NE,0),MATCH('Fiscal position'!$C37,GMW!$1:$1,0))</f>
        <v>11297</v>
      </c>
      <c r="L37" s="6">
        <f>L34*0.2/100</f>
        <v>6.7945628239999998</v>
      </c>
      <c r="AH37" t="s">
        <v>933</v>
      </c>
      <c r="AI37" s="6">
        <f>AI34/$L$34*100</f>
        <v>0.5004001122765982</v>
      </c>
      <c r="AJ37" s="6">
        <f t="shared" ref="AJ37:AK37" si="48">AJ34/$L$34*100</f>
        <v>0.30318359743817425</v>
      </c>
      <c r="AK37" s="6">
        <f t="shared" si="48"/>
        <v>0.19721651483842398</v>
      </c>
      <c r="AL37" s="6"/>
      <c r="AM37" s="6">
        <f>AM34/$L$34*100</f>
        <v>1.0008002245531964</v>
      </c>
      <c r="AN37" s="6">
        <f t="shared" ref="AN37:AO37" si="49">AN34/$L$34*100</f>
        <v>0.60636719487634849</v>
      </c>
      <c r="AO37" s="6">
        <f t="shared" si="49"/>
        <v>0.39443302967684796</v>
      </c>
      <c r="AP37" s="6"/>
      <c r="AQ37" s="6"/>
      <c r="AR37" s="6"/>
      <c r="AS37" s="6"/>
      <c r="AT37" s="6"/>
      <c r="AU37" s="6"/>
      <c r="AV37" s="6"/>
    </row>
    <row r="38" spans="1:49">
      <c r="A38" s="5">
        <f t="shared" ref="A38:B38" si="50">A34+1</f>
        <v>2008</v>
      </c>
      <c r="B38" s="5">
        <f t="shared" si="50"/>
        <v>2009</v>
      </c>
      <c r="C38" t="s">
        <v>147</v>
      </c>
      <c r="D38" s="7">
        <f>INDEX(GMW!$A:$NF,MATCH('Fiscal position'!D$4,GMW!$NE:$NE,0),MATCH('Fiscal position'!$C38,GMW!$1:$1,0))</f>
        <v>400685</v>
      </c>
      <c r="E38" s="7">
        <f>INDEX(GMW!$A:$NF,MATCH('Fiscal position'!E$4,GMW!$NE:$NE,0),MATCH('Fiscal position'!$C38,GMW!$1:$1,0))</f>
        <v>-16414</v>
      </c>
      <c r="L38" s="6">
        <f>L36/L37*100</f>
        <v>63.285896552628593</v>
      </c>
      <c r="AH38" t="s">
        <v>934</v>
      </c>
      <c r="AI38" s="6">
        <f t="shared" ref="AI38:AK38" si="51">AI35/$L$34*100</f>
        <v>0.30040011227659819</v>
      </c>
      <c r="AJ38" s="6">
        <f t="shared" si="51"/>
        <v>0.10318359743817422</v>
      </c>
      <c r="AK38" s="6">
        <f t="shared" si="51"/>
        <v>0.19721651483842398</v>
      </c>
      <c r="AL38" s="6"/>
      <c r="AM38" s="6">
        <f t="shared" ref="AM38:AO38" si="52">AM35/$L$34*100</f>
        <v>0.80080022455319644</v>
      </c>
      <c r="AN38" s="6">
        <f t="shared" si="52"/>
        <v>0.40636719487634848</v>
      </c>
      <c r="AO38" s="6">
        <f t="shared" si="52"/>
        <v>0.39443302967684796</v>
      </c>
      <c r="AP38" s="6"/>
      <c r="AQ38" s="6"/>
      <c r="AR38" s="6"/>
      <c r="AS38" s="6"/>
      <c r="AT38" s="6"/>
      <c r="AU38" s="6"/>
      <c r="AV38" s="6"/>
    </row>
    <row r="39" spans="1:49">
      <c r="A39" s="5">
        <f t="shared" ref="A39:B39" si="53">A35+1</f>
        <v>2008</v>
      </c>
      <c r="B39" s="5">
        <f t="shared" si="53"/>
        <v>2009</v>
      </c>
      <c r="C39" t="s">
        <v>148</v>
      </c>
      <c r="D39" s="7">
        <f>INDEX(GMW!$A:$NF,MATCH('Fiscal position'!D$4,GMW!$NE:$NE,0),MATCH('Fiscal position'!$C39,GMW!$1:$1,0))</f>
        <v>399994</v>
      </c>
      <c r="E39" s="7">
        <f>INDEX(GMW!$A:$NF,MATCH('Fiscal position'!E$4,GMW!$NE:$NE,0),MATCH('Fiscal position'!$C39,GMW!$1:$1,0))</f>
        <v>-14531</v>
      </c>
    </row>
    <row r="40" spans="1:49">
      <c r="A40" s="5">
        <f t="shared" ref="A40:B40" si="54">A36+1</f>
        <v>2008</v>
      </c>
      <c r="B40" s="5">
        <f t="shared" si="54"/>
        <v>2009</v>
      </c>
      <c r="C40" t="s">
        <v>149</v>
      </c>
      <c r="D40" s="7">
        <f>INDEX(GMW!$A:$NF,MATCH('Fiscal position'!D$4,GMW!$NE:$NE,0),MATCH('Fiscal position'!$C40,GMW!$1:$1,0))</f>
        <v>395121</v>
      </c>
      <c r="E40" s="7">
        <f>INDEX(GMW!$A:$NF,MATCH('Fiscal position'!E$4,GMW!$NE:$NE,0),MATCH('Fiscal position'!$C40,GMW!$1:$1,0))</f>
        <v>-17851</v>
      </c>
      <c r="M40" s="273"/>
    </row>
    <row r="41" spans="1:49">
      <c r="A41" s="5">
        <f t="shared" ref="A41:B41" si="55">A37+1</f>
        <v>2009</v>
      </c>
      <c r="B41" s="5">
        <f t="shared" si="55"/>
        <v>2009</v>
      </c>
      <c r="C41" t="s">
        <v>150</v>
      </c>
      <c r="D41" s="7">
        <f>INDEX(GMW!$A:$NF,MATCH('Fiscal position'!D$4,GMW!$NE:$NE,0),MATCH('Fiscal position'!$C41,GMW!$1:$1,0))</f>
        <v>386874</v>
      </c>
      <c r="E41" s="7">
        <f>INDEX(GMW!$A:$NF,MATCH('Fiscal position'!E$4,GMW!$NE:$NE,0),MATCH('Fiscal position'!$C41,GMW!$1:$1,0))</f>
        <v>-7251</v>
      </c>
      <c r="M41" s="273"/>
    </row>
    <row r="42" spans="1:49">
      <c r="A42" s="5">
        <f t="shared" ref="A42:B42" si="56">A38+1</f>
        <v>2009</v>
      </c>
      <c r="B42" s="5">
        <f t="shared" si="56"/>
        <v>2010</v>
      </c>
      <c r="C42" t="s">
        <v>151</v>
      </c>
      <c r="D42" s="7">
        <f>INDEX(GMW!$A:$NF,MATCH('Fiscal position'!D$4,GMW!$NE:$NE,0),MATCH('Fiscal position'!$C42,GMW!$1:$1,0))</f>
        <v>386553</v>
      </c>
      <c r="E42" s="7">
        <f>INDEX(GMW!$A:$NF,MATCH('Fiscal position'!E$4,GMW!$NE:$NE,0),MATCH('Fiscal position'!$C42,GMW!$1:$1,0))</f>
        <v>-30795</v>
      </c>
    </row>
    <row r="43" spans="1:49">
      <c r="A43" s="5">
        <f t="shared" ref="A43:B43" si="57">A39+1</f>
        <v>2009</v>
      </c>
      <c r="B43" s="5">
        <f t="shared" si="57"/>
        <v>2010</v>
      </c>
      <c r="C43" t="s">
        <v>152</v>
      </c>
      <c r="D43" s="7">
        <f>INDEX(GMW!$A:$NF,MATCH('Fiscal position'!D$4,GMW!$NE:$NE,0),MATCH('Fiscal position'!$C43,GMW!$1:$1,0))</f>
        <v>388596</v>
      </c>
      <c r="E43" s="7">
        <f>INDEX(GMW!$A:$NF,MATCH('Fiscal position'!E$4,GMW!$NE:$NE,0),MATCH('Fiscal position'!$C43,GMW!$1:$1,0))</f>
        <v>-23812</v>
      </c>
    </row>
    <row r="44" spans="1:49">
      <c r="A44" s="5">
        <f t="shared" ref="A44:B44" si="58">A40+1</f>
        <v>2009</v>
      </c>
      <c r="B44" s="5">
        <f t="shared" si="58"/>
        <v>2010</v>
      </c>
      <c r="C44" t="s">
        <v>153</v>
      </c>
      <c r="D44" s="7">
        <f>INDEX(GMW!$A:$NF,MATCH('Fiscal position'!D$4,GMW!$NE:$NE,0),MATCH('Fiscal position'!$C44,GMW!$1:$1,0))</f>
        <v>386779</v>
      </c>
      <c r="E44" s="7">
        <f>INDEX(GMW!$A:$NF,MATCH('Fiscal position'!E$4,GMW!$NE:$NE,0),MATCH('Fiscal position'!$C44,GMW!$1:$1,0))</f>
        <v>-31417</v>
      </c>
    </row>
    <row r="45" spans="1:49">
      <c r="A45" s="5">
        <f t="shared" ref="A45:B45" si="59">A41+1</f>
        <v>2010</v>
      </c>
      <c r="B45" s="5">
        <f t="shared" si="59"/>
        <v>2010</v>
      </c>
      <c r="C45" t="s">
        <v>154</v>
      </c>
      <c r="D45" s="7">
        <f>INDEX(GMW!$A:$NF,MATCH('Fiscal position'!D$4,GMW!$NE:$NE,0),MATCH('Fiscal position'!$C45,GMW!$1:$1,0))</f>
        <v>396176</v>
      </c>
      <c r="E45" s="7">
        <f>INDEX(GMW!$A:$NF,MATCH('Fiscal position'!E$4,GMW!$NE:$NE,0),MATCH('Fiscal position'!$C45,GMW!$1:$1,0))</f>
        <v>-10453</v>
      </c>
    </row>
    <row r="46" spans="1:49">
      <c r="A46" s="5">
        <f t="shared" ref="A46:B46" si="60">A42+1</f>
        <v>2010</v>
      </c>
      <c r="B46" s="5">
        <f t="shared" si="60"/>
        <v>2011</v>
      </c>
      <c r="C46" t="s">
        <v>155</v>
      </c>
      <c r="D46" s="7">
        <f>INDEX(GMW!$A:$NF,MATCH('Fiscal position'!D$4,GMW!$NE:$NE,0),MATCH('Fiscal position'!$C46,GMW!$1:$1,0))</f>
        <v>401223</v>
      </c>
      <c r="E46" s="7">
        <f>INDEX(GMW!$A:$NF,MATCH('Fiscal position'!E$4,GMW!$NE:$NE,0),MATCH('Fiscal position'!$C46,GMW!$1:$1,0))</f>
        <v>-25171</v>
      </c>
    </row>
    <row r="47" spans="1:49">
      <c r="A47" s="5">
        <f t="shared" ref="A47:B47" si="61">A43+1</f>
        <v>2010</v>
      </c>
      <c r="B47" s="5">
        <f t="shared" si="61"/>
        <v>2011</v>
      </c>
      <c r="C47" t="s">
        <v>156</v>
      </c>
      <c r="D47" s="7">
        <f>INDEX(GMW!$A:$NF,MATCH('Fiscal position'!D$4,GMW!$NE:$NE,0),MATCH('Fiscal position'!$C47,GMW!$1:$1,0))</f>
        <v>404365</v>
      </c>
      <c r="E47" s="7">
        <f>INDEX(GMW!$A:$NF,MATCH('Fiscal position'!E$4,GMW!$NE:$NE,0),MATCH('Fiscal position'!$C47,GMW!$1:$1,0))</f>
        <v>-23031</v>
      </c>
    </row>
    <row r="48" spans="1:49">
      <c r="A48" s="5">
        <f t="shared" ref="A48:B48" si="62">A44+1</f>
        <v>2010</v>
      </c>
      <c r="B48" s="5">
        <f t="shared" si="62"/>
        <v>2011</v>
      </c>
      <c r="C48" t="s">
        <v>157</v>
      </c>
      <c r="D48" s="7">
        <f>INDEX(GMW!$A:$NF,MATCH('Fiscal position'!D$4,GMW!$NE:$NE,0),MATCH('Fiscal position'!$C48,GMW!$1:$1,0))</f>
        <v>406789</v>
      </c>
      <c r="E48" s="7">
        <f>INDEX(GMW!$A:$NF,MATCH('Fiscal position'!E$4,GMW!$NE:$NE,0),MATCH('Fiscal position'!$C48,GMW!$1:$1,0))</f>
        <v>-33148</v>
      </c>
    </row>
    <row r="49" spans="1:5">
      <c r="A49" s="5">
        <f t="shared" ref="A49:B49" si="63">A45+1</f>
        <v>2011</v>
      </c>
      <c r="B49" s="5">
        <f t="shared" si="63"/>
        <v>2011</v>
      </c>
      <c r="C49" t="s">
        <v>158</v>
      </c>
      <c r="D49" s="7">
        <f>INDEX(GMW!$A:$NF,MATCH('Fiscal position'!D$4,GMW!$NE:$NE,0),MATCH('Fiscal position'!$C49,GMW!$1:$1,0))</f>
        <v>414806</v>
      </c>
      <c r="E49" s="7">
        <f>INDEX(GMW!$A:$NF,MATCH('Fiscal position'!E$4,GMW!$NE:$NE,0),MATCH('Fiscal position'!$C49,GMW!$1:$1,0))</f>
        <v>-1993</v>
      </c>
    </row>
    <row r="50" spans="1:5">
      <c r="A50" s="5">
        <f t="shared" ref="A50:B50" si="64">A46+1</f>
        <v>2011</v>
      </c>
      <c r="B50" s="5">
        <f t="shared" si="64"/>
        <v>2012</v>
      </c>
      <c r="C50" t="s">
        <v>159</v>
      </c>
      <c r="D50" s="7">
        <f>INDEX(GMW!$A:$NF,MATCH('Fiscal position'!D$4,GMW!$NE:$NE,0),MATCH('Fiscal position'!$C50,GMW!$1:$1,0))</f>
        <v>412364</v>
      </c>
      <c r="E50" s="7">
        <f>INDEX(GMW!$A:$NF,MATCH('Fiscal position'!E$4,GMW!$NE:$NE,0),MATCH('Fiscal position'!$C50,GMW!$1:$1,0))</f>
        <v>-20288</v>
      </c>
    </row>
    <row r="51" spans="1:5">
      <c r="A51" s="5">
        <f t="shared" ref="A51:B51" si="65">A47+1</f>
        <v>2011</v>
      </c>
      <c r="B51" s="5">
        <f t="shared" si="65"/>
        <v>2012</v>
      </c>
      <c r="C51" t="s">
        <v>160</v>
      </c>
      <c r="D51" s="7">
        <f>INDEX(GMW!$A:$NF,MATCH('Fiscal position'!D$4,GMW!$NE:$NE,0),MATCH('Fiscal position'!$C51,GMW!$1:$1,0))</f>
        <v>416115</v>
      </c>
      <c r="E51" s="7">
        <f>INDEX(GMW!$A:$NF,MATCH('Fiscal position'!E$4,GMW!$NE:$NE,0),MATCH('Fiscal position'!$C51,GMW!$1:$1,0))</f>
        <v>-17060</v>
      </c>
    </row>
    <row r="52" spans="1:5">
      <c r="A52" s="5">
        <f t="shared" ref="A52:B52" si="66">A48+1</f>
        <v>2011</v>
      </c>
      <c r="B52" s="5">
        <f t="shared" si="66"/>
        <v>2012</v>
      </c>
      <c r="C52" t="s">
        <v>161</v>
      </c>
      <c r="D52" s="7">
        <f>INDEX(GMW!$A:$NF,MATCH('Fiscal position'!D$4,GMW!$NE:$NE,0),MATCH('Fiscal position'!$C52,GMW!$1:$1,0))</f>
        <v>419305</v>
      </c>
      <c r="E52" s="7">
        <f>INDEX(GMW!$A:$NF,MATCH('Fiscal position'!E$4,GMW!$NE:$NE,0),MATCH('Fiscal position'!$C52,GMW!$1:$1,0))</f>
        <v>-26598</v>
      </c>
    </row>
    <row r="53" spans="1:5">
      <c r="A53" s="5">
        <f t="shared" ref="A53:B53" si="67">A49+1</f>
        <v>2012</v>
      </c>
      <c r="B53" s="5">
        <f t="shared" si="67"/>
        <v>2012</v>
      </c>
      <c r="C53" t="s">
        <v>162</v>
      </c>
      <c r="D53" s="7">
        <f>INDEX(GMW!$A:$NF,MATCH('Fiscal position'!D$4,GMW!$NE:$NE,0),MATCH('Fiscal position'!$C53,GMW!$1:$1,0))</f>
        <v>424540</v>
      </c>
      <c r="E53" s="7">
        <f>INDEX(GMW!$A:$NF,MATCH('Fiscal position'!E$4,GMW!$NE:$NE,0),MATCH('Fiscal position'!$C53,GMW!$1:$1,0))</f>
        <v>-6785</v>
      </c>
    </row>
    <row r="54" spans="1:5">
      <c r="A54" s="5">
        <f t="shared" ref="A54:B54" si="68">A50+1</f>
        <v>2012</v>
      </c>
      <c r="B54" s="5">
        <f t="shared" si="68"/>
        <v>2013</v>
      </c>
      <c r="C54" t="s">
        <v>163</v>
      </c>
      <c r="D54" s="7">
        <f>INDEX(GMW!$A:$NF,MATCH('Fiscal position'!D$4,GMW!$NE:$NE,0),MATCH('Fiscal position'!$C54,GMW!$1:$1,0))</f>
        <v>424939</v>
      </c>
      <c r="E54" s="7">
        <f>INDEX(GMW!$A:$NF,MATCH('Fiscal position'!E$4,GMW!$NE:$NE,0),MATCH('Fiscal position'!$C54,GMW!$1:$1,0))</f>
        <v>-26843</v>
      </c>
    </row>
    <row r="55" spans="1:5">
      <c r="A55" s="5">
        <f t="shared" ref="A55:B55" si="69">A51+1</f>
        <v>2012</v>
      </c>
      <c r="B55" s="5">
        <f t="shared" si="69"/>
        <v>2013</v>
      </c>
      <c r="C55" t="s">
        <v>164</v>
      </c>
      <c r="D55" s="7">
        <f>INDEX(GMW!$A:$NF,MATCH('Fiscal position'!D$4,GMW!$NE:$NE,0),MATCH('Fiscal position'!$C55,GMW!$1:$1,0))</f>
        <v>430964</v>
      </c>
      <c r="E55" s="7">
        <f>INDEX(GMW!$A:$NF,MATCH('Fiscal position'!E$4,GMW!$NE:$NE,0),MATCH('Fiscal position'!$C55,GMW!$1:$1,0))</f>
        <v>-17618</v>
      </c>
    </row>
    <row r="56" spans="1:5">
      <c r="A56" s="5">
        <f t="shared" ref="A56:B56" si="70">A52+1</f>
        <v>2012</v>
      </c>
      <c r="B56" s="5">
        <f t="shared" si="70"/>
        <v>2013</v>
      </c>
      <c r="C56" t="s">
        <v>165</v>
      </c>
      <c r="D56" s="7">
        <f>INDEX(GMW!$A:$NF,MATCH('Fiscal position'!D$4,GMW!$NE:$NE,0),MATCH('Fiscal position'!$C56,GMW!$1:$1,0))</f>
        <v>433272</v>
      </c>
      <c r="E56" s="7">
        <f>INDEX(GMW!$A:$NF,MATCH('Fiscal position'!E$4,GMW!$NE:$NE,0),MATCH('Fiscal position'!$C56,GMW!$1:$1,0))</f>
        <v>-29196</v>
      </c>
    </row>
    <row r="57" spans="1:5">
      <c r="A57" s="5">
        <f t="shared" ref="A57:B57" si="71">A53+1</f>
        <v>2013</v>
      </c>
      <c r="B57" s="5">
        <f t="shared" si="71"/>
        <v>2013</v>
      </c>
      <c r="C57" t="s">
        <v>166</v>
      </c>
      <c r="D57" s="7">
        <f>INDEX(GMW!$A:$NF,MATCH('Fiscal position'!D$4,GMW!$NE:$NE,0),MATCH('Fiscal position'!$C57,GMW!$1:$1,0))</f>
        <v>438283</v>
      </c>
      <c r="E57" s="7">
        <f>INDEX(GMW!$A:$NF,MATCH('Fiscal position'!E$4,GMW!$NE:$NE,0),MATCH('Fiscal position'!$C57,GMW!$1:$1,0))</f>
        <v>-5675</v>
      </c>
    </row>
    <row r="58" spans="1:5">
      <c r="A58" s="5">
        <f t="shared" ref="A58:B58" si="72">A54+1</f>
        <v>2013</v>
      </c>
      <c r="B58" s="5">
        <f t="shared" si="72"/>
        <v>2014</v>
      </c>
      <c r="C58" t="s">
        <v>167</v>
      </c>
      <c r="D58" s="7">
        <f>INDEX(GMW!$A:$NF,MATCH('Fiscal position'!D$4,GMW!$NE:$NE,0),MATCH('Fiscal position'!$C58,GMW!$1:$1,0))</f>
        <v>442095</v>
      </c>
      <c r="E58" s="7">
        <f>INDEX(GMW!$A:$NF,MATCH('Fiscal position'!E$4,GMW!$NE:$NE,0),MATCH('Fiscal position'!$C58,GMW!$1:$1,0))</f>
        <v>-23539</v>
      </c>
    </row>
    <row r="59" spans="1:5">
      <c r="A59" s="5">
        <f t="shared" ref="A59:B59" si="73">A55+1</f>
        <v>2013</v>
      </c>
      <c r="B59" s="5">
        <f t="shared" si="73"/>
        <v>2014</v>
      </c>
      <c r="C59" t="s">
        <v>168</v>
      </c>
      <c r="D59" s="7">
        <f>INDEX(GMW!$A:$NF,MATCH('Fiscal position'!D$4,GMW!$NE:$NE,0),MATCH('Fiscal position'!$C59,GMW!$1:$1,0))</f>
        <v>448800</v>
      </c>
      <c r="E59" s="7">
        <f>INDEX(GMW!$A:$NF,MATCH('Fiscal position'!E$4,GMW!$NE:$NE,0),MATCH('Fiscal position'!$C59,GMW!$1:$1,0))</f>
        <v>-17131</v>
      </c>
    </row>
    <row r="60" spans="1:5">
      <c r="A60" s="5">
        <f t="shared" ref="A60:B60" si="74">A56+1</f>
        <v>2013</v>
      </c>
      <c r="B60" s="5">
        <f t="shared" si="74"/>
        <v>2014</v>
      </c>
      <c r="C60" t="s">
        <v>169</v>
      </c>
      <c r="D60" s="7">
        <f>INDEX(GMW!$A:$NF,MATCH('Fiscal position'!D$4,GMW!$NE:$NE,0),MATCH('Fiscal position'!$C60,GMW!$1:$1,0))</f>
        <v>452183</v>
      </c>
      <c r="E60" s="7">
        <f>INDEX(GMW!$A:$NF,MATCH('Fiscal position'!E$4,GMW!$NE:$NE,0),MATCH('Fiscal position'!$C60,GMW!$1:$1,0))</f>
        <v>-25837</v>
      </c>
    </row>
    <row r="61" spans="1:5">
      <c r="A61" s="5">
        <f t="shared" ref="A61:B61" si="75">A57+1</f>
        <v>2014</v>
      </c>
      <c r="B61" s="5">
        <f t="shared" si="75"/>
        <v>2014</v>
      </c>
      <c r="C61" t="s">
        <v>170</v>
      </c>
      <c r="D61" s="7">
        <f>INDEX(GMW!$A:$NF,MATCH('Fiscal position'!D$4,GMW!$NE:$NE,0),MATCH('Fiscal position'!$C61,GMW!$1:$1,0))</f>
        <v>457683</v>
      </c>
      <c r="E61" s="7">
        <f>INDEX(GMW!$A:$NF,MATCH('Fiscal position'!E$4,GMW!$NE:$NE,0),MATCH('Fiscal position'!$C61,GMW!$1:$1,0))</f>
        <v>-1991</v>
      </c>
    </row>
    <row r="62" spans="1:5">
      <c r="A62" s="5">
        <f t="shared" ref="A62:B62" si="76">A58+1</f>
        <v>2014</v>
      </c>
      <c r="B62" s="5">
        <f t="shared" si="76"/>
        <v>2015</v>
      </c>
      <c r="C62" t="s">
        <v>171</v>
      </c>
      <c r="D62" s="7">
        <f>INDEX(GMW!$A:$NF,MATCH('Fiscal position'!D$4,GMW!$NE:$NE,0),MATCH('Fiscal position'!$C62,GMW!$1:$1,0))</f>
        <v>461549</v>
      </c>
      <c r="E62" s="7">
        <f>INDEX(GMW!$A:$NF,MATCH('Fiscal position'!E$4,GMW!$NE:$NE,0),MATCH('Fiscal position'!$C62,GMW!$1:$1,0))</f>
        <v>-23604</v>
      </c>
    </row>
    <row r="63" spans="1:5">
      <c r="A63" s="5">
        <f t="shared" ref="A63:B63" si="77">A59+1</f>
        <v>2014</v>
      </c>
      <c r="B63" s="5">
        <f t="shared" si="77"/>
        <v>2015</v>
      </c>
      <c r="C63" t="s">
        <v>172</v>
      </c>
      <c r="D63" s="7">
        <f>INDEX(GMW!$A:$NF,MATCH('Fiscal position'!D$4,GMW!$NE:$NE,0),MATCH('Fiscal position'!$C63,GMW!$1:$1,0))</f>
        <v>470624</v>
      </c>
      <c r="E63" s="7">
        <f>INDEX(GMW!$A:$NF,MATCH('Fiscal position'!E$4,GMW!$NE:$NE,0),MATCH('Fiscal position'!$C63,GMW!$1:$1,0))</f>
        <v>-15659</v>
      </c>
    </row>
    <row r="64" spans="1:5">
      <c r="A64" s="5">
        <f t="shared" ref="A64:B64" si="78">A60+1</f>
        <v>2014</v>
      </c>
      <c r="B64" s="5">
        <f t="shared" si="78"/>
        <v>2015</v>
      </c>
      <c r="C64" t="s">
        <v>173</v>
      </c>
      <c r="D64" s="7">
        <f>INDEX(GMW!$A:$NF,MATCH('Fiscal position'!D$4,GMW!$NE:$NE,0),MATCH('Fiscal position'!$C64,GMW!$1:$1,0))</f>
        <v>472658</v>
      </c>
      <c r="E64" s="7">
        <f>INDEX(GMW!$A:$NF,MATCH('Fiscal position'!E$4,GMW!$NE:$NE,0),MATCH('Fiscal position'!$C64,GMW!$1:$1,0))</f>
        <v>-21611</v>
      </c>
    </row>
    <row r="65" spans="1:5">
      <c r="A65" s="5">
        <f t="shared" ref="A65:B65" si="79">A61+1</f>
        <v>2015</v>
      </c>
      <c r="B65" s="5">
        <f t="shared" si="79"/>
        <v>2015</v>
      </c>
      <c r="C65" t="s">
        <v>174</v>
      </c>
      <c r="D65" s="7">
        <f>INDEX(GMW!$A:$NF,MATCH('Fiscal position'!D$4,GMW!$NE:$NE,0),MATCH('Fiscal position'!$C65,GMW!$1:$1,0))</f>
        <v>474680</v>
      </c>
      <c r="E65" s="7">
        <f>INDEX(GMW!$A:$NF,MATCH('Fiscal position'!E$4,GMW!$NE:$NE,0),MATCH('Fiscal position'!$C65,GMW!$1:$1,0))</f>
        <v>6949</v>
      </c>
    </row>
    <row r="66" spans="1:5">
      <c r="A66" s="5">
        <f t="shared" ref="A66:B66" si="80">A62+1</f>
        <v>2015</v>
      </c>
      <c r="B66" s="5">
        <f t="shared" si="80"/>
        <v>2016</v>
      </c>
      <c r="C66" t="s">
        <v>175</v>
      </c>
      <c r="D66" s="7">
        <f>INDEX(GMW!$A:$NF,MATCH('Fiscal position'!D$4,GMW!$NE:$NE,0),MATCH('Fiscal position'!$C66,GMW!$1:$1,0))</f>
        <v>476591</v>
      </c>
      <c r="E66" s="7">
        <f>INDEX(GMW!$A:$NF,MATCH('Fiscal position'!E$4,GMW!$NE:$NE,0),MATCH('Fiscal position'!$C66,GMW!$1:$1,0))</f>
        <v>-18981</v>
      </c>
    </row>
    <row r="67" spans="1:5">
      <c r="A67" s="5">
        <f t="shared" ref="A67:B67" si="81">A63+1</f>
        <v>2015</v>
      </c>
      <c r="B67" s="5">
        <f t="shared" si="81"/>
        <v>2016</v>
      </c>
      <c r="C67" t="s">
        <v>176</v>
      </c>
      <c r="D67" s="7">
        <f>INDEX(GMW!$A:$NF,MATCH('Fiscal position'!D$4,GMW!$NE:$NE,0),MATCH('Fiscal position'!$C67,GMW!$1:$1,0))</f>
        <v>479924</v>
      </c>
      <c r="E67" s="7">
        <f>INDEX(GMW!$A:$NF,MATCH('Fiscal position'!E$4,GMW!$NE:$NE,0),MATCH('Fiscal position'!$C67,GMW!$1:$1,0))</f>
        <v>-13391</v>
      </c>
    </row>
    <row r="68" spans="1:5">
      <c r="A68" s="5">
        <f t="shared" ref="A68:B68" si="82">A64+1</f>
        <v>2015</v>
      </c>
      <c r="B68" s="5">
        <f t="shared" si="82"/>
        <v>2016</v>
      </c>
      <c r="C68" t="s">
        <v>177</v>
      </c>
      <c r="D68" s="7">
        <f>INDEX(GMW!$A:$NF,MATCH('Fiscal position'!D$4,GMW!$NE:$NE,0),MATCH('Fiscal position'!$C68,GMW!$1:$1,0))</f>
        <v>485256</v>
      </c>
      <c r="E68" s="7">
        <f>INDEX(GMW!$A:$NF,MATCH('Fiscal position'!E$4,GMW!$NE:$NE,0),MATCH('Fiscal position'!$C68,GMW!$1:$1,0))</f>
        <v>-19653</v>
      </c>
    </row>
    <row r="69" spans="1:5">
      <c r="A69" s="5">
        <f t="shared" ref="A69:B69" si="83">A65+1</f>
        <v>2016</v>
      </c>
      <c r="B69" s="5">
        <f t="shared" si="83"/>
        <v>2016</v>
      </c>
      <c r="C69" t="s">
        <v>178</v>
      </c>
      <c r="D69" s="7">
        <f>INDEX(GMW!$A:$NF,MATCH('Fiscal position'!D$4,GMW!$NE:$NE,0),MATCH('Fiscal position'!$C69,GMW!$1:$1,0))</f>
        <v>489683</v>
      </c>
      <c r="E69" s="7">
        <f>INDEX(GMW!$A:$NF,MATCH('Fiscal position'!E$4,GMW!$NE:$NE,0),MATCH('Fiscal position'!$C69,GMW!$1:$1,0))</f>
        <v>9828</v>
      </c>
    </row>
    <row r="70" spans="1:5">
      <c r="A70" s="5">
        <f t="shared" ref="A70:B70" si="84">A66+1</f>
        <v>2016</v>
      </c>
      <c r="B70" s="5">
        <f t="shared" si="84"/>
        <v>2017</v>
      </c>
      <c r="C70" t="s">
        <v>179</v>
      </c>
      <c r="D70" s="7">
        <f>INDEX(GMW!$A:$NF,MATCH('Fiscal position'!D$4,GMW!$NE:$NE,0),MATCH('Fiscal position'!$C70,GMW!$1:$1,0))</f>
        <v>493710</v>
      </c>
      <c r="E70" s="7">
        <f>INDEX(GMW!$A:$NF,MATCH('Fiscal position'!E$4,GMW!$NE:$NE,0),MATCH('Fiscal position'!$C70,GMW!$1:$1,0))</f>
        <v>-15388</v>
      </c>
    </row>
    <row r="71" spans="1:5">
      <c r="A71" s="5">
        <f t="shared" ref="A71:B71" si="85">A67+1</f>
        <v>2016</v>
      </c>
      <c r="B71" s="5">
        <f t="shared" si="85"/>
        <v>2017</v>
      </c>
      <c r="C71" t="s">
        <v>180</v>
      </c>
      <c r="D71" s="7">
        <f>INDEX(GMW!$A:$NF,MATCH('Fiscal position'!D$4,GMW!$NE:$NE,0),MATCH('Fiscal position'!$C71,GMW!$1:$1,0))</f>
        <v>500801</v>
      </c>
      <c r="E71" s="7">
        <f>INDEX(GMW!$A:$NF,MATCH('Fiscal position'!E$4,GMW!$NE:$NE,0),MATCH('Fiscal position'!$C71,GMW!$1:$1,0))</f>
        <v>-8601</v>
      </c>
    </row>
    <row r="72" spans="1:5">
      <c r="A72" s="5">
        <f t="shared" ref="A72:B72" si="86">A68+1</f>
        <v>2016</v>
      </c>
      <c r="B72" s="5">
        <f t="shared" si="86"/>
        <v>2017</v>
      </c>
      <c r="C72" t="s">
        <v>181</v>
      </c>
      <c r="D72" s="7">
        <f>INDEX(GMW!$A:$NF,MATCH('Fiscal position'!D$4,GMW!$NE:$NE,0),MATCH('Fiscal position'!$C72,GMW!$1:$1,0))</f>
        <v>507451</v>
      </c>
      <c r="E72" s="7">
        <f>INDEX(GMW!$A:$NF,MATCH('Fiscal position'!E$4,GMW!$NE:$NE,0),MATCH('Fiscal position'!$C72,GMW!$1:$1,0))</f>
        <v>-12041</v>
      </c>
    </row>
    <row r="73" spans="1:5">
      <c r="A73" s="5">
        <f t="shared" ref="A73:B73" si="87">A69+1</f>
        <v>2017</v>
      </c>
      <c r="B73" s="5">
        <f t="shared" si="87"/>
        <v>2017</v>
      </c>
      <c r="C73" t="s">
        <v>182</v>
      </c>
      <c r="D73" s="7">
        <f>INDEX(GMW!$A:$NF,MATCH('Fiscal position'!D$4,GMW!$NE:$NE,0),MATCH('Fiscal position'!$C73,GMW!$1:$1,0))</f>
        <v>513814</v>
      </c>
      <c r="E73" s="7">
        <f>INDEX(GMW!$A:$NF,MATCH('Fiscal position'!E$4,GMW!$NE:$NE,0),MATCH('Fiscal position'!$C73,GMW!$1:$1,0))</f>
        <v>25635</v>
      </c>
    </row>
    <row r="74" spans="1:5">
      <c r="A74" s="5">
        <f t="shared" ref="A74:B74" si="88">A70+1</f>
        <v>2017</v>
      </c>
      <c r="B74" s="5">
        <f t="shared" si="88"/>
        <v>2018</v>
      </c>
      <c r="C74" t="s">
        <v>183</v>
      </c>
      <c r="D74" s="7">
        <f>INDEX(GMW!$A:$NF,MATCH('Fiscal position'!D$4,GMW!$NE:$NE,0),MATCH('Fiscal position'!$C74,GMW!$1:$1,0))</f>
        <v>517656</v>
      </c>
      <c r="E74" s="7">
        <f>INDEX(GMW!$A:$NF,MATCH('Fiscal position'!E$4,GMW!$NE:$NE,0),MATCH('Fiscal position'!$C74,GMW!$1:$1,0))</f>
        <v>-11559</v>
      </c>
    </row>
    <row r="75" spans="1:5">
      <c r="A75" s="5">
        <f t="shared" ref="A75:B75" si="89">A71+1</f>
        <v>2017</v>
      </c>
      <c r="B75" s="5">
        <f t="shared" si="89"/>
        <v>2018</v>
      </c>
      <c r="C75" t="s">
        <v>184</v>
      </c>
      <c r="D75" s="7">
        <f>INDEX(GMW!$A:$NF,MATCH('Fiscal position'!D$4,GMW!$NE:$NE,0),MATCH('Fiscal position'!$C75,GMW!$1:$1,0))</f>
        <v>521257</v>
      </c>
      <c r="E75" s="7">
        <f>INDEX(GMW!$A:$NF,MATCH('Fiscal position'!E$4,GMW!$NE:$NE,0),MATCH('Fiscal position'!$C75,GMW!$1:$1,0))</f>
        <v>-2483</v>
      </c>
    </row>
    <row r="76" spans="1:5">
      <c r="A76" s="5">
        <f t="shared" ref="A76:B76" si="90">A72+1</f>
        <v>2017</v>
      </c>
      <c r="B76" s="5">
        <f t="shared" si="90"/>
        <v>2018</v>
      </c>
      <c r="C76" t="s">
        <v>185</v>
      </c>
      <c r="D76" s="7">
        <f>INDEX(GMW!$A:$NF,MATCH('Fiscal position'!D$4,GMW!$NE:$NE,0),MATCH('Fiscal position'!$C76,GMW!$1:$1,0))</f>
        <v>529755</v>
      </c>
      <c r="E76" s="7">
        <f>INDEX(GMW!$A:$NF,MATCH('Fiscal position'!E$4,GMW!$NE:$NE,0),MATCH('Fiscal position'!$C76,GMW!$1:$1,0))</f>
        <v>-6285</v>
      </c>
    </row>
    <row r="77" spans="1:5">
      <c r="A77" s="5">
        <f t="shared" ref="A77:B77" si="91">A73+1</f>
        <v>2018</v>
      </c>
      <c r="B77" s="5">
        <f t="shared" si="91"/>
        <v>2018</v>
      </c>
      <c r="C77" t="s">
        <v>186</v>
      </c>
      <c r="D77" s="7">
        <f>INDEX(GMW!$A:$NF,MATCH('Fiscal position'!D$4,GMW!$NE:$NE,0),MATCH('Fiscal position'!$C77,GMW!$1:$1,0))</f>
        <v>531131</v>
      </c>
      <c r="E77" s="7">
        <f>INDEX(GMW!$A:$NF,MATCH('Fiscal position'!E$4,GMW!$NE:$NE,0),MATCH('Fiscal position'!$C77,GMW!$1:$1,0))</f>
        <v>18833</v>
      </c>
    </row>
    <row r="78" spans="1:5">
      <c r="A78" s="5">
        <f t="shared" ref="A78:B78" si="92">A74+1</f>
        <v>2018</v>
      </c>
      <c r="B78" s="5">
        <f t="shared" si="92"/>
        <v>2019</v>
      </c>
      <c r="C78" t="s">
        <v>187</v>
      </c>
      <c r="D78" s="7">
        <f>INDEX(GMW!$A:$NF,MATCH('Fiscal position'!D$4,GMW!$NE:$NE,0),MATCH('Fiscal position'!$C78,GMW!$1:$1,0))</f>
        <v>535707</v>
      </c>
      <c r="E78" s="7">
        <f>INDEX(GMW!$A:$NF,MATCH('Fiscal position'!E$4,GMW!$NE:$NE,0),MATCH('Fiscal position'!$C78,GMW!$1:$1,0))</f>
        <v>-8435</v>
      </c>
    </row>
    <row r="79" spans="1:5">
      <c r="A79" s="5">
        <f t="shared" ref="A79:B79" si="93">A75+1</f>
        <v>2018</v>
      </c>
      <c r="B79" s="5">
        <f t="shared" si="93"/>
        <v>2019</v>
      </c>
      <c r="C79" t="s">
        <v>188</v>
      </c>
      <c r="D79" s="7">
        <f>INDEX(GMW!$A:$NF,MATCH('Fiscal position'!D$4,GMW!$NE:$NE,0),MATCH('Fiscal position'!$C79,GMW!$1:$1,0))</f>
        <v>540205</v>
      </c>
      <c r="E79" s="7">
        <f>INDEX(GMW!$A:$NF,MATCH('Fiscal position'!E$4,GMW!$NE:$NE,0),MATCH('Fiscal position'!$C79,GMW!$1:$1,0))</f>
        <v>-1606</v>
      </c>
    </row>
    <row r="80" spans="1:5">
      <c r="A80" s="5">
        <f t="shared" ref="A80:B80" si="94">A76+1</f>
        <v>2018</v>
      </c>
      <c r="B80" s="5">
        <f t="shared" si="94"/>
        <v>2019</v>
      </c>
      <c r="C80" t="s">
        <v>189</v>
      </c>
      <c r="D80" s="7">
        <f>INDEX(GMW!$A:$NF,MATCH('Fiscal position'!D$4,GMW!$NE:$NE,0),MATCH('Fiscal position'!$C80,GMW!$1:$1,0))</f>
        <v>545261</v>
      </c>
      <c r="E80" s="7">
        <f>INDEX(GMW!$A:$NF,MATCH('Fiscal position'!E$4,GMW!$NE:$NE,0),MATCH('Fiscal position'!$C80,GMW!$1:$1,0))</f>
        <v>-8140</v>
      </c>
    </row>
    <row r="81" spans="1:5">
      <c r="A81" s="5">
        <f t="shared" ref="A81:B81" si="95">A77+1</f>
        <v>2019</v>
      </c>
      <c r="B81" s="5">
        <f t="shared" si="95"/>
        <v>2019</v>
      </c>
      <c r="C81" t="s">
        <v>190</v>
      </c>
      <c r="D81" s="7">
        <f>INDEX(GMW!$A:$NF,MATCH('Fiscal position'!D$4,GMW!$NE:$NE,0),MATCH('Fiscal position'!$C81,GMW!$1:$1,0))</f>
        <v>549060</v>
      </c>
      <c r="E81" s="7">
        <f>INDEX(GMW!$A:$NF,MATCH('Fiscal position'!E$4,GMW!$NE:$NE,0),MATCH('Fiscal position'!$C81,GMW!$1:$1,0))</f>
        <v>27940</v>
      </c>
    </row>
    <row r="82" spans="1:5">
      <c r="A82" s="5">
        <f t="shared" ref="A82:B82" si="96">A78+1</f>
        <v>2019</v>
      </c>
      <c r="B82" s="5">
        <f t="shared" si="96"/>
        <v>2020</v>
      </c>
      <c r="C82" t="s">
        <v>191</v>
      </c>
      <c r="D82" s="7">
        <f>INDEX(GMW!$A:$NF,MATCH('Fiscal position'!D$4,GMW!$NE:$NE,0),MATCH('Fiscal position'!$C82,GMW!$1:$1,0))</f>
        <v>556104</v>
      </c>
      <c r="E82" s="7">
        <f>INDEX(GMW!$A:$NF,MATCH('Fiscal position'!E$4,GMW!$NE:$NE,0),MATCH('Fiscal position'!$C82,GMW!$1:$1,0))</f>
        <v>-14183</v>
      </c>
    </row>
    <row r="83" spans="1:5">
      <c r="A83" s="5">
        <f t="shared" ref="A83:B83" si="97">A79+1</f>
        <v>2019</v>
      </c>
      <c r="B83" s="5">
        <f t="shared" si="97"/>
        <v>2020</v>
      </c>
      <c r="C83" t="s">
        <v>192</v>
      </c>
      <c r="D83" s="7">
        <f>INDEX(GMW!$A:$NF,MATCH('Fiscal position'!D$4,GMW!$NE:$NE,0),MATCH('Fiscal position'!$C83,GMW!$1:$1,0))</f>
        <v>562999</v>
      </c>
      <c r="E83" s="7">
        <f>INDEX(GMW!$A:$NF,MATCH('Fiscal position'!E$4,GMW!$NE:$NE,0),MATCH('Fiscal position'!$C83,GMW!$1:$1,0))</f>
        <v>-1830</v>
      </c>
    </row>
    <row r="84" spans="1:5">
      <c r="A84" s="5">
        <f t="shared" ref="A84:B84" si="98">A80+1</f>
        <v>2019</v>
      </c>
      <c r="B84" s="5">
        <f t="shared" si="98"/>
        <v>2020</v>
      </c>
      <c r="C84" t="s">
        <v>193</v>
      </c>
      <c r="D84" s="7">
        <f>INDEX(GMW!$A:$NF,MATCH('Fiscal position'!D$4,GMW!$NE:$NE,0),MATCH('Fiscal position'!$C84,GMW!$1:$1,0))</f>
        <v>565758</v>
      </c>
      <c r="E84" s="7">
        <f>INDEX(GMW!$A:$NF,MATCH('Fiscal position'!E$4,GMW!$NE:$NE,0),MATCH('Fiscal position'!$C84,GMW!$1:$1,0))</f>
        <v>-13143</v>
      </c>
    </row>
    <row r="85" spans="1:5">
      <c r="A85" s="5">
        <f t="shared" ref="A85:B85" si="99">A81+1</f>
        <v>2020</v>
      </c>
      <c r="B85" s="5">
        <f t="shared" si="99"/>
        <v>2020</v>
      </c>
      <c r="C85" t="s">
        <v>194</v>
      </c>
      <c r="D85" s="7">
        <f>INDEX(GMW!$A:$NF,MATCH('Fiscal position'!D$4,GMW!$NE:$NE,0),MATCH('Fiscal position'!$C85,GMW!$1:$1,0))</f>
        <v>555891</v>
      </c>
      <c r="E85" s="7">
        <f>INDEX(GMW!$A:$NF,MATCH('Fiscal position'!E$4,GMW!$NE:$NE,0),MATCH('Fiscal position'!$C85,GMW!$1:$1,0))</f>
        <v>18011</v>
      </c>
    </row>
    <row r="86" spans="1:5">
      <c r="A86" s="5">
        <f t="shared" ref="A86:B86" si="100">A82+1</f>
        <v>2020</v>
      </c>
      <c r="B86" s="5">
        <f t="shared" si="100"/>
        <v>2021</v>
      </c>
      <c r="C86" t="s">
        <v>195</v>
      </c>
      <c r="D86" s="7">
        <f>INDEX(GMW!$A:$NF,MATCH('Fiscal position'!D$4,GMW!$NE:$NE,0),MATCH('Fiscal position'!$C86,GMW!$1:$1,0))</f>
        <v>476160</v>
      </c>
      <c r="E86" s="7">
        <f>INDEX(GMW!$A:$NF,MATCH('Fiscal position'!E$4,GMW!$NE:$NE,0),MATCH('Fiscal position'!$C86,GMW!$1:$1,0))</f>
        <v>-109176</v>
      </c>
    </row>
    <row r="87" spans="1:5">
      <c r="A87" s="5">
        <f t="shared" ref="A87:B87" si="101">A83+1</f>
        <v>2020</v>
      </c>
      <c r="B87" s="5">
        <f t="shared" si="101"/>
        <v>2021</v>
      </c>
      <c r="C87" t="s">
        <v>196</v>
      </c>
      <c r="D87" s="7">
        <f>INDEX(GMW!$A:$NF,MATCH('Fiscal position'!D$4,GMW!$NE:$NE,0),MATCH('Fiscal position'!$C87,GMW!$1:$1,0))</f>
        <v>533806</v>
      </c>
      <c r="E87" s="7">
        <f>INDEX(GMW!$A:$NF,MATCH('Fiscal position'!E$4,GMW!$NE:$NE,0),MATCH('Fiscal position'!$C87,GMW!$1:$1,0))</f>
        <v>-56264</v>
      </c>
    </row>
    <row r="88" spans="1:5">
      <c r="A88" s="5">
        <f t="shared" ref="A88:B88" si="102">A84+1</f>
        <v>2020</v>
      </c>
      <c r="B88" s="5">
        <f t="shared" si="102"/>
        <v>2021</v>
      </c>
      <c r="C88" t="s">
        <v>197</v>
      </c>
      <c r="D88" s="7">
        <f>INDEX(GMW!$A:$NF,MATCH('Fiscal position'!D$4,GMW!$NE:$NE,0),MATCH('Fiscal position'!$C88,GMW!$1:$1,0))</f>
        <v>537629</v>
      </c>
      <c r="E88" s="7">
        <f>INDEX(GMW!$A:$NF,MATCH('Fiscal position'!E$4,GMW!$NE:$NE,0),MATCH('Fiscal position'!$C88,GMW!$1:$1,0))</f>
        <v>-48986</v>
      </c>
    </row>
    <row r="89" spans="1:5">
      <c r="A89" s="5">
        <f t="shared" ref="A89:B89" si="103">A85+1</f>
        <v>2021</v>
      </c>
      <c r="B89" s="5">
        <f t="shared" si="103"/>
        <v>2021</v>
      </c>
      <c r="C89" t="s">
        <v>198</v>
      </c>
      <c r="D89" s="7">
        <f>INDEX(GMW!$A:$NF,MATCH('Fiscal position'!D$4,GMW!$NE:$NE,0),MATCH('Fiscal position'!$C89,GMW!$1:$1,0))</f>
        <v>537992</v>
      </c>
      <c r="E89" s="7">
        <f>INDEX(GMW!$A:$NF,MATCH('Fiscal position'!E$4,GMW!$NE:$NE,0),MATCH('Fiscal position'!$C89,GMW!$1:$1,0))</f>
        <v>-18893</v>
      </c>
    </row>
    <row r="90" spans="1:5">
      <c r="A90" s="5">
        <f t="shared" ref="A90:B90" si="104">A86+1</f>
        <v>2021</v>
      </c>
      <c r="B90" s="5">
        <f t="shared" si="104"/>
        <v>2022</v>
      </c>
      <c r="C90" t="s">
        <v>199</v>
      </c>
      <c r="D90" s="7">
        <f>INDEX(GMW!$A:$NF,MATCH('Fiscal position'!D$4,GMW!$NE:$NE,0),MATCH('Fiscal position'!$C90,GMW!$1:$1,0))</f>
        <v>568521</v>
      </c>
      <c r="E90" s="7">
        <f>INDEX(GMW!$A:$NF,MATCH('Fiscal position'!E$4,GMW!$NE:$NE,0),MATCH('Fiscal position'!$C90,GMW!$1:$1,0))</f>
        <v>-45685</v>
      </c>
    </row>
    <row r="91" spans="1:5">
      <c r="A91" s="5">
        <f t="shared" ref="A91:B91" si="105">A87+1</f>
        <v>2021</v>
      </c>
      <c r="B91" s="5">
        <f t="shared" si="105"/>
        <v>2022</v>
      </c>
      <c r="C91" t="s">
        <v>200</v>
      </c>
      <c r="D91" s="7">
        <f>INDEX(GMW!$A:$NF,MATCH('Fiscal position'!D$4,GMW!$NE:$NE,0),MATCH('Fiscal position'!$C91,GMW!$1:$1,0))</f>
        <v>581805</v>
      </c>
      <c r="E91" s="7">
        <f>INDEX(GMW!$A:$NF,MATCH('Fiscal position'!E$4,GMW!$NE:$NE,0),MATCH('Fiscal position'!$C91,GMW!$1:$1,0))</f>
        <v>-21102</v>
      </c>
    </row>
    <row r="92" spans="1:5">
      <c r="A92" s="5">
        <f t="shared" ref="A92:B92" si="106">A88+1</f>
        <v>2021</v>
      </c>
      <c r="B92" s="5">
        <f t="shared" si="106"/>
        <v>2022</v>
      </c>
      <c r="C92" t="s">
        <v>201</v>
      </c>
      <c r="D92" s="7">
        <f>INDEX(GMW!$A:$NF,MATCH('Fiscal position'!D$4,GMW!$NE:$NE,0),MATCH('Fiscal position'!$C92,GMW!$1:$1,0))</f>
        <v>597082</v>
      </c>
      <c r="E92" s="7">
        <f>INDEX(GMW!$A:$NF,MATCH('Fiscal position'!E$4,GMW!$NE:$NE,0),MATCH('Fiscal position'!$C92,GMW!$1:$1,0))</f>
        <v>-14465</v>
      </c>
    </row>
    <row r="93" spans="1:5">
      <c r="A93" s="5">
        <f t="shared" ref="A93:B93" si="107">A89+1</f>
        <v>2022</v>
      </c>
      <c r="B93" s="5">
        <f t="shared" si="107"/>
        <v>2022</v>
      </c>
      <c r="C93" t="s">
        <v>202</v>
      </c>
      <c r="D93" s="7">
        <f>INDEX(GMW!$A:$NF,MATCH('Fiscal position'!D$4,GMW!$NE:$NE,0),MATCH('Fiscal position'!$C93,GMW!$1:$1,0))</f>
        <v>610346</v>
      </c>
      <c r="E93" s="7">
        <f>INDEX(GMW!$A:$NF,MATCH('Fiscal position'!E$4,GMW!$NE:$NE,0),MATCH('Fiscal position'!$C93,GMW!$1:$1,0))</f>
        <v>20866</v>
      </c>
    </row>
    <row r="94" spans="1:5">
      <c r="A94" s="5">
        <f t="shared" ref="A94:B94" si="108">A90+1</f>
        <v>2022</v>
      </c>
      <c r="B94" s="5">
        <f t="shared" si="108"/>
        <v>2023</v>
      </c>
      <c r="C94" t="s">
        <v>203</v>
      </c>
      <c r="D94" s="7">
        <f>INDEX(GMW!$A:$NF,MATCH('Fiscal position'!D$4,GMW!$NE:$NE,0),MATCH('Fiscal position'!$C94,GMW!$1:$1,0))</f>
        <v>625467</v>
      </c>
      <c r="E94" s="7">
        <f>INDEX(GMW!$A:$NF,MATCH('Fiscal position'!E$4,GMW!$NE:$NE,0),MATCH('Fiscal position'!$C94,GMW!$1:$1,0))</f>
        <v>-31204</v>
      </c>
    </row>
    <row r="95" spans="1:5">
      <c r="A95" s="5">
        <f t="shared" ref="A95:B95" si="109">A91+1</f>
        <v>2022</v>
      </c>
      <c r="B95" s="5">
        <f t="shared" si="109"/>
        <v>2023</v>
      </c>
      <c r="C95" t="s">
        <v>204</v>
      </c>
      <c r="D95" s="7">
        <f>INDEX(GMW!$A:$NF,MATCH('Fiscal position'!D$4,GMW!$NE:$NE,0),MATCH('Fiscal position'!$C95,GMW!$1:$1,0))</f>
        <v>636553</v>
      </c>
      <c r="E95" s="7">
        <f>INDEX(GMW!$A:$NF,MATCH('Fiscal position'!E$4,GMW!$NE:$NE,0),MATCH('Fiscal position'!$C95,GMW!$1:$1,0))</f>
        <v>-11366</v>
      </c>
    </row>
    <row r="96" spans="1:5">
      <c r="A96" s="5">
        <f t="shared" ref="A96:B96" si="110">A92+1</f>
        <v>2022</v>
      </c>
      <c r="B96" s="5">
        <f t="shared" si="110"/>
        <v>2023</v>
      </c>
      <c r="C96" t="s">
        <v>205</v>
      </c>
      <c r="D96" s="7">
        <f>INDEX(GMW!$A:$NF,MATCH('Fiscal position'!D$4,GMW!$NE:$NE,0),MATCH('Fiscal position'!$C96,GMW!$1:$1,0))</f>
        <v>654062</v>
      </c>
      <c r="E96" s="7">
        <f>INDEX(GMW!$A:$NF,MATCH('Fiscal position'!E$4,GMW!$NE:$NE,0),MATCH('Fiscal position'!$C96,GMW!$1:$1,0))</f>
        <v>-37400</v>
      </c>
    </row>
    <row r="97" spans="1:5">
      <c r="A97" s="5">
        <f t="shared" ref="A97:B97" si="111">A93+1</f>
        <v>2023</v>
      </c>
      <c r="B97" s="5">
        <f t="shared" si="111"/>
        <v>2023</v>
      </c>
      <c r="C97" t="s">
        <v>206</v>
      </c>
      <c r="D97" s="7">
        <f>INDEX(GMW!$A:$NF,MATCH('Fiscal position'!D$4,GMW!$NE:$NE,0),MATCH('Fiscal position'!$C97,GMW!$1:$1,0))</f>
        <v>667103</v>
      </c>
      <c r="E97" s="7">
        <f>INDEX(GMW!$A:$NF,MATCH('Fiscal position'!E$4,GMW!$NE:$NE,0),MATCH('Fiscal position'!$C97,GMW!$1:$1,0))</f>
        <v>12300</v>
      </c>
    </row>
    <row r="98" spans="1:5">
      <c r="A98" s="5">
        <f t="shared" ref="A98:B98" si="112">A94+1</f>
        <v>2023</v>
      </c>
      <c r="B98" s="5">
        <f t="shared" si="112"/>
        <v>2024</v>
      </c>
      <c r="C98" t="s">
        <v>207</v>
      </c>
      <c r="D98" s="7">
        <f>INDEX(GMW!$A:$NF,MATCH('Fiscal position'!D$4,GMW!$NE:$NE,0),MATCH('Fiscal position'!$C98,GMW!$1:$1,0))</f>
        <v>679433</v>
      </c>
      <c r="E98" s="7">
        <f>INDEX(GMW!$A:$NF,MATCH('Fiscal position'!E$4,GMW!$NE:$NE,0),MATCH('Fiscal position'!$C98,GMW!$1:$1,0))</f>
        <v>-41871</v>
      </c>
    </row>
    <row r="99" spans="1:5">
      <c r="A99" s="5">
        <f t="shared" ref="A99:B99" si="113">A95+1</f>
        <v>2023</v>
      </c>
      <c r="B99" s="5">
        <f t="shared" si="113"/>
        <v>2024</v>
      </c>
      <c r="C99" t="s">
        <v>208</v>
      </c>
      <c r="D99" s="7">
        <f>INDEX(GMW!$A:$NF,MATCH('Fiscal position'!D$4,GMW!$NE:$NE,0),MATCH('Fiscal position'!$C99,GMW!$1:$1,0))</f>
        <v>685035</v>
      </c>
      <c r="E99" s="7">
        <f>INDEX(GMW!$A:$NF,MATCH('Fiscal position'!E$4,GMW!$NE:$NE,0),MATCH('Fiscal position'!$C99,GMW!$1:$1,0))</f>
        <v>-12423</v>
      </c>
    </row>
    <row r="100" spans="1:5">
      <c r="A100" s="5">
        <f t="shared" ref="A100:B100" si="114">A96+1</f>
        <v>2023</v>
      </c>
      <c r="B100" s="5">
        <f t="shared" si="114"/>
        <v>2024</v>
      </c>
      <c r="C100" t="s">
        <v>209</v>
      </c>
      <c r="D100" s="7">
        <f>INDEX(GMW!$A:$NF,MATCH('Fiscal position'!D$4,GMW!$NE:$NE,0),MATCH('Fiscal position'!$C100,GMW!$1:$1,0))</f>
        <v>685749</v>
      </c>
      <c r="E100" s="7">
        <f>INDEX(GMW!$A:$NF,MATCH('Fiscal position'!E$4,GMW!$NE:$NE,0),MATCH('Fiscal position'!$C100,GMW!$1:$1,0))</f>
        <v>-22702</v>
      </c>
    </row>
    <row r="101" spans="1:5">
      <c r="A101" s="5">
        <f t="shared" ref="A101:B101" si="115">A97+1</f>
        <v>2024</v>
      </c>
      <c r="B101" s="5">
        <f t="shared" si="115"/>
        <v>2024</v>
      </c>
      <c r="C101" t="s">
        <v>210</v>
      </c>
      <c r="D101" s="7">
        <f>INDEX(GMW!$A:$NF,MATCH('Fiscal position'!D$4,GMW!$NE:$NE,0),MATCH('Fiscal position'!$C101,GMW!$1:$1,0))</f>
        <v>698800</v>
      </c>
      <c r="E101" s="7">
        <f>INDEX(GMW!$A:$NF,MATCH('Fiscal position'!E$4,GMW!$NE:$NE,0),MATCH('Fiscal position'!$C101,GMW!$1:$1,0))</f>
        <v>26421</v>
      </c>
    </row>
    <row r="102" spans="1:5">
      <c r="A102" s="5">
        <f t="shared" ref="A102:B102" si="116">A98+1</f>
        <v>2024</v>
      </c>
      <c r="B102" s="5">
        <f t="shared" si="116"/>
        <v>2025</v>
      </c>
      <c r="C102" t="s">
        <v>211</v>
      </c>
      <c r="D102" s="7">
        <f>INDEX(GMW!$A:$NF,MATCH('Fiscal position'!D$4,GMW!$NE:$NE,0),MATCH('Fiscal position'!$C102,GMW!$1:$1,0))</f>
        <v>707433</v>
      </c>
      <c r="E102" s="7">
        <f>INDEX(GMW!$A:$NF,MATCH('Fiscal position'!E$4,GMW!$NE:$NE,0),MATCH('Fiscal position'!$C102,GMW!$1:$1,0))</f>
        <v>-36311</v>
      </c>
    </row>
    <row r="103" spans="1:5">
      <c r="A103" s="5">
        <f t="shared" ref="A103:B103" si="117">A99+1</f>
        <v>2024</v>
      </c>
      <c r="B103" s="5">
        <f t="shared" si="117"/>
        <v>2025</v>
      </c>
      <c r="C103" t="s">
        <v>212</v>
      </c>
      <c r="D103" s="7">
        <f>INDEX(GMW!$A:$NF,MATCH('Fiscal position'!D$4,GMW!$NE:$NE,0),MATCH('Fiscal position'!$C103,GMW!$1:$1,0))</f>
        <v>717089</v>
      </c>
      <c r="E103" s="7">
        <f>INDEX(GMW!$A:$NF,MATCH('Fiscal position'!E$4,GMW!$NE:$NE,0),MATCH('Fiscal position'!$C103,GMW!$1:$1,0))</f>
        <v>-17529</v>
      </c>
    </row>
    <row r="104" spans="1:5">
      <c r="A104" s="5">
        <f t="shared" ref="A104:B104" si="118">A100+1</f>
        <v>2024</v>
      </c>
      <c r="B104" s="5">
        <f t="shared" si="118"/>
        <v>2025</v>
      </c>
      <c r="C104" t="s">
        <v>213</v>
      </c>
      <c r="D104" s="7">
        <f>INDEX(GMW!$A:$NF,MATCH('Fiscal position'!D$4,GMW!$NE:$NE,0),MATCH('Fiscal position'!$C104,GMW!$1:$1,0))</f>
        <v>724724</v>
      </c>
      <c r="E104" s="7">
        <f>INDEX(GMW!$A:$NF,MATCH('Fiscal position'!E$4,GMW!$NE:$NE,0),MATCH('Fiscal position'!$C104,GMW!$1:$1,0))</f>
        <v>-30777</v>
      </c>
    </row>
    <row r="105" spans="1:5">
      <c r="A105" s="5">
        <f t="shared" ref="A105:B105" si="119">A101+1</f>
        <v>2025</v>
      </c>
      <c r="B105" s="5">
        <f t="shared" si="119"/>
        <v>2025</v>
      </c>
      <c r="C105" t="s">
        <v>214</v>
      </c>
      <c r="D105" s="7">
        <f>INDEX(GMW!$A:$NF,MATCH('Fiscal position'!D$4,GMW!$NE:$NE,0),MATCH('Fiscal position'!$C105,GMW!$1:$1,0))</f>
        <v>733574</v>
      </c>
      <c r="E105" s="7">
        <f>INDEX(GMW!$A:$NF,MATCH('Fiscal position'!E$4,GMW!$NE:$NE,0),MATCH('Fiscal position'!$C105,GMW!$1:$1,0))</f>
        <v>28421.19</v>
      </c>
    </row>
    <row r="106" spans="1:5">
      <c r="A106" s="5">
        <f t="shared" ref="A106:B106" si="120">A102+1</f>
        <v>2025</v>
      </c>
      <c r="B106" s="5">
        <f t="shared" si="120"/>
        <v>2026</v>
      </c>
      <c r="C106" t="s">
        <v>215</v>
      </c>
      <c r="D106" s="7">
        <f>INDEX(GMW!$A:$NF,MATCH('Fiscal position'!D$4,GMW!$NE:$NE,0),MATCH('Fiscal position'!$C106,GMW!$1:$1,0))</f>
        <v>741462.2</v>
      </c>
      <c r="E106" s="7">
        <f>INDEX(GMW!$A:$NF,MATCH('Fiscal position'!E$4,GMW!$NE:$NE,0),MATCH('Fiscal position'!$C106,GMW!$1:$1,0))</f>
        <v>-17539.810000000001</v>
      </c>
    </row>
    <row r="107" spans="1:5">
      <c r="A107" s="5">
        <f t="shared" ref="A107:B107" si="121">A103+1</f>
        <v>2025</v>
      </c>
      <c r="B107" s="5">
        <f t="shared" si="121"/>
        <v>2026</v>
      </c>
      <c r="C107" t="s">
        <v>216</v>
      </c>
      <c r="D107" s="7">
        <f>INDEX(GMW!$A:$NF,MATCH('Fiscal position'!D$4,GMW!$NE:$NE,0),MATCH('Fiscal position'!$C107,GMW!$1:$1,0))</f>
        <v>749420.1</v>
      </c>
      <c r="E107" s="7">
        <f>INDEX(GMW!$A:$NF,MATCH('Fiscal position'!E$4,GMW!$NE:$NE,0),MATCH('Fiscal position'!$C107,GMW!$1:$1,0))</f>
        <v>-5719.73</v>
      </c>
    </row>
    <row r="108" spans="1:5">
      <c r="A108" s="5">
        <f t="shared" ref="A108:B108" si="122">A104+1</f>
        <v>2025</v>
      </c>
      <c r="B108" s="5">
        <f t="shared" si="122"/>
        <v>2026</v>
      </c>
      <c r="C108" t="s">
        <v>217</v>
      </c>
      <c r="D108" s="7">
        <f>INDEX(GMW!$A:$NF,MATCH('Fiscal position'!D$4,GMW!$NE:$NE,0),MATCH('Fiscal position'!$C108,GMW!$1:$1,0))</f>
        <v>757046</v>
      </c>
      <c r="E108" s="7">
        <f>INDEX(GMW!$A:$NF,MATCH('Fiscal position'!E$4,GMW!$NE:$NE,0),MATCH('Fiscal position'!$C108,GMW!$1:$1,0))</f>
        <v>-20273.900000000001</v>
      </c>
    </row>
    <row r="109" spans="1:5">
      <c r="A109" s="5">
        <f t="shared" ref="A109:B109" si="123">A105+1</f>
        <v>2026</v>
      </c>
      <c r="B109" s="5">
        <f t="shared" si="123"/>
        <v>2026</v>
      </c>
      <c r="C109" t="s">
        <v>218</v>
      </c>
      <c r="D109" s="7">
        <f>INDEX(GMW!$A:$NF,MATCH('Fiscal position'!D$4,GMW!$NE:$NE,0),MATCH('Fiscal position'!$C109,GMW!$1:$1,0))</f>
        <v>764825</v>
      </c>
      <c r="E109" s="7">
        <f>INDEX(GMW!$A:$NF,MATCH('Fiscal position'!E$4,GMW!$NE:$NE,0),MATCH('Fiscal position'!$C109,GMW!$1:$1,0))</f>
        <v>28913.599999999999</v>
      </c>
    </row>
    <row r="110" spans="1:5">
      <c r="A110" s="5">
        <f t="shared" ref="A110:B110" si="124">A106+1</f>
        <v>2026</v>
      </c>
      <c r="B110" s="5">
        <f t="shared" si="124"/>
        <v>2027</v>
      </c>
      <c r="C110" t="s">
        <v>219</v>
      </c>
      <c r="D110" s="7">
        <f>INDEX(GMW!$A:$NF,MATCH('Fiscal position'!D$4,GMW!$NE:$NE,0),MATCH('Fiscal position'!$C110,GMW!$1:$1,0))</f>
        <v>772223.4</v>
      </c>
      <c r="E110" s="7">
        <f>INDEX(GMW!$A:$NF,MATCH('Fiscal position'!E$4,GMW!$NE:$NE,0),MATCH('Fiscal position'!$C110,GMW!$1:$1,0))</f>
        <v>-14130.56</v>
      </c>
    </row>
    <row r="111" spans="1:5">
      <c r="A111" s="5">
        <f t="shared" ref="A111:B111" si="125">A107+1</f>
        <v>2026</v>
      </c>
      <c r="B111" s="5">
        <f t="shared" si="125"/>
        <v>2027</v>
      </c>
      <c r="C111" t="s">
        <v>220</v>
      </c>
      <c r="D111" s="7">
        <f>INDEX(GMW!$A:$NF,MATCH('Fiscal position'!D$4,GMW!$NE:$NE,0),MATCH('Fiscal position'!$C111,GMW!$1:$1,0))</f>
        <v>780042.6</v>
      </c>
      <c r="E111" s="7">
        <f>INDEX(GMW!$A:$NF,MATCH('Fiscal position'!E$4,GMW!$NE:$NE,0),MATCH('Fiscal position'!$C111,GMW!$1:$1,0))</f>
        <v>-1668.604</v>
      </c>
    </row>
    <row r="112" spans="1:5">
      <c r="A112" s="5">
        <f t="shared" ref="A112:B112" si="126">A108+1</f>
        <v>2026</v>
      </c>
      <c r="B112" s="5">
        <f t="shared" si="126"/>
        <v>2027</v>
      </c>
      <c r="C112" t="s">
        <v>221</v>
      </c>
      <c r="D112" s="7">
        <f>INDEX(GMW!$A:$NF,MATCH('Fiscal position'!D$4,GMW!$NE:$NE,0),MATCH('Fiscal position'!$C112,GMW!$1:$1,0))</f>
        <v>787586.9</v>
      </c>
      <c r="E112" s="7">
        <f>INDEX(GMW!$A:$NF,MATCH('Fiscal position'!E$4,GMW!$NE:$NE,0),MATCH('Fiscal position'!$C112,GMW!$1:$1,0))</f>
        <v>-16936.55</v>
      </c>
    </row>
    <row r="113" spans="1:5">
      <c r="A113" s="5">
        <f t="shared" ref="A113:B113" si="127">A109+1</f>
        <v>2027</v>
      </c>
      <c r="B113" s="5">
        <f t="shared" si="127"/>
        <v>2027</v>
      </c>
      <c r="C113" t="s">
        <v>222</v>
      </c>
      <c r="D113" s="7">
        <f>INDEX(GMW!$A:$NF,MATCH('Fiscal position'!D$4,GMW!$NE:$NE,0),MATCH('Fiscal position'!$C113,GMW!$1:$1,0))</f>
        <v>795007.8</v>
      </c>
      <c r="E113" s="7">
        <f>INDEX(GMW!$A:$NF,MATCH('Fiscal position'!E$4,GMW!$NE:$NE,0),MATCH('Fiscal position'!$C113,GMW!$1:$1,0))</f>
        <v>34766.32</v>
      </c>
    </row>
    <row r="114" spans="1:5">
      <c r="A114" s="5">
        <f t="shared" ref="A114:B114" si="128">A110+1</f>
        <v>2027</v>
      </c>
      <c r="B114" s="5">
        <f t="shared" si="128"/>
        <v>2028</v>
      </c>
      <c r="C114" t="s">
        <v>223</v>
      </c>
      <c r="D114" s="7">
        <f>INDEX(GMW!$A:$NF,MATCH('Fiscal position'!D$4,GMW!$NE:$NE,0),MATCH('Fiscal position'!$C114,GMW!$1:$1,0))</f>
        <v>802558.3</v>
      </c>
      <c r="E114" s="7">
        <f>INDEX(GMW!$A:$NF,MATCH('Fiscal position'!E$4,GMW!$NE:$NE,0),MATCH('Fiscal position'!$C114,GMW!$1:$1,0))</f>
        <v>-10081.879999999999</v>
      </c>
    </row>
    <row r="115" spans="1:5">
      <c r="A115" s="5">
        <f t="shared" ref="A115:B115" si="129">A111+1</f>
        <v>2027</v>
      </c>
      <c r="B115" s="5">
        <f t="shared" si="129"/>
        <v>2028</v>
      </c>
      <c r="C115" t="s">
        <v>224</v>
      </c>
      <c r="D115" s="7">
        <f>INDEX(GMW!$A:$NF,MATCH('Fiscal position'!D$4,GMW!$NE:$NE,0),MATCH('Fiscal position'!$C115,GMW!$1:$1,0))</f>
        <v>810321.6</v>
      </c>
      <c r="E115" s="7">
        <f>INDEX(GMW!$A:$NF,MATCH('Fiscal position'!E$4,GMW!$NE:$NE,0),MATCH('Fiscal position'!$C115,GMW!$1:$1,0))</f>
        <v>3001.8009999999999</v>
      </c>
    </row>
    <row r="116" spans="1:5">
      <c r="A116" s="5">
        <f t="shared" ref="A116:B116" si="130">A112+1</f>
        <v>2027</v>
      </c>
      <c r="B116" s="5">
        <f t="shared" si="130"/>
        <v>2028</v>
      </c>
      <c r="C116" t="s">
        <v>225</v>
      </c>
      <c r="D116" s="7">
        <f>INDEX(GMW!$A:$NF,MATCH('Fiscal position'!D$4,GMW!$NE:$NE,0),MATCH('Fiscal position'!$C116,GMW!$1:$1,0))</f>
        <v>818281.9</v>
      </c>
      <c r="E116" s="7">
        <f>INDEX(GMW!$A:$NF,MATCH('Fiscal position'!E$4,GMW!$NE:$NE,0),MATCH('Fiscal position'!$C116,GMW!$1:$1,0))</f>
        <v>-12942.06</v>
      </c>
    </row>
    <row r="117" spans="1:5">
      <c r="A117" s="5">
        <f t="shared" ref="A117:B117" si="131">A113+1</f>
        <v>2028</v>
      </c>
      <c r="B117" s="5">
        <f t="shared" si="131"/>
        <v>2028</v>
      </c>
      <c r="C117" t="s">
        <v>226</v>
      </c>
      <c r="D117" s="7">
        <f>INDEX(GMW!$A:$NF,MATCH('Fiscal position'!D$4,GMW!$NE:$NE,0),MATCH('Fiscal position'!$C117,GMW!$1:$1,0))</f>
        <v>826361.6</v>
      </c>
      <c r="E117" s="7">
        <f>INDEX(GMW!$A:$NF,MATCH('Fiscal position'!E$4,GMW!$NE:$NE,0),MATCH('Fiscal position'!$C117,GMW!$1:$1,0))</f>
        <v>41165.019999999997</v>
      </c>
    </row>
    <row r="118" spans="1:5">
      <c r="A118" s="5">
        <f t="shared" ref="A118:B118" si="132">A114+1</f>
        <v>2028</v>
      </c>
      <c r="B118" s="5">
        <f t="shared" si="132"/>
        <v>2029</v>
      </c>
      <c r="C118" t="s">
        <v>227</v>
      </c>
      <c r="D118" s="7">
        <f>INDEX(GMW!$A:$NF,MATCH('Fiscal position'!D$4,GMW!$NE:$NE,0),MATCH('Fiscal position'!$C118,GMW!$1:$1,0))</f>
        <v>834479.4</v>
      </c>
      <c r="E118" s="7">
        <f>INDEX(GMW!$A:$NF,MATCH('Fiscal position'!E$4,GMW!$NE:$NE,0),MATCH('Fiscal position'!$C118,GMW!$1:$1,0))</f>
        <v>-10206.42</v>
      </c>
    </row>
    <row r="119" spans="1:5">
      <c r="A119" s="5">
        <f t="shared" ref="A119:B119" si="133">A115+1</f>
        <v>2028</v>
      </c>
      <c r="B119" s="5">
        <f t="shared" si="133"/>
        <v>2029</v>
      </c>
      <c r="C119" t="s">
        <v>228</v>
      </c>
      <c r="D119" s="7">
        <f>INDEX(GMW!$A:$NF,MATCH('Fiscal position'!D$4,GMW!$NE:$NE,0),MATCH('Fiscal position'!$C119,GMW!$1:$1,0))</f>
        <v>842509.5</v>
      </c>
      <c r="E119" s="7">
        <f>INDEX(GMW!$A:$NF,MATCH('Fiscal position'!E$4,GMW!$NE:$NE,0),MATCH('Fiscal position'!$C119,GMW!$1:$1,0))</f>
        <v>3362.0250000000001</v>
      </c>
    </row>
    <row r="120" spans="1:5">
      <c r="A120" s="5">
        <f t="shared" ref="A120:B120" si="134">A116+1</f>
        <v>2028</v>
      </c>
      <c r="B120" s="5">
        <f t="shared" si="134"/>
        <v>2029</v>
      </c>
      <c r="C120" t="s">
        <v>229</v>
      </c>
      <c r="D120" s="7">
        <f>INDEX(GMW!$A:$NF,MATCH('Fiscal position'!D$4,GMW!$NE:$NE,0),MATCH('Fiscal position'!$C120,GMW!$1:$1,0))</f>
        <v>850405.3</v>
      </c>
      <c r="E120" s="7">
        <f>INDEX(GMW!$A:$NF,MATCH('Fiscal position'!E$4,GMW!$NE:$NE,0),MATCH('Fiscal position'!$C120,GMW!$1:$1,0))</f>
        <v>-13170.2</v>
      </c>
    </row>
    <row r="121" spans="1:5">
      <c r="A121" s="5">
        <f t="shared" ref="A121:B121" si="135">A117+1</f>
        <v>2029</v>
      </c>
      <c r="B121" s="5">
        <f t="shared" si="135"/>
        <v>2029</v>
      </c>
      <c r="C121" t="s">
        <v>230</v>
      </c>
      <c r="D121" s="7">
        <f>INDEX(GMW!$A:$NF,MATCH('Fiscal position'!D$4,GMW!$NE:$NE,0),MATCH('Fiscal position'!$C121,GMW!$1:$1,0))</f>
        <v>858118.6</v>
      </c>
      <c r="E121" s="7">
        <f>INDEX(GMW!$A:$NF,MATCH('Fiscal position'!E$4,GMW!$NE:$NE,0),MATCH('Fiscal position'!$C121,GMW!$1:$1,0))</f>
        <v>42936.62</v>
      </c>
    </row>
    <row r="122" spans="1:5">
      <c r="A122" s="5">
        <f t="shared" ref="A122:B122" si="136">A118+1</f>
        <v>2029</v>
      </c>
      <c r="B122" s="5">
        <f t="shared" si="136"/>
        <v>2030</v>
      </c>
      <c r="C122" t="s">
        <v>231</v>
      </c>
      <c r="D122" s="7">
        <f>INDEX(GMW!$A:$NF,MATCH('Fiscal position'!D$4,GMW!$NE:$NE,0),MATCH('Fiscal position'!$C122,GMW!$1:$1,0))</f>
        <v>865730</v>
      </c>
      <c r="E122" s="7">
        <f>INDEX(GMW!$A:$NF,MATCH('Fiscal position'!E$4,GMW!$NE:$NE,0),MATCH('Fiscal position'!$C122,GMW!$1:$1,0))</f>
        <v>-10208.870000000001</v>
      </c>
    </row>
    <row r="123" spans="1:5">
      <c r="A123" s="5">
        <f t="shared" ref="A123:B123" si="137">A119+1</f>
        <v>2029</v>
      </c>
      <c r="B123" s="5">
        <f t="shared" si="137"/>
        <v>2030</v>
      </c>
      <c r="C123" t="s">
        <v>232</v>
      </c>
      <c r="D123" s="7">
        <f>INDEX(GMW!$A:$NF,MATCH('Fiscal position'!D$4,GMW!$NE:$NE,0),MATCH('Fiscal position'!$C123,GMW!$1:$1,0))</f>
        <v>873364.8</v>
      </c>
      <c r="E123" s="7">
        <f>INDEX(GMW!$A:$NF,MATCH('Fiscal position'!E$4,GMW!$NE:$NE,0),MATCH('Fiscal position'!$C123,GMW!$1:$1,0))</f>
        <v>3874.625</v>
      </c>
    </row>
    <row r="124" spans="1:5">
      <c r="A124" s="5">
        <f t="shared" ref="A124:B124" si="138">A120+1</f>
        <v>2029</v>
      </c>
      <c r="B124" s="5">
        <f t="shared" si="138"/>
        <v>2030</v>
      </c>
      <c r="C124" t="s">
        <v>233</v>
      </c>
      <c r="D124" s="7">
        <f>INDEX(GMW!$A:$NF,MATCH('Fiscal position'!D$4,GMW!$NE:$NE,0),MATCH('Fiscal position'!$C124,GMW!$1:$1,0))</f>
        <v>881066.9</v>
      </c>
      <c r="E124" s="7">
        <f>INDEX(GMW!$A:$NF,MATCH('Fiscal position'!E$4,GMW!$NE:$NE,0),MATCH('Fiscal position'!$C124,GMW!$1:$1,0))</f>
        <v>-13281.67</v>
      </c>
    </row>
    <row r="125" spans="1:5">
      <c r="A125" s="5">
        <f t="shared" ref="A125:B125" si="139">A121+1</f>
        <v>2030</v>
      </c>
      <c r="B125" s="5">
        <f t="shared" si="139"/>
        <v>2030</v>
      </c>
      <c r="C125" t="s">
        <v>234</v>
      </c>
      <c r="D125" s="7">
        <f>INDEX(GMW!$A:$NF,MATCH('Fiscal position'!D$4,GMW!$NE:$NE,0),MATCH('Fiscal position'!$C125,GMW!$1:$1,0))</f>
        <v>888925.7</v>
      </c>
      <c r="E125" s="7">
        <f>INDEX(GMW!$A:$NF,MATCH('Fiscal position'!E$4,GMW!$NE:$NE,0),MATCH('Fiscal position'!$C125,GMW!$1:$1,0))</f>
        <v>44947.82</v>
      </c>
    </row>
    <row r="126" spans="1:5">
      <c r="A126" s="5">
        <f t="shared" ref="A126:B126" si="140">A122+1</f>
        <v>2030</v>
      </c>
      <c r="B126" s="5">
        <f t="shared" si="140"/>
        <v>2031</v>
      </c>
      <c r="C126" t="s">
        <v>235</v>
      </c>
      <c r="D126" s="7">
        <f>INDEX(GMW!$A:$NF,MATCH('Fiscal position'!D$4,GMW!$NE:$NE,0),MATCH('Fiscal position'!$C126,GMW!$1:$1,0))</f>
        <v>896943.6</v>
      </c>
      <c r="E126" s="7">
        <f>INDEX(GMW!$A:$NF,MATCH('Fiscal position'!E$4,GMW!$NE:$NE,0),MATCH('Fiscal position'!$C126,GMW!$1:$1,0))</f>
        <v>-13199.38</v>
      </c>
    </row>
    <row r="127" spans="1:5">
      <c r="A127" s="5">
        <f t="shared" ref="A127:B127" si="141">A123+1</f>
        <v>2030</v>
      </c>
      <c r="B127" s="5">
        <f t="shared" si="141"/>
        <v>2031</v>
      </c>
      <c r="C127" t="s">
        <v>236</v>
      </c>
      <c r="D127" s="7">
        <f>INDEX(GMW!$A:$NF,MATCH('Fiscal position'!D$4,GMW!$NE:$NE,0),MATCH('Fiscal position'!$C127,GMW!$1:$1,0))</f>
        <v>905169.5</v>
      </c>
      <c r="E127" s="7">
        <f>INDEX(GMW!$A:$NF,MATCH('Fiscal position'!E$4,GMW!$NE:$NE,0),MATCH('Fiscal position'!$C127,GMW!$1:$1,0))</f>
        <v>1412.252</v>
      </c>
    </row>
    <row r="128" spans="1:5">
      <c r="A128" s="5">
        <f t="shared" ref="A128:B128" si="142">A124+1</f>
        <v>2030</v>
      </c>
      <c r="B128" s="5">
        <f t="shared" si="142"/>
        <v>2031</v>
      </c>
      <c r="C128" t="s">
        <v>237</v>
      </c>
      <c r="D128" s="7">
        <f>INDEX(GMW!$A:$NF,MATCH('Fiscal position'!D$4,GMW!$NE:$NE,0),MATCH('Fiscal position'!$C128,GMW!$1:$1,0))</f>
        <v>913606.5</v>
      </c>
      <c r="E128" s="7">
        <f>INDEX(GMW!$A:$NF,MATCH('Fiscal position'!E$4,GMW!$NE:$NE,0),MATCH('Fiscal position'!$C128,GMW!$1:$1,0))</f>
        <v>-16297.28</v>
      </c>
    </row>
  </sheetData>
  <mergeCells count="6">
    <mergeCell ref="Z2:AB2"/>
    <mergeCell ref="H2:J2"/>
    <mergeCell ref="L2:N2"/>
    <mergeCell ref="P2:R2"/>
    <mergeCell ref="S2:U2"/>
    <mergeCell ref="W2:Y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58A3C-A0FA-46CD-885D-AA0990C6E6F6}">
  <dimension ref="A1:AI183"/>
  <sheetViews>
    <sheetView topLeftCell="P34" zoomScale="115" zoomScaleNormal="115" workbookViewId="0">
      <selection activeCell="AH3" sqref="AH3"/>
    </sheetView>
  </sheetViews>
  <sheetFormatPr defaultRowHeight="15"/>
  <cols>
    <col min="18" max="18" width="10.7109375" bestFit="1" customWidth="1"/>
  </cols>
  <sheetData>
    <row r="1" spans="1:35">
      <c r="Z1">
        <f>Z2/SUM($Z$2:$AD$2)</f>
        <v>0.13352688502441973</v>
      </c>
      <c r="AA1">
        <f t="shared" ref="AA1:AD1" si="0">AA2/SUM($Z$2:$AD$2)</f>
        <v>0.38084937125823187</v>
      </c>
      <c r="AB1">
        <f t="shared" si="0"/>
        <v>0.18985788151578425</v>
      </c>
      <c r="AC1">
        <f t="shared" si="0"/>
        <v>0.14259323503766003</v>
      </c>
      <c r="AD1">
        <f t="shared" si="0"/>
        <v>0.1531726271639042</v>
      </c>
    </row>
    <row r="2" spans="1:35">
      <c r="Z2" s="318">
        <f>P30</f>
        <v>6.2627787080545971</v>
      </c>
      <c r="AA2" s="318">
        <f>P36</f>
        <v>17.862884563328414</v>
      </c>
      <c r="AB2" s="318">
        <f>P37</f>
        <v>8.9048576074844554</v>
      </c>
      <c r="AC2" s="318">
        <f>P49</f>
        <v>6.6880154969777248</v>
      </c>
      <c r="AD2" s="318">
        <f>P39</f>
        <v>7.184218128682085</v>
      </c>
    </row>
    <row r="3" spans="1:35">
      <c r="A3" t="s">
        <v>636</v>
      </c>
      <c r="B3" t="s">
        <v>637</v>
      </c>
      <c r="C3" t="s">
        <v>638</v>
      </c>
      <c r="D3" t="s">
        <v>639</v>
      </c>
      <c r="E3" t="s">
        <v>640</v>
      </c>
      <c r="F3" t="s">
        <v>641</v>
      </c>
      <c r="G3" t="s">
        <v>642</v>
      </c>
      <c r="H3" t="s">
        <v>643</v>
      </c>
      <c r="I3" t="s">
        <v>644</v>
      </c>
      <c r="J3" t="s">
        <v>645</v>
      </c>
      <c r="K3" t="s">
        <v>646</v>
      </c>
      <c r="L3" t="s">
        <v>647</v>
      </c>
      <c r="M3" t="s">
        <v>648</v>
      </c>
      <c r="N3" t="s">
        <v>649</v>
      </c>
      <c r="S3" t="s">
        <v>902</v>
      </c>
      <c r="T3" t="s">
        <v>903</v>
      </c>
      <c r="U3" t="s">
        <v>904</v>
      </c>
      <c r="V3" t="s">
        <v>905</v>
      </c>
      <c r="W3" t="s">
        <v>678</v>
      </c>
      <c r="X3" t="s">
        <v>906</v>
      </c>
      <c r="Z3" t="s">
        <v>902</v>
      </c>
      <c r="AA3" t="s">
        <v>903</v>
      </c>
      <c r="AB3" t="s">
        <v>904</v>
      </c>
      <c r="AC3" t="s">
        <v>905</v>
      </c>
      <c r="AD3" t="s">
        <v>678</v>
      </c>
      <c r="AE3" t="s">
        <v>906</v>
      </c>
      <c r="AG3" t="s">
        <v>907</v>
      </c>
      <c r="AH3" t="s">
        <v>908</v>
      </c>
    </row>
    <row r="4" spans="1:35">
      <c r="C4" t="s">
        <v>650</v>
      </c>
      <c r="D4">
        <v>18838</v>
      </c>
      <c r="E4">
        <v>19124</v>
      </c>
      <c r="F4">
        <v>18712</v>
      </c>
      <c r="G4">
        <v>18547</v>
      </c>
      <c r="H4">
        <v>18853</v>
      </c>
      <c r="I4">
        <v>19238</v>
      </c>
      <c r="J4">
        <v>20260</v>
      </c>
      <c r="K4">
        <v>20337</v>
      </c>
      <c r="L4">
        <v>21778</v>
      </c>
      <c r="M4">
        <v>25015</v>
      </c>
      <c r="N4">
        <v>28750</v>
      </c>
      <c r="P4" s="179">
        <f>N4/$N$4*100</f>
        <v>100</v>
      </c>
      <c r="Q4" s="179"/>
      <c r="R4" s="320">
        <f>DATE(LEFT(HAVERM!A9,4)*1,RIGHT(HAVERM!A9,2)*1,1)</f>
        <v>40179</v>
      </c>
      <c r="S4" s="6">
        <f>HAVERM!B9</f>
        <v>76</v>
      </c>
      <c r="T4" s="6">
        <f>HAVERM!C9</f>
        <v>53.7</v>
      </c>
      <c r="U4" s="6">
        <f>HAVERM!D9</f>
        <v>94.5</v>
      </c>
      <c r="V4" s="6">
        <f>HAVERM!E9</f>
        <v>63.1</v>
      </c>
      <c r="W4" s="6">
        <f>HAVERM!F9</f>
        <v>73.8</v>
      </c>
      <c r="X4" s="6">
        <f>HAVERM!G9</f>
        <v>80</v>
      </c>
      <c r="Z4" s="6">
        <f>S4/AVERAGE(S$112:S$123)*100</f>
        <v>72.84345047923324</v>
      </c>
      <c r="AA4" s="6">
        <f t="shared" ref="AA4:AE4" si="1">T4/AVERAGE(T$112:T$123)*100</f>
        <v>71.552298467688217</v>
      </c>
      <c r="AB4" s="6">
        <f t="shared" si="1"/>
        <v>90</v>
      </c>
      <c r="AC4" s="6">
        <f t="shared" si="1"/>
        <v>68.905268905268898</v>
      </c>
      <c r="AD4" s="6">
        <f t="shared" si="1"/>
        <v>77.216845409364367</v>
      </c>
      <c r="AE4" s="6">
        <f t="shared" si="1"/>
        <v>81.827480395499492</v>
      </c>
      <c r="AF4" s="6"/>
      <c r="AG4" s="6">
        <f>SUMPRODUCT(Z4:AD4,$Z$2:$AD$2)/SUM($Z$2:$AD$2)</f>
        <v>75.717348533847144</v>
      </c>
      <c r="AH4" s="6">
        <f t="shared" ref="AH4:AH67" si="2">X4/AVERAGE(X$112:X$123)*100</f>
        <v>81.827480395499492</v>
      </c>
      <c r="AI4" s="6"/>
    </row>
    <row r="5" spans="1:35">
      <c r="A5" t="s">
        <v>651</v>
      </c>
      <c r="B5" t="s">
        <v>652</v>
      </c>
      <c r="C5" t="s">
        <v>653</v>
      </c>
      <c r="D5">
        <v>3</v>
      </c>
      <c r="E5">
        <v>4</v>
      </c>
      <c r="F5">
        <v>0</v>
      </c>
      <c r="G5">
        <v>0</v>
      </c>
      <c r="H5">
        <v>0</v>
      </c>
      <c r="I5">
        <v>3</v>
      </c>
      <c r="J5">
        <v>0</v>
      </c>
      <c r="K5">
        <v>7</v>
      </c>
      <c r="L5">
        <v>22</v>
      </c>
      <c r="M5">
        <v>1</v>
      </c>
      <c r="N5">
        <v>6</v>
      </c>
      <c r="P5" s="179">
        <f t="shared" ref="P5:P26" si="3">N5/$N$4*100</f>
        <v>2.0869565217391306E-2</v>
      </c>
      <c r="Q5" s="179"/>
      <c r="R5" s="320">
        <f>DATE(LEFT(HAVERM!A10,4)*1,RIGHT(HAVERM!A10,2)*1,1)</f>
        <v>40210</v>
      </c>
      <c r="S5" s="6">
        <f>HAVERM!B10</f>
        <v>77.2</v>
      </c>
      <c r="T5" s="6">
        <f>HAVERM!C10</f>
        <v>54.3</v>
      </c>
      <c r="U5" s="6">
        <f>HAVERM!D10</f>
        <v>93.7</v>
      </c>
      <c r="V5" s="6">
        <f>HAVERM!E10</f>
        <v>64.400000000000006</v>
      </c>
      <c r="W5" s="6">
        <f>HAVERM!F10</f>
        <v>77.099999999999994</v>
      </c>
      <c r="X5" s="6">
        <f>HAVERM!G10</f>
        <v>81.3</v>
      </c>
      <c r="Z5" s="6">
        <f t="shared" ref="Z5:Z68" si="4">S5/AVERAGE(S$112:S$123)*100</f>
        <v>73.993610223642193</v>
      </c>
      <c r="AA5" s="6">
        <f t="shared" ref="AA5:AA68" si="5">T5/AVERAGE(T$112:T$123)*100</f>
        <v>72.351765489673554</v>
      </c>
      <c r="AB5" s="6">
        <f t="shared" ref="AB5:AB68" si="6">U5/AVERAGE(U$112:U$123)*100</f>
        <v>89.238095238095241</v>
      </c>
      <c r="AC5" s="6">
        <f t="shared" ref="AC5:AC68" si="7">V5/AVERAGE(V$112:V$123)*100</f>
        <v>70.324870324870332</v>
      </c>
      <c r="AD5" s="6">
        <f t="shared" ref="AD5:AE68" si="8">W5/AVERAGE(W$112:W$123)*100</f>
        <v>80.669631179701796</v>
      </c>
      <c r="AE5" s="6">
        <f t="shared" si="8"/>
        <v>83.157176951926346</v>
      </c>
      <c r="AF5" s="6"/>
      <c r="AG5" s="6">
        <f t="shared" ref="AG5:AG68" si="9">SUMPRODUCT(Z5:AD5,$Z$2:$AD$2)/SUM($Z$2:$AD$2)</f>
        <v>76.762046496813099</v>
      </c>
      <c r="AH5" s="6">
        <f t="shared" si="2"/>
        <v>83.157176951926346</v>
      </c>
      <c r="AI5" s="6"/>
    </row>
    <row r="6" spans="1:35">
      <c r="A6" t="s">
        <v>654</v>
      </c>
      <c r="B6" t="s">
        <v>655</v>
      </c>
      <c r="C6" t="s">
        <v>656</v>
      </c>
      <c r="D6">
        <v>969</v>
      </c>
      <c r="E6">
        <v>995</v>
      </c>
      <c r="F6">
        <v>1124</v>
      </c>
      <c r="G6">
        <v>913</v>
      </c>
      <c r="H6">
        <v>930</v>
      </c>
      <c r="I6">
        <v>1048</v>
      </c>
      <c r="J6">
        <v>917</v>
      </c>
      <c r="K6">
        <v>857</v>
      </c>
      <c r="L6">
        <v>912</v>
      </c>
      <c r="M6">
        <v>1115</v>
      </c>
      <c r="N6">
        <v>870</v>
      </c>
      <c r="P6" s="179">
        <f t="shared" si="3"/>
        <v>3.0260869565217394</v>
      </c>
      <c r="Q6" s="179"/>
      <c r="R6" s="320">
        <f>DATE(LEFT(HAVERM!A11,4)*1,RIGHT(HAVERM!A11,2)*1,1)</f>
        <v>40238</v>
      </c>
      <c r="S6" s="6">
        <f>HAVERM!B11</f>
        <v>79.900000000000006</v>
      </c>
      <c r="T6" s="6">
        <f>HAVERM!C11</f>
        <v>54.3</v>
      </c>
      <c r="U6" s="6">
        <f>HAVERM!D11</f>
        <v>92.2</v>
      </c>
      <c r="V6" s="6">
        <f>HAVERM!E11</f>
        <v>64.3</v>
      </c>
      <c r="W6" s="6">
        <f>HAVERM!F11</f>
        <v>77.599999999999994</v>
      </c>
      <c r="X6" s="6">
        <f>HAVERM!G11</f>
        <v>81.900000000000006</v>
      </c>
      <c r="Z6" s="6">
        <f t="shared" si="4"/>
        <v>76.581469648562319</v>
      </c>
      <c r="AA6" s="6">
        <f t="shared" si="5"/>
        <v>72.351765489673554</v>
      </c>
      <c r="AB6" s="6">
        <f t="shared" si="6"/>
        <v>87.80952380952381</v>
      </c>
      <c r="AC6" s="6">
        <f t="shared" si="7"/>
        <v>70.215670215670215</v>
      </c>
      <c r="AD6" s="6">
        <f t="shared" si="8"/>
        <v>81.192780538843834</v>
      </c>
      <c r="AE6" s="6">
        <f t="shared" si="8"/>
        <v>83.770883054892607</v>
      </c>
      <c r="AF6" s="6"/>
      <c r="AG6" s="6">
        <f t="shared" si="9"/>
        <v>76.900930724582807</v>
      </c>
      <c r="AH6" s="6">
        <f t="shared" si="2"/>
        <v>83.770883054892607</v>
      </c>
      <c r="AI6" s="6"/>
    </row>
    <row r="7" spans="1:35">
      <c r="A7" t="s">
        <v>654</v>
      </c>
      <c r="B7" t="s">
        <v>657</v>
      </c>
      <c r="C7" t="s">
        <v>658</v>
      </c>
      <c r="D7">
        <v>1153</v>
      </c>
      <c r="E7">
        <v>1164</v>
      </c>
      <c r="F7">
        <v>1036</v>
      </c>
      <c r="G7">
        <v>1092</v>
      </c>
      <c r="H7">
        <v>1333</v>
      </c>
      <c r="I7">
        <v>1379</v>
      </c>
      <c r="J7">
        <v>1354</v>
      </c>
      <c r="K7">
        <v>1074</v>
      </c>
      <c r="L7">
        <v>1113</v>
      </c>
      <c r="M7">
        <v>2093</v>
      </c>
      <c r="N7">
        <v>1563</v>
      </c>
      <c r="P7" s="179">
        <f t="shared" si="3"/>
        <v>5.436521739130435</v>
      </c>
      <c r="Q7" s="179"/>
      <c r="R7" s="320">
        <f>DATE(LEFT(HAVERM!A12,4)*1,RIGHT(HAVERM!A12,2)*1,1)</f>
        <v>40269</v>
      </c>
      <c r="S7" s="6">
        <f>HAVERM!B12</f>
        <v>81.599999999999994</v>
      </c>
      <c r="T7" s="6">
        <f>HAVERM!C12</f>
        <v>53.8</v>
      </c>
      <c r="U7" s="6">
        <f>HAVERM!D12</f>
        <v>92.8</v>
      </c>
      <c r="V7" s="6">
        <f>HAVERM!E12</f>
        <v>60.9</v>
      </c>
      <c r="W7" s="6">
        <f>HAVERM!F12</f>
        <v>78.599999999999994</v>
      </c>
      <c r="X7" s="6">
        <f>HAVERM!G12</f>
        <v>81.599999999999994</v>
      </c>
      <c r="Z7" s="6">
        <f t="shared" si="4"/>
        <v>78.210862619808324</v>
      </c>
      <c r="AA7" s="6">
        <f t="shared" si="5"/>
        <v>71.685542971352433</v>
      </c>
      <c r="AB7" s="6">
        <f t="shared" si="6"/>
        <v>88.38095238095238</v>
      </c>
      <c r="AC7" s="6">
        <f t="shared" si="7"/>
        <v>66.502866502866496</v>
      </c>
      <c r="AD7" s="6">
        <f t="shared" si="8"/>
        <v>82.239079257127898</v>
      </c>
      <c r="AE7" s="6">
        <f t="shared" si="8"/>
        <v>83.464030003409476</v>
      </c>
      <c r="AF7" s="6"/>
      <c r="AG7" s="6">
        <f t="shared" si="9"/>
        <v>76.604101914311599</v>
      </c>
      <c r="AH7" s="6">
        <f t="shared" si="2"/>
        <v>83.464030003409476</v>
      </c>
      <c r="AI7" s="6"/>
    </row>
    <row r="8" spans="1:35">
      <c r="A8" t="s">
        <v>654</v>
      </c>
      <c r="B8" t="s">
        <v>659</v>
      </c>
      <c r="C8" t="s">
        <v>660</v>
      </c>
      <c r="D8">
        <v>160</v>
      </c>
      <c r="E8">
        <v>145</v>
      </c>
      <c r="F8">
        <v>137</v>
      </c>
      <c r="G8">
        <v>115</v>
      </c>
      <c r="H8">
        <v>96</v>
      </c>
      <c r="I8">
        <v>115</v>
      </c>
      <c r="J8">
        <v>165</v>
      </c>
      <c r="K8">
        <v>189</v>
      </c>
      <c r="L8">
        <v>165</v>
      </c>
      <c r="M8">
        <v>121</v>
      </c>
      <c r="N8">
        <v>156</v>
      </c>
      <c r="P8" s="179">
        <f t="shared" si="3"/>
        <v>0.54260869565217396</v>
      </c>
      <c r="Q8" s="179"/>
      <c r="R8" s="320">
        <f>DATE(LEFT(HAVERM!A13,4)*1,RIGHT(HAVERM!A13,2)*1,1)</f>
        <v>40299</v>
      </c>
      <c r="S8" s="6">
        <f>HAVERM!B13</f>
        <v>81</v>
      </c>
      <c r="T8" s="6">
        <f>HAVERM!C13</f>
        <v>53.2</v>
      </c>
      <c r="U8" s="6">
        <f>HAVERM!D13</f>
        <v>94.7</v>
      </c>
      <c r="V8" s="6">
        <f>HAVERM!E13</f>
        <v>61.1</v>
      </c>
      <c r="W8" s="6">
        <f>HAVERM!F13</f>
        <v>80.2</v>
      </c>
      <c r="X8" s="6">
        <f>HAVERM!G13</f>
        <v>82.2</v>
      </c>
      <c r="Z8" s="6">
        <f t="shared" si="4"/>
        <v>77.635782747603841</v>
      </c>
      <c r="AA8" s="6">
        <f t="shared" si="5"/>
        <v>70.886075949367097</v>
      </c>
      <c r="AB8" s="6">
        <f t="shared" si="6"/>
        <v>90.190476190476204</v>
      </c>
      <c r="AC8" s="6">
        <f t="shared" si="7"/>
        <v>66.72126672126673</v>
      </c>
      <c r="AD8" s="6">
        <f t="shared" si="8"/>
        <v>83.913157206382422</v>
      </c>
      <c r="AE8" s="6">
        <f t="shared" si="8"/>
        <v>84.077736106375738</v>
      </c>
      <c r="AF8" s="6"/>
      <c r="AG8" s="6">
        <f t="shared" si="9"/>
        <v>76.853954445938726</v>
      </c>
      <c r="AH8" s="6">
        <f t="shared" si="2"/>
        <v>84.077736106375738</v>
      </c>
      <c r="AI8" s="6"/>
    </row>
    <row r="9" spans="1:35">
      <c r="A9" t="s">
        <v>654</v>
      </c>
      <c r="B9" t="s">
        <v>661</v>
      </c>
      <c r="C9" t="s">
        <v>662</v>
      </c>
      <c r="D9">
        <v>245</v>
      </c>
      <c r="E9">
        <v>202</v>
      </c>
      <c r="F9">
        <v>182</v>
      </c>
      <c r="G9">
        <v>159</v>
      </c>
      <c r="H9">
        <v>150</v>
      </c>
      <c r="I9">
        <v>138</v>
      </c>
      <c r="J9">
        <v>160</v>
      </c>
      <c r="K9">
        <v>156</v>
      </c>
      <c r="L9">
        <v>132</v>
      </c>
      <c r="M9">
        <v>65</v>
      </c>
      <c r="N9">
        <v>119</v>
      </c>
      <c r="P9" s="179">
        <f t="shared" si="3"/>
        <v>0.41391304347826086</v>
      </c>
      <c r="Q9" s="179"/>
      <c r="R9" s="320">
        <f>DATE(LEFT(HAVERM!A14,4)*1,RIGHT(HAVERM!A14,2)*1,1)</f>
        <v>40330</v>
      </c>
      <c r="S9" s="6">
        <f>HAVERM!B14</f>
        <v>83.1</v>
      </c>
      <c r="T9" s="6">
        <f>HAVERM!C14</f>
        <v>52.1</v>
      </c>
      <c r="U9" s="6">
        <f>HAVERM!D14</f>
        <v>97.3</v>
      </c>
      <c r="V9" s="6">
        <f>HAVERM!E14</f>
        <v>62.5</v>
      </c>
      <c r="W9" s="6">
        <f>HAVERM!F14</f>
        <v>81.3</v>
      </c>
      <c r="X9" s="6">
        <f>HAVERM!G14</f>
        <v>82.2</v>
      </c>
      <c r="Z9" s="6">
        <f t="shared" si="4"/>
        <v>79.648562300319497</v>
      </c>
      <c r="AA9" s="6">
        <f t="shared" si="5"/>
        <v>69.420386409060626</v>
      </c>
      <c r="AB9" s="6">
        <f t="shared" si="6"/>
        <v>92.666666666666657</v>
      </c>
      <c r="AC9" s="6">
        <f t="shared" si="7"/>
        <v>68.250068250068253</v>
      </c>
      <c r="AD9" s="6">
        <f t="shared" si="8"/>
        <v>85.064085796494894</v>
      </c>
      <c r="AE9" s="6">
        <f t="shared" si="8"/>
        <v>84.077736106375738</v>
      </c>
      <c r="AF9" s="6"/>
      <c r="AG9" s="6">
        <f t="shared" si="9"/>
        <v>77.428919479555205</v>
      </c>
      <c r="AH9" s="6">
        <f t="shared" si="2"/>
        <v>84.077736106375738</v>
      </c>
      <c r="AI9" s="6"/>
    </row>
    <row r="10" spans="1:35">
      <c r="A10" t="s">
        <v>654</v>
      </c>
      <c r="B10" t="s">
        <v>663</v>
      </c>
      <c r="C10" t="s">
        <v>664</v>
      </c>
      <c r="D10">
        <v>224</v>
      </c>
      <c r="E10">
        <v>142</v>
      </c>
      <c r="F10">
        <v>97</v>
      </c>
      <c r="G10">
        <v>132</v>
      </c>
      <c r="H10">
        <v>127</v>
      </c>
      <c r="I10">
        <v>133</v>
      </c>
      <c r="J10">
        <v>117</v>
      </c>
      <c r="K10">
        <v>110</v>
      </c>
      <c r="L10">
        <v>160</v>
      </c>
      <c r="M10">
        <v>170</v>
      </c>
      <c r="N10">
        <v>196</v>
      </c>
      <c r="P10" s="179">
        <f t="shared" si="3"/>
        <v>0.68173913043478263</v>
      </c>
      <c r="Q10" s="179"/>
      <c r="R10" s="320">
        <f>DATE(LEFT(HAVERM!A15,4)*1,RIGHT(HAVERM!A15,2)*1,1)</f>
        <v>40360</v>
      </c>
      <c r="S10" s="6">
        <f>HAVERM!B15</f>
        <v>89.5</v>
      </c>
      <c r="T10" s="6">
        <f>HAVERM!C15</f>
        <v>50.8</v>
      </c>
      <c r="U10" s="6">
        <f>HAVERM!D15</f>
        <v>101.1</v>
      </c>
      <c r="V10" s="6">
        <f>HAVERM!E15</f>
        <v>63.2</v>
      </c>
      <c r="W10" s="6">
        <f>HAVERM!F15</f>
        <v>80.3</v>
      </c>
      <c r="X10" s="6">
        <f>HAVERM!G15</f>
        <v>82.3</v>
      </c>
      <c r="Z10" s="6">
        <f t="shared" si="4"/>
        <v>85.782747603833883</v>
      </c>
      <c r="AA10" s="6">
        <f t="shared" si="5"/>
        <v>67.688207861425724</v>
      </c>
      <c r="AB10" s="6">
        <f t="shared" si="6"/>
        <v>96.285714285714292</v>
      </c>
      <c r="AC10" s="6">
        <f t="shared" si="7"/>
        <v>69.014469014469014</v>
      </c>
      <c r="AD10" s="6">
        <f t="shared" si="8"/>
        <v>84.01778707821083</v>
      </c>
      <c r="AE10" s="6">
        <f t="shared" si="8"/>
        <v>84.180020456870096</v>
      </c>
      <c r="AF10" s="6"/>
      <c r="AG10" s="6">
        <f t="shared" si="9"/>
        <v>78.224137792962793</v>
      </c>
      <c r="AH10" s="6">
        <f t="shared" si="2"/>
        <v>84.180020456870096</v>
      </c>
      <c r="AI10" s="6"/>
    </row>
    <row r="11" spans="1:35">
      <c r="A11" t="s">
        <v>654</v>
      </c>
      <c r="B11" t="s">
        <v>665</v>
      </c>
      <c r="C11" t="s">
        <v>666</v>
      </c>
      <c r="D11">
        <v>444</v>
      </c>
      <c r="E11">
        <v>348</v>
      </c>
      <c r="F11">
        <v>240</v>
      </c>
      <c r="G11">
        <v>255</v>
      </c>
      <c r="H11">
        <v>274</v>
      </c>
      <c r="I11">
        <v>313</v>
      </c>
      <c r="J11">
        <v>327</v>
      </c>
      <c r="K11">
        <v>278</v>
      </c>
      <c r="L11">
        <v>161</v>
      </c>
      <c r="M11">
        <v>138</v>
      </c>
      <c r="N11">
        <v>306</v>
      </c>
      <c r="P11" s="179">
        <f t="shared" si="3"/>
        <v>1.0643478260869565</v>
      </c>
      <c r="Q11" s="179"/>
      <c r="R11" s="320">
        <f>DATE(LEFT(HAVERM!A16,4)*1,RIGHT(HAVERM!A16,2)*1,1)</f>
        <v>40391</v>
      </c>
      <c r="S11" s="6">
        <f>HAVERM!B16</f>
        <v>85</v>
      </c>
      <c r="T11" s="6">
        <f>HAVERM!C16</f>
        <v>49.2</v>
      </c>
      <c r="U11" s="6">
        <f>HAVERM!D16</f>
        <v>105.2</v>
      </c>
      <c r="V11" s="6">
        <f>HAVERM!E16</f>
        <v>63.2</v>
      </c>
      <c r="W11" s="6">
        <f>HAVERM!F16</f>
        <v>83.5</v>
      </c>
      <c r="X11" s="6">
        <f>HAVERM!G16</f>
        <v>82.4</v>
      </c>
      <c r="Z11" s="6">
        <f t="shared" si="4"/>
        <v>81.469648562300335</v>
      </c>
      <c r="AA11" s="6">
        <f t="shared" si="5"/>
        <v>65.556295802798132</v>
      </c>
      <c r="AB11" s="6">
        <f t="shared" si="6"/>
        <v>100.19047619047619</v>
      </c>
      <c r="AC11" s="6">
        <f t="shared" si="7"/>
        <v>69.014469014469014</v>
      </c>
      <c r="AD11" s="6">
        <f t="shared" si="8"/>
        <v>87.36594297671985</v>
      </c>
      <c r="AE11" s="6">
        <f t="shared" si="8"/>
        <v>84.282304807364483</v>
      </c>
      <c r="AF11" s="6"/>
      <c r="AG11" s="6">
        <f t="shared" si="9"/>
        <v>78.090481404229436</v>
      </c>
      <c r="AH11" s="6">
        <f t="shared" si="2"/>
        <v>84.282304807364483</v>
      </c>
      <c r="AI11" s="6"/>
    </row>
    <row r="12" spans="1:35">
      <c r="A12" t="s">
        <v>654</v>
      </c>
      <c r="B12" t="s">
        <v>667</v>
      </c>
      <c r="C12" t="s">
        <v>668</v>
      </c>
      <c r="D12">
        <v>95</v>
      </c>
      <c r="E12">
        <v>75</v>
      </c>
      <c r="F12">
        <v>77</v>
      </c>
      <c r="G12">
        <v>28</v>
      </c>
      <c r="H12">
        <v>22</v>
      </c>
      <c r="I12">
        <v>19</v>
      </c>
      <c r="J12">
        <v>75</v>
      </c>
      <c r="K12">
        <v>80</v>
      </c>
      <c r="L12">
        <v>58</v>
      </c>
      <c r="M12">
        <v>72</v>
      </c>
      <c r="N12">
        <v>319</v>
      </c>
      <c r="P12" s="179">
        <f t="shared" si="3"/>
        <v>1.1095652173913042</v>
      </c>
      <c r="Q12" s="179"/>
      <c r="R12" s="320">
        <f>DATE(LEFT(HAVERM!A17,4)*1,RIGHT(HAVERM!A17,2)*1,1)</f>
        <v>40422</v>
      </c>
      <c r="S12" s="6">
        <f>HAVERM!B17</f>
        <v>84.6</v>
      </c>
      <c r="T12" s="6">
        <f>HAVERM!C17</f>
        <v>47.5</v>
      </c>
      <c r="U12" s="6">
        <f>HAVERM!D17</f>
        <v>110.9</v>
      </c>
      <c r="V12" s="6">
        <f>HAVERM!E17</f>
        <v>64.8</v>
      </c>
      <c r="W12" s="6">
        <f>HAVERM!F17</f>
        <v>82</v>
      </c>
      <c r="X12" s="6">
        <f>HAVERM!G17</f>
        <v>82.6</v>
      </c>
      <c r="Z12" s="6">
        <f t="shared" si="4"/>
        <v>81.08626198083067</v>
      </c>
      <c r="AA12" s="6">
        <f t="shared" si="5"/>
        <v>63.291139240506332</v>
      </c>
      <c r="AB12" s="6">
        <f t="shared" si="6"/>
        <v>105.61904761904763</v>
      </c>
      <c r="AC12" s="6">
        <f t="shared" si="7"/>
        <v>70.761670761670757</v>
      </c>
      <c r="AD12" s="6">
        <f t="shared" si="8"/>
        <v>85.796494899293734</v>
      </c>
      <c r="AE12" s="6">
        <f t="shared" si="8"/>
        <v>84.486873508353227</v>
      </c>
      <c r="AF12" s="6"/>
      <c r="AG12" s="6">
        <f t="shared" si="9"/>
        <v>78.216005270961276</v>
      </c>
      <c r="AH12" s="6">
        <f t="shared" si="2"/>
        <v>84.486873508353227</v>
      </c>
      <c r="AI12" s="6"/>
    </row>
    <row r="13" spans="1:35">
      <c r="A13" t="s">
        <v>654</v>
      </c>
      <c r="B13" t="s">
        <v>669</v>
      </c>
      <c r="C13" t="s">
        <v>670</v>
      </c>
      <c r="D13">
        <v>2076</v>
      </c>
      <c r="E13">
        <v>2341</v>
      </c>
      <c r="F13">
        <v>2952</v>
      </c>
      <c r="G13">
        <v>2980</v>
      </c>
      <c r="H13">
        <v>3207</v>
      </c>
      <c r="I13">
        <v>3338</v>
      </c>
      <c r="J13">
        <v>3818</v>
      </c>
      <c r="K13">
        <v>4002</v>
      </c>
      <c r="L13">
        <v>4196</v>
      </c>
      <c r="M13">
        <v>5497</v>
      </c>
      <c r="N13">
        <v>5870</v>
      </c>
      <c r="P13" s="179">
        <f t="shared" si="3"/>
        <v>20.417391304347827</v>
      </c>
      <c r="Q13" s="179"/>
      <c r="R13" s="320">
        <f>DATE(LEFT(HAVERM!A18,4)*1,RIGHT(HAVERM!A18,2)*1,1)</f>
        <v>40452</v>
      </c>
      <c r="S13" s="6">
        <f>HAVERM!B18</f>
        <v>85.8</v>
      </c>
      <c r="T13" s="6">
        <f>HAVERM!C18</f>
        <v>46.1</v>
      </c>
      <c r="U13" s="6">
        <f>HAVERM!D18</f>
        <v>118.9</v>
      </c>
      <c r="V13" s="6">
        <f>HAVERM!E18</f>
        <v>62.9</v>
      </c>
      <c r="W13" s="6">
        <f>HAVERM!F18</f>
        <v>81.599999999999994</v>
      </c>
      <c r="X13" s="6">
        <f>HAVERM!G18</f>
        <v>82.9</v>
      </c>
      <c r="Z13" s="6">
        <f t="shared" si="4"/>
        <v>82.236421725239623</v>
      </c>
      <c r="AA13" s="6">
        <f t="shared" si="5"/>
        <v>61.425716189207201</v>
      </c>
      <c r="AB13" s="6">
        <f t="shared" si="6"/>
        <v>113.23809523809526</v>
      </c>
      <c r="AC13" s="6">
        <f t="shared" si="7"/>
        <v>68.686868686868678</v>
      </c>
      <c r="AD13" s="6">
        <f t="shared" si="8"/>
        <v>85.377975411980117</v>
      </c>
      <c r="AE13" s="6">
        <f t="shared" si="8"/>
        <v>84.793726559836344</v>
      </c>
      <c r="AF13" s="6"/>
      <c r="AG13" s="6">
        <f t="shared" si="9"/>
        <v>78.745715093515059</v>
      </c>
      <c r="AH13" s="6">
        <f t="shared" si="2"/>
        <v>84.793726559836344</v>
      </c>
      <c r="AI13" s="6"/>
    </row>
    <row r="14" spans="1:35">
      <c r="A14" t="s">
        <v>654</v>
      </c>
      <c r="B14" t="s">
        <v>671</v>
      </c>
      <c r="C14" t="s">
        <v>672</v>
      </c>
      <c r="D14">
        <v>2452</v>
      </c>
      <c r="E14">
        <v>2235</v>
      </c>
      <c r="F14">
        <v>2007</v>
      </c>
      <c r="G14">
        <v>1832</v>
      </c>
      <c r="H14">
        <v>1719</v>
      </c>
      <c r="I14">
        <v>1619</v>
      </c>
      <c r="J14">
        <v>1570</v>
      </c>
      <c r="K14">
        <v>1635</v>
      </c>
      <c r="L14">
        <v>1735</v>
      </c>
      <c r="M14">
        <v>1945</v>
      </c>
      <c r="N14">
        <v>2212</v>
      </c>
      <c r="P14" s="179">
        <f t="shared" si="3"/>
        <v>7.6939130434782603</v>
      </c>
      <c r="Q14" s="179"/>
      <c r="R14" s="320">
        <f>DATE(LEFT(HAVERM!A19,4)*1,RIGHT(HAVERM!A19,2)*1,1)</f>
        <v>40483</v>
      </c>
      <c r="S14" s="6">
        <f>HAVERM!B19</f>
        <v>89.5</v>
      </c>
      <c r="T14" s="6">
        <f>HAVERM!C19</f>
        <v>44.6</v>
      </c>
      <c r="U14" s="6">
        <f>HAVERM!D19</f>
        <v>123.5</v>
      </c>
      <c r="V14" s="6">
        <f>HAVERM!E19</f>
        <v>62.5</v>
      </c>
      <c r="W14" s="6">
        <f>HAVERM!F19</f>
        <v>81.400000000000006</v>
      </c>
      <c r="X14" s="6">
        <f>HAVERM!G19</f>
        <v>82.7</v>
      </c>
      <c r="Z14" s="6">
        <f t="shared" si="4"/>
        <v>85.782747603833883</v>
      </c>
      <c r="AA14" s="6">
        <f t="shared" si="5"/>
        <v>59.427048634243839</v>
      </c>
      <c r="AB14" s="6">
        <f t="shared" si="6"/>
        <v>117.61904761904762</v>
      </c>
      <c r="AC14" s="6">
        <f t="shared" si="7"/>
        <v>68.250068250068253</v>
      </c>
      <c r="AD14" s="6">
        <f t="shared" si="8"/>
        <v>85.168715668323316</v>
      </c>
      <c r="AE14" s="6">
        <f t="shared" si="8"/>
        <v>84.589157858847599</v>
      </c>
      <c r="AF14" s="6"/>
      <c r="AG14" s="6">
        <f t="shared" si="9"/>
        <v>79.195474345727575</v>
      </c>
      <c r="AH14" s="6">
        <f t="shared" si="2"/>
        <v>84.589157858847599</v>
      </c>
      <c r="AI14" s="6"/>
    </row>
    <row r="15" spans="1:35">
      <c r="A15" t="s">
        <v>673</v>
      </c>
      <c r="B15" t="s">
        <v>674</v>
      </c>
      <c r="C15" t="s">
        <v>675</v>
      </c>
      <c r="D15">
        <v>358</v>
      </c>
      <c r="E15">
        <v>359</v>
      </c>
      <c r="F15">
        <v>362</v>
      </c>
      <c r="G15">
        <v>222</v>
      </c>
      <c r="H15">
        <v>426</v>
      </c>
      <c r="I15">
        <v>338</v>
      </c>
      <c r="J15">
        <v>369</v>
      </c>
      <c r="K15">
        <v>300</v>
      </c>
      <c r="L15">
        <v>270</v>
      </c>
      <c r="M15">
        <v>212</v>
      </c>
      <c r="N15">
        <v>231</v>
      </c>
      <c r="P15" s="179">
        <f t="shared" si="3"/>
        <v>0.8034782608695652</v>
      </c>
      <c r="Q15" s="179"/>
      <c r="R15" s="320">
        <f>DATE(LEFT(HAVERM!A20,4)*1,RIGHT(HAVERM!A20,2)*1,1)</f>
        <v>40513</v>
      </c>
      <c r="S15" s="6">
        <f>HAVERM!B20</f>
        <v>88.8</v>
      </c>
      <c r="T15" s="6">
        <f>HAVERM!C20</f>
        <v>43.3</v>
      </c>
      <c r="U15" s="6">
        <f>HAVERM!D20</f>
        <v>133.6</v>
      </c>
      <c r="V15" s="6">
        <f>HAVERM!E20</f>
        <v>68.3</v>
      </c>
      <c r="W15" s="6">
        <f>HAVERM!F20</f>
        <v>79</v>
      </c>
      <c r="X15" s="6">
        <f>HAVERM!G20</f>
        <v>82</v>
      </c>
      <c r="Z15" s="6">
        <f t="shared" si="4"/>
        <v>85.111821086261997</v>
      </c>
      <c r="AA15" s="6">
        <f t="shared" si="5"/>
        <v>57.69487008660893</v>
      </c>
      <c r="AB15" s="6">
        <f t="shared" si="6"/>
        <v>127.23809523809524</v>
      </c>
      <c r="AC15" s="6">
        <f t="shared" si="7"/>
        <v>74.583674583674579</v>
      </c>
      <c r="AD15" s="6">
        <f t="shared" si="8"/>
        <v>82.657598744441543</v>
      </c>
      <c r="AE15" s="6">
        <f t="shared" si="8"/>
        <v>83.873167405386965</v>
      </c>
      <c r="AF15" s="6"/>
      <c r="AG15" s="6">
        <f t="shared" si="9"/>
        <v>80.790935550351222</v>
      </c>
      <c r="AH15" s="6">
        <f t="shared" si="2"/>
        <v>83.873167405386965</v>
      </c>
      <c r="AI15" s="6"/>
    </row>
    <row r="16" spans="1:35">
      <c r="A16" t="s">
        <v>676</v>
      </c>
      <c r="B16" t="s">
        <v>677</v>
      </c>
      <c r="C16" t="s">
        <v>678</v>
      </c>
      <c r="D16">
        <v>1762</v>
      </c>
      <c r="E16">
        <v>1900</v>
      </c>
      <c r="F16">
        <v>1157</v>
      </c>
      <c r="G16">
        <v>1260</v>
      </c>
      <c r="H16">
        <v>1246</v>
      </c>
      <c r="I16">
        <v>1303</v>
      </c>
      <c r="J16">
        <v>1363</v>
      </c>
      <c r="K16">
        <v>1362</v>
      </c>
      <c r="L16">
        <v>1678</v>
      </c>
      <c r="M16">
        <v>1797</v>
      </c>
      <c r="N16">
        <v>2080</v>
      </c>
      <c r="P16" s="179">
        <f t="shared" si="3"/>
        <v>7.2347826086956513</v>
      </c>
      <c r="Q16" s="179"/>
      <c r="R16" s="320">
        <f>DATE(LEFT(HAVERM!A21,4)*1,RIGHT(HAVERM!A21,2)*1,1)</f>
        <v>40544</v>
      </c>
      <c r="S16" s="6">
        <f>HAVERM!B21</f>
        <v>88.4</v>
      </c>
      <c r="T16" s="6">
        <f>HAVERM!C21</f>
        <v>42.2</v>
      </c>
      <c r="U16" s="6">
        <f>HAVERM!D21</f>
        <v>139.4</v>
      </c>
      <c r="V16" s="6">
        <f>HAVERM!E21</f>
        <v>65.099999999999994</v>
      </c>
      <c r="W16" s="6">
        <f>HAVERM!F21</f>
        <v>81.8</v>
      </c>
      <c r="X16" s="6">
        <f>HAVERM!G21</f>
        <v>82.4</v>
      </c>
      <c r="Z16" s="6">
        <f t="shared" si="4"/>
        <v>84.728434504792347</v>
      </c>
      <c r="AA16" s="6">
        <f t="shared" si="5"/>
        <v>56.229180546302473</v>
      </c>
      <c r="AB16" s="6">
        <f t="shared" si="6"/>
        <v>132.76190476190476</v>
      </c>
      <c r="AC16" s="6">
        <f t="shared" si="7"/>
        <v>71.08927108927108</v>
      </c>
      <c r="AD16" s="6">
        <f t="shared" si="8"/>
        <v>85.587235155636932</v>
      </c>
      <c r="AE16" s="6">
        <f t="shared" si="8"/>
        <v>84.282304807364483</v>
      </c>
      <c r="AF16" s="6"/>
      <c r="AG16" s="6">
        <f t="shared" si="9"/>
        <v>81.180736775513054</v>
      </c>
      <c r="AH16" s="6">
        <f t="shared" si="2"/>
        <v>84.282304807364483</v>
      </c>
      <c r="AI16" s="6"/>
    </row>
    <row r="17" spans="1:35">
      <c r="A17" t="s">
        <v>679</v>
      </c>
      <c r="B17" t="s">
        <v>680</v>
      </c>
      <c r="C17" t="s">
        <v>681</v>
      </c>
      <c r="D17">
        <v>633</v>
      </c>
      <c r="E17">
        <v>355</v>
      </c>
      <c r="F17">
        <v>423</v>
      </c>
      <c r="G17">
        <v>713</v>
      </c>
      <c r="H17">
        <v>638</v>
      </c>
      <c r="I17">
        <v>510</v>
      </c>
      <c r="J17">
        <v>491</v>
      </c>
      <c r="K17">
        <v>422</v>
      </c>
      <c r="L17">
        <v>657</v>
      </c>
      <c r="M17">
        <v>369</v>
      </c>
      <c r="N17">
        <v>667</v>
      </c>
      <c r="P17" s="179">
        <f t="shared" si="3"/>
        <v>2.3199999999999998</v>
      </c>
      <c r="Q17" s="179"/>
      <c r="R17" s="320">
        <f>DATE(LEFT(HAVERM!A22,4)*1,RIGHT(HAVERM!A22,2)*1,1)</f>
        <v>40575</v>
      </c>
      <c r="S17" s="6">
        <f>HAVERM!B22</f>
        <v>86.4</v>
      </c>
      <c r="T17" s="6">
        <f>HAVERM!C22</f>
        <v>41.5</v>
      </c>
      <c r="U17" s="6">
        <f>HAVERM!D22</f>
        <v>143</v>
      </c>
      <c r="V17" s="6">
        <f>HAVERM!E22</f>
        <v>67.8</v>
      </c>
      <c r="W17" s="6">
        <f>HAVERM!F22</f>
        <v>82.7</v>
      </c>
      <c r="X17" s="6">
        <f>HAVERM!G22</f>
        <v>82.8</v>
      </c>
      <c r="Z17" s="6">
        <f t="shared" si="4"/>
        <v>82.811501597444121</v>
      </c>
      <c r="AA17" s="6">
        <f t="shared" si="5"/>
        <v>55.296469020652907</v>
      </c>
      <c r="AB17" s="6">
        <f t="shared" si="6"/>
        <v>136.1904761904762</v>
      </c>
      <c r="AC17" s="6">
        <f t="shared" si="7"/>
        <v>74.037674037674023</v>
      </c>
      <c r="AD17" s="6">
        <f t="shared" si="8"/>
        <v>86.528904002092602</v>
      </c>
      <c r="AE17" s="6">
        <f t="shared" si="8"/>
        <v>84.691442209341972</v>
      </c>
      <c r="AF17" s="6"/>
      <c r="AG17" s="6">
        <f t="shared" si="9"/>
        <v>81.785153611276584</v>
      </c>
      <c r="AH17" s="6">
        <f t="shared" si="2"/>
        <v>84.691442209341972</v>
      </c>
      <c r="AI17" s="6"/>
    </row>
    <row r="18" spans="1:35">
      <c r="A18" t="s">
        <v>682</v>
      </c>
      <c r="B18" t="s">
        <v>683</v>
      </c>
      <c r="C18" t="s">
        <v>684</v>
      </c>
      <c r="D18">
        <v>355</v>
      </c>
      <c r="E18">
        <v>388</v>
      </c>
      <c r="F18">
        <v>397</v>
      </c>
      <c r="G18">
        <v>388</v>
      </c>
      <c r="H18">
        <v>341</v>
      </c>
      <c r="I18">
        <v>352</v>
      </c>
      <c r="J18">
        <v>397</v>
      </c>
      <c r="K18">
        <v>249</v>
      </c>
      <c r="L18">
        <v>214</v>
      </c>
      <c r="M18">
        <v>251</v>
      </c>
      <c r="N18">
        <v>266</v>
      </c>
      <c r="P18" s="179">
        <f t="shared" si="3"/>
        <v>0.92521739130434788</v>
      </c>
      <c r="Q18" s="179"/>
      <c r="R18" s="320">
        <f>DATE(LEFT(HAVERM!A23,4)*1,RIGHT(HAVERM!A23,2)*1,1)</f>
        <v>40603</v>
      </c>
      <c r="S18" s="6">
        <f>HAVERM!B23</f>
        <v>88.4</v>
      </c>
      <c r="T18" s="6">
        <f>HAVERM!C23</f>
        <v>40.9</v>
      </c>
      <c r="U18" s="6">
        <f>HAVERM!D23</f>
        <v>140.4</v>
      </c>
      <c r="V18" s="6">
        <f>HAVERM!E23</f>
        <v>69.099999999999994</v>
      </c>
      <c r="W18" s="6">
        <f>HAVERM!F23</f>
        <v>83.6</v>
      </c>
      <c r="X18" s="6">
        <f>HAVERM!G23</f>
        <v>83</v>
      </c>
      <c r="Z18" s="6">
        <f t="shared" si="4"/>
        <v>84.728434504792347</v>
      </c>
      <c r="AA18" s="6">
        <f t="shared" si="5"/>
        <v>54.497001998667557</v>
      </c>
      <c r="AB18" s="6">
        <f t="shared" si="6"/>
        <v>133.71428571428572</v>
      </c>
      <c r="AC18" s="6">
        <f t="shared" si="7"/>
        <v>75.457275457275458</v>
      </c>
      <c r="AD18" s="6">
        <f t="shared" si="8"/>
        <v>87.470572848548258</v>
      </c>
      <c r="AE18" s="6">
        <f t="shared" si="8"/>
        <v>84.896010910330716</v>
      </c>
      <c r="AF18" s="6"/>
      <c r="AG18" s="6">
        <f t="shared" si="9"/>
        <v>81.613178350506757</v>
      </c>
      <c r="AH18" s="6">
        <f t="shared" si="2"/>
        <v>84.896010910330716</v>
      </c>
      <c r="AI18" s="6"/>
    </row>
    <row r="19" spans="1:35">
      <c r="A19" t="s">
        <v>682</v>
      </c>
      <c r="B19" t="s">
        <v>685</v>
      </c>
      <c r="C19" t="s">
        <v>686</v>
      </c>
      <c r="D19">
        <v>68</v>
      </c>
      <c r="E19">
        <v>46</v>
      </c>
      <c r="F19">
        <v>49</v>
      </c>
      <c r="G19">
        <v>50</v>
      </c>
      <c r="H19">
        <v>31</v>
      </c>
      <c r="I19">
        <v>26</v>
      </c>
      <c r="J19">
        <v>24</v>
      </c>
      <c r="K19">
        <v>3</v>
      </c>
      <c r="L19">
        <v>3</v>
      </c>
      <c r="M19">
        <v>4</v>
      </c>
      <c r="N19">
        <v>5</v>
      </c>
      <c r="P19" s="179">
        <f t="shared" si="3"/>
        <v>1.7391304347826087E-2</v>
      </c>
      <c r="Q19" s="179"/>
      <c r="R19" s="320">
        <f>DATE(LEFT(HAVERM!A24,4)*1,RIGHT(HAVERM!A24,2)*1,1)</f>
        <v>40634</v>
      </c>
      <c r="S19" s="6">
        <f>HAVERM!B24</f>
        <v>88.1</v>
      </c>
      <c r="T19" s="6">
        <f>HAVERM!C24</f>
        <v>40.700000000000003</v>
      </c>
      <c r="U19" s="6">
        <f>HAVERM!D24</f>
        <v>142.6</v>
      </c>
      <c r="V19" s="6">
        <f>HAVERM!E24</f>
        <v>64.2</v>
      </c>
      <c r="W19" s="6">
        <f>HAVERM!F24</f>
        <v>84.8</v>
      </c>
      <c r="X19" s="6">
        <f>HAVERM!G24</f>
        <v>82.2</v>
      </c>
      <c r="Z19" s="6">
        <f t="shared" si="4"/>
        <v>84.440894568690112</v>
      </c>
      <c r="AA19" s="6">
        <f t="shared" si="5"/>
        <v>54.230512991339111</v>
      </c>
      <c r="AB19" s="6">
        <f t="shared" si="6"/>
        <v>135.8095238095238</v>
      </c>
      <c r="AC19" s="6">
        <f t="shared" si="7"/>
        <v>70.106470106470113</v>
      </c>
      <c r="AD19" s="6">
        <f t="shared" si="8"/>
        <v>88.726131310489137</v>
      </c>
      <c r="AE19" s="6">
        <f t="shared" si="8"/>
        <v>84.077736106375738</v>
      </c>
      <c r="AF19" s="6"/>
      <c r="AG19" s="6">
        <f t="shared" si="9"/>
        <v>81.300417876808908</v>
      </c>
      <c r="AH19" s="6">
        <f t="shared" si="2"/>
        <v>84.077736106375738</v>
      </c>
      <c r="AI19" s="6"/>
    </row>
    <row r="20" spans="1:35">
      <c r="A20" t="s">
        <v>682</v>
      </c>
      <c r="B20" t="s">
        <v>687</v>
      </c>
      <c r="C20" t="s">
        <v>688</v>
      </c>
      <c r="D20">
        <v>54</v>
      </c>
      <c r="E20">
        <v>54</v>
      </c>
      <c r="F20">
        <v>99</v>
      </c>
      <c r="G20">
        <v>93</v>
      </c>
      <c r="H20">
        <v>167</v>
      </c>
      <c r="I20">
        <v>186</v>
      </c>
      <c r="J20">
        <v>168</v>
      </c>
      <c r="K20">
        <v>173</v>
      </c>
      <c r="L20">
        <v>163</v>
      </c>
      <c r="M20">
        <v>183</v>
      </c>
      <c r="N20">
        <v>213</v>
      </c>
      <c r="P20" s="179">
        <f t="shared" si="3"/>
        <v>0.74086956521739133</v>
      </c>
      <c r="Q20" s="179"/>
      <c r="R20" s="320">
        <f>DATE(LEFT(HAVERM!A25,4)*1,RIGHT(HAVERM!A25,2)*1,1)</f>
        <v>40664</v>
      </c>
      <c r="S20" s="6">
        <f>HAVERM!B25</f>
        <v>93</v>
      </c>
      <c r="T20" s="6">
        <f>HAVERM!C25</f>
        <v>40.4</v>
      </c>
      <c r="U20" s="6">
        <f>HAVERM!D25</f>
        <v>141.6</v>
      </c>
      <c r="V20" s="6">
        <f>HAVERM!E25</f>
        <v>70</v>
      </c>
      <c r="W20" s="6">
        <f>HAVERM!F25</f>
        <v>83.8</v>
      </c>
      <c r="X20" s="6">
        <f>HAVERM!G25</f>
        <v>83.1</v>
      </c>
      <c r="Z20" s="6">
        <f t="shared" si="4"/>
        <v>89.13738019169331</v>
      </c>
      <c r="AA20" s="6">
        <f t="shared" si="5"/>
        <v>53.830779480346436</v>
      </c>
      <c r="AB20" s="6">
        <f t="shared" si="6"/>
        <v>134.85714285714286</v>
      </c>
      <c r="AC20" s="6">
        <f t="shared" si="7"/>
        <v>76.440076440076439</v>
      </c>
      <c r="AD20" s="6">
        <f t="shared" si="8"/>
        <v>87.679832592205059</v>
      </c>
      <c r="AE20" s="6">
        <f t="shared" si="8"/>
        <v>84.998295260825088</v>
      </c>
      <c r="AF20" s="6"/>
      <c r="AG20" s="6">
        <f t="shared" si="9"/>
        <v>82.337334779349192</v>
      </c>
      <c r="AH20" s="6">
        <f t="shared" si="2"/>
        <v>84.998295260825088</v>
      </c>
      <c r="AI20" s="6"/>
    </row>
    <row r="21" spans="1:35">
      <c r="A21" t="s">
        <v>682</v>
      </c>
      <c r="B21" t="s">
        <v>689</v>
      </c>
      <c r="C21" t="s">
        <v>690</v>
      </c>
      <c r="D21">
        <v>779</v>
      </c>
      <c r="E21">
        <v>864</v>
      </c>
      <c r="F21">
        <v>860</v>
      </c>
      <c r="G21">
        <v>792</v>
      </c>
      <c r="H21">
        <v>868</v>
      </c>
      <c r="I21">
        <v>900</v>
      </c>
      <c r="J21">
        <v>898</v>
      </c>
      <c r="K21">
        <v>882</v>
      </c>
      <c r="L21">
        <v>859</v>
      </c>
      <c r="M21">
        <v>932</v>
      </c>
      <c r="N21">
        <v>897</v>
      </c>
      <c r="P21" s="179">
        <f t="shared" si="3"/>
        <v>3.1199999999999997</v>
      </c>
      <c r="Q21" s="179"/>
      <c r="R21" s="320">
        <f>DATE(LEFT(HAVERM!A26,4)*1,RIGHT(HAVERM!A26,2)*1,1)</f>
        <v>40695</v>
      </c>
      <c r="S21" s="6">
        <f>HAVERM!B26</f>
        <v>92.6</v>
      </c>
      <c r="T21" s="6">
        <f>HAVERM!C26</f>
        <v>40.1</v>
      </c>
      <c r="U21" s="6">
        <f>HAVERM!D26</f>
        <v>143.5</v>
      </c>
      <c r="V21" s="6">
        <f>HAVERM!E26</f>
        <v>67.599999999999994</v>
      </c>
      <c r="W21" s="6">
        <f>HAVERM!F26</f>
        <v>85.4</v>
      </c>
      <c r="X21" s="6">
        <f>HAVERM!G26</f>
        <v>83.1</v>
      </c>
      <c r="Z21" s="6">
        <f t="shared" si="4"/>
        <v>88.75399361022366</v>
      </c>
      <c r="AA21" s="6">
        <f t="shared" si="5"/>
        <v>53.431045969353761</v>
      </c>
      <c r="AB21" s="6">
        <f t="shared" si="6"/>
        <v>136.66666666666666</v>
      </c>
      <c r="AC21" s="6">
        <f t="shared" si="7"/>
        <v>73.819273819273818</v>
      </c>
      <c r="AD21" s="6">
        <f t="shared" si="8"/>
        <v>89.353910541459598</v>
      </c>
      <c r="AE21" s="6">
        <f t="shared" si="8"/>
        <v>84.998295260825088</v>
      </c>
      <c r="AF21" s="6"/>
      <c r="AG21" s="6">
        <f t="shared" si="9"/>
        <v>82.360170657530588</v>
      </c>
      <c r="AH21" s="6">
        <f t="shared" si="2"/>
        <v>84.998295260825088</v>
      </c>
      <c r="AI21" s="6"/>
    </row>
    <row r="22" spans="1:35">
      <c r="A22" t="s">
        <v>682</v>
      </c>
      <c r="B22" t="s">
        <v>691</v>
      </c>
      <c r="C22" t="s">
        <v>692</v>
      </c>
      <c r="D22">
        <v>1</v>
      </c>
      <c r="E22">
        <v>3</v>
      </c>
      <c r="F22">
        <v>4</v>
      </c>
      <c r="G22">
        <v>5</v>
      </c>
      <c r="H22">
        <v>5</v>
      </c>
      <c r="I22">
        <v>3</v>
      </c>
      <c r="J22">
        <v>0</v>
      </c>
      <c r="K22">
        <v>2</v>
      </c>
      <c r="L22">
        <v>6</v>
      </c>
      <c r="M22">
        <v>4</v>
      </c>
      <c r="N22">
        <v>4</v>
      </c>
      <c r="P22" s="179">
        <f t="shared" si="3"/>
        <v>1.3913043478260868E-2</v>
      </c>
      <c r="Q22" s="179"/>
      <c r="R22" s="320">
        <f>DATE(LEFT(HAVERM!A27,4)*1,RIGHT(HAVERM!A27,2)*1,1)</f>
        <v>40725</v>
      </c>
      <c r="S22" s="6">
        <f>HAVERM!B27</f>
        <v>90.5</v>
      </c>
      <c r="T22" s="6">
        <f>HAVERM!C27</f>
        <v>39.5</v>
      </c>
      <c r="U22" s="6">
        <f>HAVERM!D27</f>
        <v>143.69999999999999</v>
      </c>
      <c r="V22" s="6">
        <f>HAVERM!E27</f>
        <v>69.3</v>
      </c>
      <c r="W22" s="6">
        <f>HAVERM!F27</f>
        <v>84.5</v>
      </c>
      <c r="X22" s="6">
        <f>HAVERM!G27</f>
        <v>83.2</v>
      </c>
      <c r="Z22" s="6">
        <f t="shared" si="4"/>
        <v>86.741214057508003</v>
      </c>
      <c r="AA22" s="6">
        <f t="shared" si="5"/>
        <v>52.631578947368418</v>
      </c>
      <c r="AB22" s="6">
        <f t="shared" si="6"/>
        <v>136.85714285714286</v>
      </c>
      <c r="AC22" s="6">
        <f t="shared" si="7"/>
        <v>75.675675675675663</v>
      </c>
      <c r="AD22" s="6">
        <f t="shared" si="8"/>
        <v>88.412241695003928</v>
      </c>
      <c r="AE22" s="6">
        <f t="shared" si="8"/>
        <v>85.100579611319475</v>
      </c>
      <c r="AF22" s="6"/>
      <c r="AG22" s="6">
        <f t="shared" si="9"/>
        <v>81.943569822058066</v>
      </c>
      <c r="AH22" s="6">
        <f t="shared" si="2"/>
        <v>85.100579611319475</v>
      </c>
      <c r="AI22" s="6"/>
    </row>
    <row r="23" spans="1:35">
      <c r="A23" t="s">
        <v>682</v>
      </c>
      <c r="B23" t="s">
        <v>693</v>
      </c>
      <c r="C23" t="s">
        <v>694</v>
      </c>
      <c r="D23">
        <v>768</v>
      </c>
      <c r="E23">
        <v>822</v>
      </c>
      <c r="F23">
        <v>890</v>
      </c>
      <c r="G23">
        <v>882</v>
      </c>
      <c r="H23">
        <v>926</v>
      </c>
      <c r="I23">
        <v>932</v>
      </c>
      <c r="J23">
        <v>924</v>
      </c>
      <c r="K23">
        <v>904</v>
      </c>
      <c r="L23">
        <v>913</v>
      </c>
      <c r="M23">
        <v>1012</v>
      </c>
      <c r="N23">
        <v>1000</v>
      </c>
      <c r="P23" s="179">
        <f t="shared" si="3"/>
        <v>3.4782608695652173</v>
      </c>
      <c r="Q23" s="179"/>
      <c r="R23" s="320">
        <f>DATE(LEFT(HAVERM!A28,4)*1,RIGHT(HAVERM!A28,2)*1,1)</f>
        <v>40756</v>
      </c>
      <c r="S23" s="6">
        <f>HAVERM!B28</f>
        <v>90.1</v>
      </c>
      <c r="T23" s="6">
        <f>HAVERM!C28</f>
        <v>39.200000000000003</v>
      </c>
      <c r="U23" s="6">
        <f>HAVERM!D28</f>
        <v>145.6</v>
      </c>
      <c r="V23" s="6">
        <f>HAVERM!E28</f>
        <v>67.900000000000006</v>
      </c>
      <c r="W23" s="6">
        <f>HAVERM!F28</f>
        <v>83.5</v>
      </c>
      <c r="X23" s="6">
        <f>HAVERM!G28</f>
        <v>83</v>
      </c>
      <c r="Z23" s="6">
        <f t="shared" si="4"/>
        <v>86.357827476038352</v>
      </c>
      <c r="AA23" s="6">
        <f t="shared" si="5"/>
        <v>52.231845436375757</v>
      </c>
      <c r="AB23" s="6">
        <f t="shared" si="6"/>
        <v>138.66666666666669</v>
      </c>
      <c r="AC23" s="6">
        <f t="shared" si="7"/>
        <v>74.146874146874154</v>
      </c>
      <c r="AD23" s="6">
        <f t="shared" si="8"/>
        <v>87.36594297671985</v>
      </c>
      <c r="AE23" s="6">
        <f t="shared" si="8"/>
        <v>84.896010910330716</v>
      </c>
      <c r="AF23" s="6"/>
      <c r="AG23" s="6">
        <f t="shared" si="9"/>
        <v>81.705430427570306</v>
      </c>
      <c r="AH23" s="6">
        <f t="shared" si="2"/>
        <v>84.896010910330716</v>
      </c>
      <c r="AI23" s="6"/>
    </row>
    <row r="24" spans="1:35">
      <c r="A24" t="s">
        <v>695</v>
      </c>
      <c r="B24" t="s">
        <v>696</v>
      </c>
      <c r="C24" t="s">
        <v>697</v>
      </c>
      <c r="D24">
        <v>4132</v>
      </c>
      <c r="E24">
        <v>4451</v>
      </c>
      <c r="F24">
        <v>4343</v>
      </c>
      <c r="G24">
        <v>4390</v>
      </c>
      <c r="H24">
        <v>4379</v>
      </c>
      <c r="I24">
        <v>4495</v>
      </c>
      <c r="J24">
        <v>4916</v>
      </c>
      <c r="K24">
        <v>5784</v>
      </c>
      <c r="L24">
        <v>6011</v>
      </c>
      <c r="M24">
        <v>6145</v>
      </c>
      <c r="N24">
        <v>8710</v>
      </c>
      <c r="P24" s="179">
        <f t="shared" si="3"/>
        <v>30.295652173913044</v>
      </c>
      <c r="Q24" s="179"/>
      <c r="R24" s="320">
        <f>DATE(LEFT(HAVERM!A29,4)*1,RIGHT(HAVERM!A29,2)*1,1)</f>
        <v>40787</v>
      </c>
      <c r="S24" s="6">
        <f>HAVERM!B29</f>
        <v>93.1</v>
      </c>
      <c r="T24" s="6">
        <f>HAVERM!C29</f>
        <v>38.700000000000003</v>
      </c>
      <c r="U24" s="6">
        <f>HAVERM!D29</f>
        <v>149.4</v>
      </c>
      <c r="V24" s="6">
        <f>HAVERM!E29</f>
        <v>68</v>
      </c>
      <c r="W24" s="6">
        <f>HAVERM!F29</f>
        <v>84.3</v>
      </c>
      <c r="X24" s="6">
        <f>HAVERM!G29</f>
        <v>83.1</v>
      </c>
      <c r="Z24" s="6">
        <f t="shared" si="4"/>
        <v>89.233226837060712</v>
      </c>
      <c r="AA24" s="6">
        <f t="shared" si="5"/>
        <v>51.565622918054629</v>
      </c>
      <c r="AB24" s="6">
        <f t="shared" si="6"/>
        <v>142.28571428571428</v>
      </c>
      <c r="AC24" s="6">
        <f t="shared" si="7"/>
        <v>74.256074256074257</v>
      </c>
      <c r="AD24" s="6">
        <f t="shared" si="8"/>
        <v>88.202981951347098</v>
      </c>
      <c r="AE24" s="6">
        <f t="shared" si="8"/>
        <v>84.998295260825088</v>
      </c>
      <c r="AF24" s="6"/>
      <c r="AG24" s="6">
        <f t="shared" si="9"/>
        <v>82.666530489904815</v>
      </c>
      <c r="AH24" s="6">
        <f t="shared" si="2"/>
        <v>84.998295260825088</v>
      </c>
      <c r="AI24" s="6"/>
    </row>
    <row r="25" spans="1:35">
      <c r="A25" t="s">
        <v>695</v>
      </c>
      <c r="B25" t="s">
        <v>698</v>
      </c>
      <c r="C25" t="s">
        <v>699</v>
      </c>
      <c r="D25">
        <v>812</v>
      </c>
      <c r="E25">
        <v>851</v>
      </c>
      <c r="F25">
        <v>766</v>
      </c>
      <c r="G25">
        <v>816</v>
      </c>
      <c r="H25">
        <v>875</v>
      </c>
      <c r="I25">
        <v>899</v>
      </c>
      <c r="J25">
        <v>885</v>
      </c>
      <c r="K25">
        <v>616</v>
      </c>
      <c r="L25">
        <v>925</v>
      </c>
      <c r="M25">
        <v>1155</v>
      </c>
      <c r="N25">
        <v>1406</v>
      </c>
      <c r="P25" s="179">
        <f t="shared" si="3"/>
        <v>4.890434782608696</v>
      </c>
      <c r="Q25" s="179"/>
      <c r="R25" s="320">
        <f>DATE(LEFT(HAVERM!A30,4)*1,RIGHT(HAVERM!A30,2)*1,1)</f>
        <v>40817</v>
      </c>
      <c r="S25" s="6">
        <f>HAVERM!B30</f>
        <v>88.2</v>
      </c>
      <c r="T25" s="6">
        <f>HAVERM!C30</f>
        <v>37.799999999999997</v>
      </c>
      <c r="U25" s="6">
        <f>HAVERM!D30</f>
        <v>148.6</v>
      </c>
      <c r="V25" s="6">
        <f>HAVERM!E30</f>
        <v>67.3</v>
      </c>
      <c r="W25" s="6">
        <f>HAVERM!F30</f>
        <v>83.1</v>
      </c>
      <c r="X25" s="6">
        <f>HAVERM!G30</f>
        <v>82.4</v>
      </c>
      <c r="Z25" s="6">
        <f t="shared" si="4"/>
        <v>84.536741214057528</v>
      </c>
      <c r="AA25" s="6">
        <f t="shared" si="5"/>
        <v>50.366422385076618</v>
      </c>
      <c r="AB25" s="6">
        <f t="shared" si="6"/>
        <v>141.52380952380952</v>
      </c>
      <c r="AC25" s="6">
        <f t="shared" si="7"/>
        <v>73.491673491673481</v>
      </c>
      <c r="AD25" s="6">
        <f t="shared" si="8"/>
        <v>86.947423489406219</v>
      </c>
      <c r="AE25" s="6">
        <f t="shared" si="8"/>
        <v>84.282304807364483</v>
      </c>
      <c r="AF25" s="6"/>
      <c r="AG25" s="6">
        <f t="shared" si="9"/>
        <v>81.136739435059468</v>
      </c>
      <c r="AH25" s="6">
        <f t="shared" si="2"/>
        <v>84.282304807364483</v>
      </c>
      <c r="AI25" s="6"/>
    </row>
    <row r="26" spans="1:35">
      <c r="A26" t="s">
        <v>695</v>
      </c>
      <c r="B26" t="s">
        <v>700</v>
      </c>
      <c r="C26" t="s">
        <v>701</v>
      </c>
      <c r="D26">
        <v>1293</v>
      </c>
      <c r="E26">
        <v>1381</v>
      </c>
      <c r="F26">
        <v>1512</v>
      </c>
      <c r="G26">
        <v>1430</v>
      </c>
      <c r="H26">
        <v>1091</v>
      </c>
      <c r="I26">
        <v>1190</v>
      </c>
      <c r="J26">
        <v>1322</v>
      </c>
      <c r="K26">
        <v>1250</v>
      </c>
      <c r="L26">
        <v>1425</v>
      </c>
      <c r="M26">
        <v>1733</v>
      </c>
      <c r="N26">
        <v>1654</v>
      </c>
      <c r="P26" s="179">
        <f t="shared" si="3"/>
        <v>5.7530434782608699</v>
      </c>
      <c r="Q26" s="179"/>
      <c r="R26" s="320">
        <f>DATE(LEFT(HAVERM!A31,4)*1,RIGHT(HAVERM!A31,2)*1,1)</f>
        <v>40848</v>
      </c>
      <c r="S26" s="6">
        <f>HAVERM!B31</f>
        <v>88.7</v>
      </c>
      <c r="T26" s="6">
        <f>HAVERM!C31</f>
        <v>37.4</v>
      </c>
      <c r="U26" s="6">
        <f>HAVERM!D31</f>
        <v>148</v>
      </c>
      <c r="V26" s="6">
        <f>HAVERM!E31</f>
        <v>69.400000000000006</v>
      </c>
      <c r="W26" s="6">
        <f>HAVERM!F31</f>
        <v>84.9</v>
      </c>
      <c r="X26" s="6">
        <f>HAVERM!G31</f>
        <v>83.4</v>
      </c>
      <c r="Z26" s="6">
        <f t="shared" si="4"/>
        <v>85.015974440894581</v>
      </c>
      <c r="AA26" s="6">
        <f t="shared" si="5"/>
        <v>49.83344437041972</v>
      </c>
      <c r="AB26" s="6">
        <f t="shared" si="6"/>
        <v>140.95238095238096</v>
      </c>
      <c r="AC26" s="6">
        <f t="shared" si="7"/>
        <v>75.784875784875794</v>
      </c>
      <c r="AD26" s="6">
        <f t="shared" si="8"/>
        <v>88.830761182317559</v>
      </c>
      <c r="AE26" s="6">
        <f t="shared" si="8"/>
        <v>85.305148312308219</v>
      </c>
      <c r="AF26" s="6"/>
      <c r="AG26" s="6">
        <f t="shared" si="9"/>
        <v>81.504726311097201</v>
      </c>
      <c r="AH26" s="6">
        <f t="shared" si="2"/>
        <v>85.305148312308219</v>
      </c>
      <c r="AI26" s="6"/>
    </row>
    <row r="27" spans="1:35">
      <c r="R27" s="320">
        <f>DATE(LEFT(HAVERM!A32,4)*1,RIGHT(HAVERM!A32,2)*1,1)</f>
        <v>40878</v>
      </c>
      <c r="S27" s="6">
        <f>HAVERM!B32</f>
        <v>95.1</v>
      </c>
      <c r="T27" s="6">
        <f>HAVERM!C32</f>
        <v>36.9</v>
      </c>
      <c r="U27" s="6">
        <f>HAVERM!D32</f>
        <v>140</v>
      </c>
      <c r="V27" s="6">
        <f>HAVERM!E32</f>
        <v>67.7</v>
      </c>
      <c r="W27" s="6">
        <f>HAVERM!F32</f>
        <v>88.4</v>
      </c>
      <c r="X27" s="6">
        <f>HAVERM!G32</f>
        <v>84.1</v>
      </c>
      <c r="Z27" s="6">
        <f t="shared" si="4"/>
        <v>91.150159744408953</v>
      </c>
      <c r="AA27" s="6">
        <f t="shared" si="5"/>
        <v>49.167221852098599</v>
      </c>
      <c r="AB27" s="6">
        <f t="shared" si="6"/>
        <v>133.33333333333331</v>
      </c>
      <c r="AC27" s="6">
        <f t="shared" si="7"/>
        <v>73.92847392847392</v>
      </c>
      <c r="AD27" s="6">
        <f t="shared" si="8"/>
        <v>92.492806696311803</v>
      </c>
      <c r="AE27" s="6">
        <f t="shared" si="8"/>
        <v>86.021138765768839</v>
      </c>
      <c r="AF27" s="6"/>
      <c r="AG27" s="6">
        <f t="shared" si="9"/>
        <v>80.919753085435133</v>
      </c>
      <c r="AH27" s="6">
        <f t="shared" si="2"/>
        <v>86.021138765768839</v>
      </c>
      <c r="AI27" s="6"/>
    </row>
    <row r="28" spans="1:35">
      <c r="C28" t="s">
        <v>653</v>
      </c>
      <c r="D28" s="6">
        <f>D5/D$4*100</f>
        <v>1.5925257458328911E-2</v>
      </c>
      <c r="E28" s="6">
        <f t="shared" ref="E28:N28" si="10">E5/E$4*100</f>
        <v>2.0916126333403055E-2</v>
      </c>
      <c r="F28" s="6">
        <f t="shared" si="10"/>
        <v>0</v>
      </c>
      <c r="G28" s="6">
        <f t="shared" si="10"/>
        <v>0</v>
      </c>
      <c r="H28" s="6">
        <f t="shared" si="10"/>
        <v>0</v>
      </c>
      <c r="I28" s="6">
        <f t="shared" si="10"/>
        <v>1.5594136604636658E-2</v>
      </c>
      <c r="J28" s="6">
        <f t="shared" si="10"/>
        <v>0</v>
      </c>
      <c r="K28" s="6">
        <f t="shared" si="10"/>
        <v>3.4420022618872004E-2</v>
      </c>
      <c r="L28" s="6">
        <f t="shared" si="10"/>
        <v>0.10101937735329232</v>
      </c>
      <c r="M28" s="6">
        <f t="shared" si="10"/>
        <v>3.9976014391365179E-3</v>
      </c>
      <c r="N28" s="6">
        <f t="shared" si="10"/>
        <v>2.0869565217391306E-2</v>
      </c>
      <c r="O28" s="6"/>
      <c r="P28" s="6">
        <f>AVERAGE(E28:N28)</f>
        <v>1.9681682956673184E-2</v>
      </c>
      <c r="R28" s="320">
        <f>DATE(LEFT(HAVERM!A33,4)*1,RIGHT(HAVERM!A33,2)*1,1)</f>
        <v>40909</v>
      </c>
      <c r="S28" s="6">
        <f>HAVERM!B33</f>
        <v>92.8</v>
      </c>
      <c r="T28" s="6">
        <f>HAVERM!C33</f>
        <v>36.200000000000003</v>
      </c>
      <c r="U28" s="6">
        <f>HAVERM!D33</f>
        <v>133.30000000000001</v>
      </c>
      <c r="V28" s="6">
        <f>HAVERM!E33</f>
        <v>71.5</v>
      </c>
      <c r="W28" s="6">
        <f>HAVERM!F33</f>
        <v>84.3</v>
      </c>
      <c r="X28" s="6">
        <f>HAVERM!G33</f>
        <v>84.5</v>
      </c>
      <c r="Z28" s="6">
        <f t="shared" si="4"/>
        <v>88.945686900958478</v>
      </c>
      <c r="AA28" s="6">
        <f t="shared" si="5"/>
        <v>48.23451032644904</v>
      </c>
      <c r="AB28" s="6">
        <f t="shared" si="6"/>
        <v>126.95238095238098</v>
      </c>
      <c r="AC28" s="6">
        <f t="shared" si="7"/>
        <v>78.078078078078079</v>
      </c>
      <c r="AD28" s="6">
        <f t="shared" si="8"/>
        <v>88.202981951347098</v>
      </c>
      <c r="AE28" s="6">
        <f t="shared" si="8"/>
        <v>86.430276167746328</v>
      </c>
      <c r="AF28" s="6"/>
      <c r="AG28" s="6">
        <f t="shared" si="9"/>
        <v>78.993321747877403</v>
      </c>
      <c r="AH28" s="6">
        <f t="shared" si="2"/>
        <v>86.430276167746328</v>
      </c>
      <c r="AI28" s="6"/>
    </row>
    <row r="29" spans="1:35">
      <c r="C29" t="s">
        <v>656</v>
      </c>
      <c r="D29" s="6">
        <f t="shared" ref="D29:N49" si="11">D6/D$4*100</f>
        <v>5.1438581590402377</v>
      </c>
      <c r="E29" s="6">
        <f t="shared" si="11"/>
        <v>5.2028864254340101</v>
      </c>
      <c r="F29" s="6">
        <f t="shared" si="11"/>
        <v>6.0068405301410861</v>
      </c>
      <c r="G29" s="6">
        <f t="shared" si="11"/>
        <v>4.9226289966032244</v>
      </c>
      <c r="H29" s="6">
        <f t="shared" si="11"/>
        <v>4.9329019254230095</v>
      </c>
      <c r="I29" s="6">
        <f t="shared" si="11"/>
        <v>5.4475517205530721</v>
      </c>
      <c r="J29" s="6">
        <f t="shared" si="11"/>
        <v>4.526159921026653</v>
      </c>
      <c r="K29" s="6">
        <f t="shared" si="11"/>
        <v>4.2139941977676152</v>
      </c>
      <c r="L29" s="6">
        <f t="shared" si="11"/>
        <v>4.1877123702819361</v>
      </c>
      <c r="M29" s="6">
        <f t="shared" si="11"/>
        <v>4.4573256046372176</v>
      </c>
      <c r="N29" s="6">
        <f t="shared" si="11"/>
        <v>3.0260869565217394</v>
      </c>
      <c r="O29" s="6"/>
      <c r="P29" s="6">
        <f t="shared" ref="P29:P49" si="12">AVERAGE(E29:N29)</f>
        <v>4.6924088648389564</v>
      </c>
      <c r="R29" s="320">
        <f>DATE(LEFT(HAVERM!A34,4)*1,RIGHT(HAVERM!A34,2)*1,1)</f>
        <v>40940</v>
      </c>
      <c r="S29" s="6">
        <f>HAVERM!B34</f>
        <v>92.9</v>
      </c>
      <c r="T29" s="6">
        <f>HAVERM!C34</f>
        <v>35.700000000000003</v>
      </c>
      <c r="U29" s="6">
        <f>HAVERM!D34</f>
        <v>127.9</v>
      </c>
      <c r="V29" s="6">
        <f>HAVERM!E34</f>
        <v>72.400000000000006</v>
      </c>
      <c r="W29" s="6">
        <f>HAVERM!F34</f>
        <v>82.2</v>
      </c>
      <c r="X29" s="6">
        <f>HAVERM!G34</f>
        <v>83.7</v>
      </c>
      <c r="Z29" s="6">
        <f t="shared" si="4"/>
        <v>89.041533546325908</v>
      </c>
      <c r="AA29" s="6">
        <f t="shared" si="5"/>
        <v>47.56828780812792</v>
      </c>
      <c r="AB29" s="6">
        <f t="shared" si="6"/>
        <v>121.80952380952381</v>
      </c>
      <c r="AC29" s="6">
        <f t="shared" si="7"/>
        <v>79.06087906087906</v>
      </c>
      <c r="AD29" s="6">
        <f t="shared" si="8"/>
        <v>86.005754642950563</v>
      </c>
      <c r="AE29" s="6">
        <f t="shared" si="8"/>
        <v>85.61200136379135</v>
      </c>
      <c r="AF29" s="6"/>
      <c r="AG29" s="6">
        <f t="shared" si="9"/>
        <v>77.579563154803907</v>
      </c>
      <c r="AH29" s="6">
        <f t="shared" si="2"/>
        <v>85.61200136379135</v>
      </c>
      <c r="AI29" s="6"/>
    </row>
    <row r="30" spans="1:35">
      <c r="C30" t="s">
        <v>658</v>
      </c>
      <c r="D30" s="6">
        <f t="shared" si="11"/>
        <v>6.1206072831510774</v>
      </c>
      <c r="E30" s="6">
        <f t="shared" si="11"/>
        <v>6.0865927630202883</v>
      </c>
      <c r="F30" s="6">
        <f t="shared" si="11"/>
        <v>5.5365540829414277</v>
      </c>
      <c r="G30" s="6">
        <f t="shared" si="11"/>
        <v>5.8877446487302532</v>
      </c>
      <c r="H30" s="6">
        <f t="shared" si="11"/>
        <v>7.0704927597729812</v>
      </c>
      <c r="I30" s="6">
        <f t="shared" si="11"/>
        <v>7.1681047925979833</v>
      </c>
      <c r="J30" s="6">
        <f t="shared" si="11"/>
        <v>6.6831194471865754</v>
      </c>
      <c r="K30" s="6">
        <f t="shared" si="11"/>
        <v>5.2810148989526473</v>
      </c>
      <c r="L30" s="6">
        <f t="shared" si="11"/>
        <v>5.1106621361006521</v>
      </c>
      <c r="M30" s="6">
        <f t="shared" si="11"/>
        <v>8.3669798121127315</v>
      </c>
      <c r="N30" s="6">
        <f t="shared" si="11"/>
        <v>5.436521739130435</v>
      </c>
      <c r="O30" s="6"/>
      <c r="P30" s="6">
        <f t="shared" si="12"/>
        <v>6.2627787080545971</v>
      </c>
      <c r="R30" s="320">
        <f>DATE(LEFT(HAVERM!A35,4)*1,RIGHT(HAVERM!A35,2)*1,1)</f>
        <v>40969</v>
      </c>
      <c r="S30" s="6">
        <f>HAVERM!B35</f>
        <v>92.3</v>
      </c>
      <c r="T30" s="6">
        <f>HAVERM!C35</f>
        <v>35.6</v>
      </c>
      <c r="U30" s="6">
        <f>HAVERM!D35</f>
        <v>119.6</v>
      </c>
      <c r="V30" s="6">
        <f>HAVERM!E35</f>
        <v>72.3</v>
      </c>
      <c r="W30" s="6">
        <f>HAVERM!F35</f>
        <v>83.9</v>
      </c>
      <c r="X30" s="6">
        <f>HAVERM!G35</f>
        <v>84.1</v>
      </c>
      <c r="Z30" s="6">
        <f t="shared" si="4"/>
        <v>88.466453674121411</v>
      </c>
      <c r="AA30" s="6">
        <f t="shared" si="5"/>
        <v>47.43504330446369</v>
      </c>
      <c r="AB30" s="6">
        <f t="shared" si="6"/>
        <v>113.90476190476191</v>
      </c>
      <c r="AC30" s="6">
        <f t="shared" si="7"/>
        <v>78.951678951678943</v>
      </c>
      <c r="AD30" s="6">
        <f t="shared" si="8"/>
        <v>87.784462464033481</v>
      </c>
      <c r="AE30" s="6">
        <f t="shared" si="8"/>
        <v>86.021138765768839</v>
      </c>
      <c r="AF30" s="6"/>
      <c r="AG30" s="6">
        <f t="shared" si="9"/>
        <v>76.20812524933423</v>
      </c>
      <c r="AH30" s="6">
        <f t="shared" si="2"/>
        <v>86.021138765768839</v>
      </c>
      <c r="AI30" s="6"/>
    </row>
    <row r="31" spans="1:35">
      <c r="C31" t="s">
        <v>660</v>
      </c>
      <c r="D31" s="6">
        <f t="shared" si="11"/>
        <v>0.8493470644442086</v>
      </c>
      <c r="E31" s="6">
        <f t="shared" si="11"/>
        <v>0.75820957958586066</v>
      </c>
      <c r="F31" s="6">
        <f t="shared" si="11"/>
        <v>0.73215049166310386</v>
      </c>
      <c r="G31" s="6">
        <f t="shared" si="11"/>
        <v>0.62004636868496255</v>
      </c>
      <c r="H31" s="6">
        <f t="shared" si="11"/>
        <v>0.50920277939850422</v>
      </c>
      <c r="I31" s="6">
        <f t="shared" si="11"/>
        <v>0.59777523651107178</v>
      </c>
      <c r="J31" s="6">
        <f t="shared" si="11"/>
        <v>0.81441263573543921</v>
      </c>
      <c r="K31" s="6">
        <f t="shared" si="11"/>
        <v>0.92934061070954421</v>
      </c>
      <c r="L31" s="6">
        <f t="shared" si="11"/>
        <v>0.75764533014969238</v>
      </c>
      <c r="M31" s="6">
        <f t="shared" si="11"/>
        <v>0.48370977413551869</v>
      </c>
      <c r="N31" s="6">
        <f t="shared" si="11"/>
        <v>0.54260869565217396</v>
      </c>
      <c r="O31" s="6"/>
      <c r="P31" s="6">
        <f t="shared" si="12"/>
        <v>0.67451015022258709</v>
      </c>
      <c r="R31" s="320">
        <f>DATE(LEFT(HAVERM!A36,4)*1,RIGHT(HAVERM!A36,2)*1,1)</f>
        <v>41000</v>
      </c>
      <c r="S31" s="6">
        <f>HAVERM!B36</f>
        <v>93.3</v>
      </c>
      <c r="T31" s="6">
        <f>HAVERM!C36</f>
        <v>35.9</v>
      </c>
      <c r="U31" s="6">
        <f>HAVERM!D36</f>
        <v>115.8</v>
      </c>
      <c r="V31" s="6">
        <f>HAVERM!E36</f>
        <v>67.3</v>
      </c>
      <c r="W31" s="6">
        <f>HAVERM!F36</f>
        <v>83.3</v>
      </c>
      <c r="X31" s="6">
        <f>HAVERM!G36</f>
        <v>83.5</v>
      </c>
      <c r="Z31" s="6">
        <f t="shared" si="4"/>
        <v>89.424920127795531</v>
      </c>
      <c r="AA31" s="6">
        <f t="shared" si="5"/>
        <v>47.834776815456365</v>
      </c>
      <c r="AB31" s="6">
        <f t="shared" si="6"/>
        <v>110.28571428571428</v>
      </c>
      <c r="AC31" s="6">
        <f t="shared" si="7"/>
        <v>73.491673491673481</v>
      </c>
      <c r="AD31" s="6">
        <f t="shared" si="8"/>
        <v>87.156683233063035</v>
      </c>
      <c r="AE31" s="6">
        <f t="shared" si="8"/>
        <v>85.407432662802591</v>
      </c>
      <c r="AF31" s="6"/>
      <c r="AG31" s="6">
        <f t="shared" si="9"/>
        <v>74.926521395616888</v>
      </c>
      <c r="AH31" s="6">
        <f t="shared" si="2"/>
        <v>85.407432662802591</v>
      </c>
      <c r="AI31" s="6"/>
    </row>
    <row r="32" spans="1:35">
      <c r="C32" t="s">
        <v>662</v>
      </c>
      <c r="D32" s="6">
        <f t="shared" si="11"/>
        <v>1.3005626924301943</v>
      </c>
      <c r="E32" s="6">
        <f t="shared" si="11"/>
        <v>1.0562643798368541</v>
      </c>
      <c r="F32" s="6">
        <f t="shared" si="11"/>
        <v>0.97263787943565627</v>
      </c>
      <c r="G32" s="6">
        <f t="shared" si="11"/>
        <v>0.85728150105138301</v>
      </c>
      <c r="H32" s="6">
        <f t="shared" si="11"/>
        <v>0.79562934281016284</v>
      </c>
      <c r="I32" s="6">
        <f t="shared" si="11"/>
        <v>0.71733028381328623</v>
      </c>
      <c r="J32" s="6">
        <f t="shared" si="11"/>
        <v>0.78973346495557739</v>
      </c>
      <c r="K32" s="6">
        <f t="shared" si="11"/>
        <v>0.76707478979200472</v>
      </c>
      <c r="L32" s="6">
        <f t="shared" si="11"/>
        <v>0.60611626411975383</v>
      </c>
      <c r="M32" s="6">
        <f t="shared" si="11"/>
        <v>0.25984409354387367</v>
      </c>
      <c r="N32" s="6">
        <f t="shared" si="11"/>
        <v>0.41391304347826086</v>
      </c>
      <c r="O32" s="6"/>
      <c r="P32" s="6">
        <f t="shared" si="12"/>
        <v>0.7235825042836812</v>
      </c>
      <c r="R32" s="320">
        <f>DATE(LEFT(HAVERM!A37,4)*1,RIGHT(HAVERM!A37,2)*1,1)</f>
        <v>41030</v>
      </c>
      <c r="S32" s="6">
        <f>HAVERM!B37</f>
        <v>97.9</v>
      </c>
      <c r="T32" s="6">
        <f>HAVERM!C37</f>
        <v>36.1</v>
      </c>
      <c r="U32" s="6">
        <f>HAVERM!D37</f>
        <v>109.6</v>
      </c>
      <c r="V32" s="6">
        <f>HAVERM!E37</f>
        <v>67.7</v>
      </c>
      <c r="W32" s="6">
        <f>HAVERM!F37</f>
        <v>84.7</v>
      </c>
      <c r="X32" s="6">
        <f>HAVERM!G37</f>
        <v>84.8</v>
      </c>
      <c r="Z32" s="6">
        <f t="shared" si="4"/>
        <v>93.833865814696509</v>
      </c>
      <c r="AA32" s="6">
        <f t="shared" si="5"/>
        <v>48.101265822784811</v>
      </c>
      <c r="AB32" s="6">
        <f t="shared" si="6"/>
        <v>104.38095238095238</v>
      </c>
      <c r="AC32" s="6">
        <f t="shared" si="7"/>
        <v>73.92847392847392</v>
      </c>
      <c r="AD32" s="6">
        <f t="shared" si="8"/>
        <v>88.621501438660729</v>
      </c>
      <c r="AE32" s="6">
        <f t="shared" si="8"/>
        <v>86.737129219229459</v>
      </c>
      <c r="AF32" s="6"/>
      <c r="AG32" s="6">
        <f t="shared" si="9"/>
        <v>74.782315604443838</v>
      </c>
      <c r="AH32" s="6">
        <f t="shared" si="2"/>
        <v>86.737129219229459</v>
      </c>
      <c r="AI32" s="6"/>
    </row>
    <row r="33" spans="3:35">
      <c r="C33" t="s">
        <v>664</v>
      </c>
      <c r="D33" s="6">
        <f t="shared" si="11"/>
        <v>1.1890858902218919</v>
      </c>
      <c r="E33" s="6">
        <f t="shared" si="11"/>
        <v>0.74252248483580841</v>
      </c>
      <c r="F33" s="6">
        <f t="shared" si="11"/>
        <v>0.51838392475416839</v>
      </c>
      <c r="G33" s="6">
        <f t="shared" si="11"/>
        <v>0.71170539709926139</v>
      </c>
      <c r="H33" s="6">
        <f t="shared" si="11"/>
        <v>0.67363284357927122</v>
      </c>
      <c r="I33" s="6">
        <f t="shared" si="11"/>
        <v>0.69134005613889182</v>
      </c>
      <c r="J33" s="6">
        <f t="shared" si="11"/>
        <v>0.57749259624876603</v>
      </c>
      <c r="K33" s="6">
        <f t="shared" si="11"/>
        <v>0.54088606972513154</v>
      </c>
      <c r="L33" s="6">
        <f t="shared" si="11"/>
        <v>0.73468638075121684</v>
      </c>
      <c r="M33" s="6">
        <f t="shared" si="11"/>
        <v>0.67959224465320811</v>
      </c>
      <c r="N33" s="6">
        <f t="shared" si="11"/>
        <v>0.68173913043478263</v>
      </c>
      <c r="O33" s="6"/>
      <c r="P33" s="6">
        <f t="shared" si="12"/>
        <v>0.65519811282205076</v>
      </c>
      <c r="R33" s="320">
        <f>DATE(LEFT(HAVERM!A38,4)*1,RIGHT(HAVERM!A38,2)*1,1)</f>
        <v>41061</v>
      </c>
      <c r="S33" s="6">
        <f>HAVERM!B38</f>
        <v>88.5</v>
      </c>
      <c r="T33" s="6">
        <f>HAVERM!C38</f>
        <v>36.700000000000003</v>
      </c>
      <c r="U33" s="6">
        <f>HAVERM!D38</f>
        <v>111.7</v>
      </c>
      <c r="V33" s="6">
        <f>HAVERM!E38</f>
        <v>63.2</v>
      </c>
      <c r="W33" s="6">
        <f>HAVERM!F38</f>
        <v>81.5</v>
      </c>
      <c r="X33" s="6">
        <f>HAVERM!G38</f>
        <v>83.7</v>
      </c>
      <c r="Z33" s="6">
        <f t="shared" si="4"/>
        <v>84.824281150159763</v>
      </c>
      <c r="AA33" s="6">
        <f t="shared" si="5"/>
        <v>48.900732844770154</v>
      </c>
      <c r="AB33" s="6">
        <f t="shared" si="6"/>
        <v>106.38095238095238</v>
      </c>
      <c r="AC33" s="6">
        <f t="shared" si="7"/>
        <v>69.014469014469014</v>
      </c>
      <c r="AD33" s="6">
        <f t="shared" si="8"/>
        <v>85.273345540151709</v>
      </c>
      <c r="AE33" s="6">
        <f t="shared" si="8"/>
        <v>85.61200136379135</v>
      </c>
      <c r="AF33" s="6"/>
      <c r="AG33" s="6">
        <f t="shared" si="9"/>
        <v>73.049936411712977</v>
      </c>
      <c r="AH33" s="6">
        <f t="shared" si="2"/>
        <v>85.61200136379135</v>
      </c>
      <c r="AI33" s="6"/>
    </row>
    <row r="34" spans="3:35">
      <c r="C34" t="s">
        <v>666</v>
      </c>
      <c r="D34" s="6">
        <f t="shared" si="11"/>
        <v>2.3569381038326789</v>
      </c>
      <c r="E34" s="6">
        <f t="shared" si="11"/>
        <v>1.8197029910060656</v>
      </c>
      <c r="F34" s="6">
        <f t="shared" si="11"/>
        <v>1.2825994014536126</v>
      </c>
      <c r="G34" s="6">
        <f t="shared" si="11"/>
        <v>1.3748854262144821</v>
      </c>
      <c r="H34" s="6">
        <f t="shared" si="11"/>
        <v>1.4533495995332308</v>
      </c>
      <c r="I34" s="6">
        <f t="shared" si="11"/>
        <v>1.6269882524170911</v>
      </c>
      <c r="J34" s="6">
        <f t="shared" si="11"/>
        <v>1.6140177690029616</v>
      </c>
      <c r="K34" s="6">
        <f t="shared" si="11"/>
        <v>1.3669666125780597</v>
      </c>
      <c r="L34" s="6">
        <f t="shared" si="11"/>
        <v>0.73927817063091195</v>
      </c>
      <c r="M34" s="6">
        <f t="shared" si="11"/>
        <v>0.55166899860083951</v>
      </c>
      <c r="N34" s="6">
        <f t="shared" si="11"/>
        <v>1.0643478260869565</v>
      </c>
      <c r="O34" s="6"/>
      <c r="P34" s="6">
        <f t="shared" si="12"/>
        <v>1.2893805047524212</v>
      </c>
      <c r="R34" s="320">
        <f>DATE(LEFT(HAVERM!A39,4)*1,RIGHT(HAVERM!A39,2)*1,1)</f>
        <v>41091</v>
      </c>
      <c r="S34" s="6">
        <f>HAVERM!B39</f>
        <v>103.7</v>
      </c>
      <c r="T34" s="6">
        <f>HAVERM!C39</f>
        <v>36</v>
      </c>
      <c r="U34" s="6">
        <f>HAVERM!D39</f>
        <v>104.3</v>
      </c>
      <c r="V34" s="6">
        <f>HAVERM!E39</f>
        <v>66.400000000000006</v>
      </c>
      <c r="W34" s="6">
        <f>HAVERM!F39</f>
        <v>81.900000000000006</v>
      </c>
      <c r="X34" s="6">
        <f>HAVERM!G39</f>
        <v>84.8</v>
      </c>
      <c r="Z34" s="6">
        <f t="shared" si="4"/>
        <v>99.392971246006411</v>
      </c>
      <c r="AA34" s="6">
        <f t="shared" si="5"/>
        <v>47.968021319120588</v>
      </c>
      <c r="AB34" s="6">
        <f t="shared" si="6"/>
        <v>99.333333333333329</v>
      </c>
      <c r="AC34" s="6">
        <f t="shared" si="7"/>
        <v>72.508872508872514</v>
      </c>
      <c r="AD34" s="6">
        <f t="shared" si="8"/>
        <v>85.69186502746534</v>
      </c>
      <c r="AE34" s="6">
        <f t="shared" si="8"/>
        <v>86.737129219229459</v>
      </c>
      <c r="AF34" s="6"/>
      <c r="AG34" s="6">
        <f t="shared" si="9"/>
        <v>73.864363627062332</v>
      </c>
      <c r="AH34" s="6">
        <f t="shared" si="2"/>
        <v>86.737129219229459</v>
      </c>
      <c r="AI34" s="6"/>
    </row>
    <row r="35" spans="3:35">
      <c r="C35" t="s">
        <v>668</v>
      </c>
      <c r="D35" s="6">
        <f t="shared" si="11"/>
        <v>0.5042998195137488</v>
      </c>
      <c r="E35" s="6">
        <f t="shared" si="11"/>
        <v>0.39217736875130726</v>
      </c>
      <c r="F35" s="6">
        <f t="shared" si="11"/>
        <v>0.41150064129970071</v>
      </c>
      <c r="G35" s="6">
        <f t="shared" si="11"/>
        <v>0.15096781150590391</v>
      </c>
      <c r="H35" s="6">
        <f t="shared" si="11"/>
        <v>0.11669230361215721</v>
      </c>
      <c r="I35" s="6">
        <f t="shared" si="11"/>
        <v>9.8762865162698818E-2</v>
      </c>
      <c r="J35" s="6">
        <f t="shared" si="11"/>
        <v>0.37018756169792694</v>
      </c>
      <c r="K35" s="6">
        <f t="shared" si="11"/>
        <v>0.39337168707282294</v>
      </c>
      <c r="L35" s="6">
        <f t="shared" si="11"/>
        <v>0.26632381302231611</v>
      </c>
      <c r="M35" s="6">
        <f t="shared" si="11"/>
        <v>0.28782730361782932</v>
      </c>
      <c r="N35" s="6">
        <f t="shared" si="11"/>
        <v>1.1095652173913042</v>
      </c>
      <c r="O35" s="6"/>
      <c r="P35" s="6">
        <f t="shared" si="12"/>
        <v>0.35973765731339674</v>
      </c>
      <c r="R35" s="320">
        <f>DATE(LEFT(HAVERM!A40,4)*1,RIGHT(HAVERM!A40,2)*1,1)</f>
        <v>41122</v>
      </c>
      <c r="S35" s="6">
        <f>HAVERM!B40</f>
        <v>94.3</v>
      </c>
      <c r="T35" s="6">
        <f>HAVERM!C40</f>
        <v>36.700000000000003</v>
      </c>
      <c r="U35" s="6">
        <f>HAVERM!D40</f>
        <v>99.3</v>
      </c>
      <c r="V35" s="6">
        <f>HAVERM!E40</f>
        <v>69.8</v>
      </c>
      <c r="W35" s="6">
        <f>HAVERM!F40</f>
        <v>81.7</v>
      </c>
      <c r="X35" s="6">
        <f>HAVERM!G40</f>
        <v>85.3</v>
      </c>
      <c r="Z35" s="6">
        <f t="shared" si="4"/>
        <v>90.383386581469665</v>
      </c>
      <c r="AA35" s="6">
        <f t="shared" si="5"/>
        <v>48.900732844770154</v>
      </c>
      <c r="AB35" s="6">
        <f t="shared" si="6"/>
        <v>94.571428571428569</v>
      </c>
      <c r="AC35" s="6">
        <f t="shared" si="7"/>
        <v>76.221676221676219</v>
      </c>
      <c r="AD35" s="6">
        <f t="shared" si="8"/>
        <v>85.482605283808539</v>
      </c>
      <c r="AE35" s="6">
        <f t="shared" si="8"/>
        <v>87.248550971701334</v>
      </c>
      <c r="AF35" s="6"/>
      <c r="AG35" s="6">
        <f t="shared" si="9"/>
        <v>72.609847127249679</v>
      </c>
      <c r="AH35" s="6">
        <f t="shared" si="2"/>
        <v>87.248550971701334</v>
      </c>
      <c r="AI35" s="6"/>
    </row>
    <row r="36" spans="3:35">
      <c r="C36" t="s">
        <v>670</v>
      </c>
      <c r="D36" s="6">
        <f t="shared" si="11"/>
        <v>11.020278161163606</v>
      </c>
      <c r="E36" s="6">
        <f t="shared" si="11"/>
        <v>12.241162936624137</v>
      </c>
      <c r="F36" s="6">
        <f t="shared" si="11"/>
        <v>15.775972637879434</v>
      </c>
      <c r="G36" s="6">
        <f t="shared" si="11"/>
        <v>16.067288510271201</v>
      </c>
      <c r="H36" s="6">
        <f t="shared" si="11"/>
        <v>17.01055534928128</v>
      </c>
      <c r="I36" s="6">
        <f t="shared" si="11"/>
        <v>17.35107599542572</v>
      </c>
      <c r="J36" s="6">
        <f t="shared" si="11"/>
        <v>18.845014807502469</v>
      </c>
      <c r="K36" s="6">
        <f t="shared" si="11"/>
        <v>19.678418645817967</v>
      </c>
      <c r="L36" s="6">
        <f t="shared" si="11"/>
        <v>19.267150335200661</v>
      </c>
      <c r="M36" s="6">
        <f t="shared" si="11"/>
        <v>21.974815110933442</v>
      </c>
      <c r="N36" s="6">
        <f t="shared" si="11"/>
        <v>20.417391304347827</v>
      </c>
      <c r="O36" s="6"/>
      <c r="P36" s="6">
        <f t="shared" si="12"/>
        <v>17.862884563328414</v>
      </c>
      <c r="R36" s="320">
        <f>DATE(LEFT(HAVERM!A41,4)*1,RIGHT(HAVERM!A41,2)*1,1)</f>
        <v>41153</v>
      </c>
      <c r="S36" s="6">
        <f>HAVERM!B41</f>
        <v>95.9</v>
      </c>
      <c r="T36" s="6">
        <f>HAVERM!C41</f>
        <v>38.6</v>
      </c>
      <c r="U36" s="6">
        <f>HAVERM!D41</f>
        <v>94.5</v>
      </c>
      <c r="V36" s="6">
        <f>HAVERM!E41</f>
        <v>68.599999999999994</v>
      </c>
      <c r="W36" s="6">
        <f>HAVERM!F41</f>
        <v>82.4</v>
      </c>
      <c r="X36" s="6">
        <f>HAVERM!G41</f>
        <v>84.4</v>
      </c>
      <c r="Z36" s="6">
        <f t="shared" si="4"/>
        <v>91.916932907348269</v>
      </c>
      <c r="AA36" s="6">
        <f t="shared" si="5"/>
        <v>51.432378414390413</v>
      </c>
      <c r="AB36" s="6">
        <f t="shared" si="6"/>
        <v>90</v>
      </c>
      <c r="AC36" s="6">
        <f t="shared" si="7"/>
        <v>74.911274911274901</v>
      </c>
      <c r="AD36" s="6">
        <f t="shared" si="8"/>
        <v>86.215014386607379</v>
      </c>
      <c r="AE36" s="6">
        <f t="shared" si="8"/>
        <v>86.32799181725197</v>
      </c>
      <c r="AF36" s="6"/>
      <c r="AG36" s="6">
        <f t="shared" si="9"/>
        <v>72.836201334938053</v>
      </c>
      <c r="AH36" s="6">
        <f t="shared" si="2"/>
        <v>86.32799181725197</v>
      </c>
      <c r="AI36" s="6"/>
    </row>
    <row r="37" spans="3:35">
      <c r="C37" t="s">
        <v>672</v>
      </c>
      <c r="D37" s="6">
        <f t="shared" si="11"/>
        <v>13.016243762607496</v>
      </c>
      <c r="E37" s="6">
        <f t="shared" si="11"/>
        <v>11.686885588788956</v>
      </c>
      <c r="F37" s="6">
        <f t="shared" si="11"/>
        <v>10.725737494655837</v>
      </c>
      <c r="G37" s="6">
        <f t="shared" si="11"/>
        <v>9.8776082385291417</v>
      </c>
      <c r="H37" s="6">
        <f t="shared" si="11"/>
        <v>9.1179122686044671</v>
      </c>
      <c r="I37" s="6">
        <f t="shared" si="11"/>
        <v>8.4156357209689148</v>
      </c>
      <c r="J37" s="6">
        <f t="shared" si="11"/>
        <v>7.749259624876605</v>
      </c>
      <c r="K37" s="6">
        <f t="shared" si="11"/>
        <v>8.0395338545508199</v>
      </c>
      <c r="L37" s="6">
        <f t="shared" si="11"/>
        <v>7.9667554412710073</v>
      </c>
      <c r="M37" s="6">
        <f t="shared" si="11"/>
        <v>7.7753347991205271</v>
      </c>
      <c r="N37" s="6">
        <f t="shared" si="11"/>
        <v>7.6939130434782603</v>
      </c>
      <c r="O37" s="6"/>
      <c r="P37" s="6">
        <f t="shared" si="12"/>
        <v>8.9048576074844554</v>
      </c>
      <c r="R37" s="320">
        <f>DATE(LEFT(HAVERM!A42,4)*1,RIGHT(HAVERM!A42,2)*1,1)</f>
        <v>41183</v>
      </c>
      <c r="S37" s="6">
        <f>HAVERM!B42</f>
        <v>97.3</v>
      </c>
      <c r="T37" s="6">
        <f>HAVERM!C42</f>
        <v>39.5</v>
      </c>
      <c r="U37" s="6">
        <f>HAVERM!D42</f>
        <v>91.2</v>
      </c>
      <c r="V37" s="6">
        <f>HAVERM!E42</f>
        <v>69.5</v>
      </c>
      <c r="W37" s="6">
        <f>HAVERM!F42</f>
        <v>83.3</v>
      </c>
      <c r="X37" s="6">
        <f>HAVERM!G42</f>
        <v>84.7</v>
      </c>
      <c r="Z37" s="6">
        <f t="shared" si="4"/>
        <v>93.258785942492025</v>
      </c>
      <c r="AA37" s="6">
        <f t="shared" si="5"/>
        <v>52.631578947368418</v>
      </c>
      <c r="AB37" s="6">
        <f t="shared" si="6"/>
        <v>86.857142857142861</v>
      </c>
      <c r="AC37" s="6">
        <f t="shared" si="7"/>
        <v>75.894075894075897</v>
      </c>
      <c r="AD37" s="6">
        <f t="shared" si="8"/>
        <v>87.156683233063035</v>
      </c>
      <c r="AE37" s="6">
        <f t="shared" si="8"/>
        <v>86.634844868735087</v>
      </c>
      <c r="AF37" s="6"/>
      <c r="AG37" s="6">
        <f t="shared" si="9"/>
        <v>73.159772023494781</v>
      </c>
      <c r="AH37" s="6">
        <f t="shared" si="2"/>
        <v>86.634844868735087</v>
      </c>
      <c r="AI37" s="6"/>
    </row>
    <row r="38" spans="3:35">
      <c r="C38" t="s">
        <v>675</v>
      </c>
      <c r="D38" s="6">
        <f t="shared" si="11"/>
        <v>1.9004140566939165</v>
      </c>
      <c r="E38" s="6">
        <f t="shared" si="11"/>
        <v>1.8772223384229241</v>
      </c>
      <c r="F38" s="6">
        <f t="shared" si="11"/>
        <v>1.9345874305258657</v>
      </c>
      <c r="G38" s="6">
        <f t="shared" si="11"/>
        <v>1.1969590769396667</v>
      </c>
      <c r="H38" s="6">
        <f t="shared" si="11"/>
        <v>2.2595873335808623</v>
      </c>
      <c r="I38" s="6">
        <f t="shared" si="11"/>
        <v>1.7569393907890634</v>
      </c>
      <c r="J38" s="6">
        <f t="shared" si="11"/>
        <v>1.8213228035538005</v>
      </c>
      <c r="K38" s="6">
        <f t="shared" si="11"/>
        <v>1.4751438265230861</v>
      </c>
      <c r="L38" s="6">
        <f t="shared" si="11"/>
        <v>1.2397832675176783</v>
      </c>
      <c r="M38" s="6">
        <f t="shared" si="11"/>
        <v>0.84749150509694193</v>
      </c>
      <c r="N38" s="6">
        <f t="shared" si="11"/>
        <v>0.8034782608695652</v>
      </c>
      <c r="O38" s="6"/>
      <c r="P38" s="6">
        <f t="shared" si="12"/>
        <v>1.5212515233819452</v>
      </c>
      <c r="R38" s="320">
        <f>DATE(LEFT(HAVERM!A43,4)*1,RIGHT(HAVERM!A43,2)*1,1)</f>
        <v>41214</v>
      </c>
      <c r="S38" s="6">
        <f>HAVERM!B43</f>
        <v>95.5</v>
      </c>
      <c r="T38" s="6">
        <f>HAVERM!C43</f>
        <v>40.4</v>
      </c>
      <c r="U38" s="6">
        <f>HAVERM!D43</f>
        <v>91.3</v>
      </c>
      <c r="V38" s="6">
        <f>HAVERM!E43</f>
        <v>67.8</v>
      </c>
      <c r="W38" s="6">
        <f>HAVERM!F43</f>
        <v>84.7</v>
      </c>
      <c r="X38" s="6">
        <f>HAVERM!G43</f>
        <v>85</v>
      </c>
      <c r="Z38" s="6">
        <f t="shared" si="4"/>
        <v>91.533546325878618</v>
      </c>
      <c r="AA38" s="6">
        <f t="shared" si="5"/>
        <v>53.830779480346436</v>
      </c>
      <c r="AB38" s="6">
        <f t="shared" si="6"/>
        <v>86.952380952380949</v>
      </c>
      <c r="AC38" s="6">
        <f t="shared" si="7"/>
        <v>74.037674037674023</v>
      </c>
      <c r="AD38" s="6">
        <f t="shared" si="8"/>
        <v>88.621501438660729</v>
      </c>
      <c r="AE38" s="6">
        <f t="shared" si="8"/>
        <v>86.941697920218203</v>
      </c>
      <c r="AF38" s="6"/>
      <c r="AG38" s="6">
        <f t="shared" si="9"/>
        <v>73.36386233020103</v>
      </c>
      <c r="AH38" s="6">
        <f t="shared" si="2"/>
        <v>86.941697920218203</v>
      </c>
      <c r="AI38" s="6"/>
    </row>
    <row r="39" spans="3:35">
      <c r="C39" t="s">
        <v>678</v>
      </c>
      <c r="D39" s="6">
        <f t="shared" si="11"/>
        <v>9.3534345471918474</v>
      </c>
      <c r="E39" s="6">
        <f t="shared" si="11"/>
        <v>9.9351600083664504</v>
      </c>
      <c r="F39" s="6">
        <f t="shared" si="11"/>
        <v>6.1831979478409576</v>
      </c>
      <c r="G39" s="6">
        <f t="shared" si="11"/>
        <v>6.7935515177656765</v>
      </c>
      <c r="H39" s="6">
        <f t="shared" si="11"/>
        <v>6.6090277409430858</v>
      </c>
      <c r="I39" s="6">
        <f t="shared" si="11"/>
        <v>6.7730533319471871</v>
      </c>
      <c r="J39" s="6">
        <f t="shared" si="11"/>
        <v>6.7275419545903254</v>
      </c>
      <c r="K39" s="6">
        <f t="shared" si="11"/>
        <v>6.6971529724148109</v>
      </c>
      <c r="L39" s="6">
        <f t="shared" si="11"/>
        <v>7.7050234181283859</v>
      </c>
      <c r="M39" s="6">
        <f t="shared" si="11"/>
        <v>7.1836897861283235</v>
      </c>
      <c r="N39" s="6">
        <f t="shared" si="11"/>
        <v>7.2347826086956513</v>
      </c>
      <c r="O39" s="6"/>
      <c r="P39" s="6">
        <f t="shared" si="12"/>
        <v>7.184218128682085</v>
      </c>
      <c r="R39" s="320">
        <f>DATE(LEFT(HAVERM!A44,4)*1,RIGHT(HAVERM!A44,2)*1,1)</f>
        <v>41244</v>
      </c>
      <c r="S39" s="6">
        <f>HAVERM!B44</f>
        <v>95.1</v>
      </c>
      <c r="T39" s="6">
        <f>HAVERM!C44</f>
        <v>41.3</v>
      </c>
      <c r="U39" s="6">
        <f>HAVERM!D44</f>
        <v>91.6</v>
      </c>
      <c r="V39" s="6">
        <f>HAVERM!E44</f>
        <v>66.8</v>
      </c>
      <c r="W39" s="6">
        <f>HAVERM!F44</f>
        <v>84</v>
      </c>
      <c r="X39" s="6">
        <f>HAVERM!G44</f>
        <v>84.6</v>
      </c>
      <c r="Z39" s="6">
        <f t="shared" si="4"/>
        <v>91.150159744408953</v>
      </c>
      <c r="AA39" s="6">
        <f t="shared" si="5"/>
        <v>55.029980013324455</v>
      </c>
      <c r="AB39" s="6">
        <f t="shared" si="6"/>
        <v>87.238095238095241</v>
      </c>
      <c r="AC39" s="6">
        <f t="shared" si="7"/>
        <v>72.945672945672939</v>
      </c>
      <c r="AD39" s="6">
        <f t="shared" si="8"/>
        <v>87.889092335861889</v>
      </c>
      <c r="AE39" s="6">
        <f t="shared" si="8"/>
        <v>86.532560518240714</v>
      </c>
      <c r="AF39" s="6"/>
      <c r="AG39" s="6">
        <f t="shared" si="9"/>
        <v>73.555732797411409</v>
      </c>
      <c r="AH39" s="6">
        <f t="shared" si="2"/>
        <v>86.532560518240714</v>
      </c>
      <c r="AI39" s="6"/>
    </row>
    <row r="40" spans="3:35">
      <c r="C40" t="s">
        <v>681</v>
      </c>
      <c r="D40" s="6">
        <f t="shared" si="11"/>
        <v>3.3602293237073999</v>
      </c>
      <c r="E40" s="6">
        <f t="shared" si="11"/>
        <v>1.8563062120895208</v>
      </c>
      <c r="F40" s="6">
        <f t="shared" si="11"/>
        <v>2.2605814450619923</v>
      </c>
      <c r="G40" s="6">
        <f t="shared" si="11"/>
        <v>3.8442874858467673</v>
      </c>
      <c r="H40" s="6">
        <f t="shared" si="11"/>
        <v>3.3840768047525596</v>
      </c>
      <c r="I40" s="6">
        <f t="shared" si="11"/>
        <v>2.6510032227882316</v>
      </c>
      <c r="J40" s="6">
        <f t="shared" si="11"/>
        <v>2.4234945705824287</v>
      </c>
      <c r="K40" s="6">
        <f t="shared" si="11"/>
        <v>2.0750356493091409</v>
      </c>
      <c r="L40" s="6">
        <f t="shared" si="11"/>
        <v>3.0168059509596841</v>
      </c>
      <c r="M40" s="6">
        <f t="shared" si="11"/>
        <v>1.4751149310413751</v>
      </c>
      <c r="N40" s="6">
        <f t="shared" si="11"/>
        <v>2.3199999999999998</v>
      </c>
      <c r="O40" s="6"/>
      <c r="P40" s="6">
        <f t="shared" si="12"/>
        <v>2.5306706272431696</v>
      </c>
      <c r="R40" s="320">
        <f>DATE(LEFT(HAVERM!A45,4)*1,RIGHT(HAVERM!A45,2)*1,1)</f>
        <v>41275</v>
      </c>
      <c r="S40" s="6">
        <f>HAVERM!B45</f>
        <v>95</v>
      </c>
      <c r="T40" s="6">
        <f>HAVERM!C45</f>
        <v>42.4</v>
      </c>
      <c r="U40" s="6">
        <f>HAVERM!D45</f>
        <v>92.3</v>
      </c>
      <c r="V40" s="6">
        <f>HAVERM!E45</f>
        <v>69</v>
      </c>
      <c r="W40" s="6">
        <f>HAVERM!F45</f>
        <v>83.1</v>
      </c>
      <c r="X40" s="6">
        <f>HAVERM!G45</f>
        <v>84.4</v>
      </c>
      <c r="Z40" s="6">
        <f t="shared" si="4"/>
        <v>91.054313099041551</v>
      </c>
      <c r="AA40" s="6">
        <f t="shared" si="5"/>
        <v>56.495669553630911</v>
      </c>
      <c r="AB40" s="6">
        <f t="shared" si="6"/>
        <v>87.904761904761898</v>
      </c>
      <c r="AC40" s="6">
        <f t="shared" si="7"/>
        <v>75.348075348075355</v>
      </c>
      <c r="AD40" s="6">
        <f t="shared" si="8"/>
        <v>86.947423489406219</v>
      </c>
      <c r="AE40" s="6">
        <f t="shared" si="8"/>
        <v>86.32799181725197</v>
      </c>
      <c r="AF40" s="6"/>
      <c r="AG40" s="6">
        <f t="shared" si="9"/>
        <v>74.42604199360224</v>
      </c>
      <c r="AH40" s="6">
        <f t="shared" si="2"/>
        <v>86.32799181725197</v>
      </c>
      <c r="AI40" s="6"/>
    </row>
    <row r="41" spans="3:35">
      <c r="C41" t="s">
        <v>684</v>
      </c>
      <c r="D41" s="6">
        <f t="shared" si="11"/>
        <v>1.8844887992355877</v>
      </c>
      <c r="E41" s="6">
        <f t="shared" si="11"/>
        <v>2.0288642543400961</v>
      </c>
      <c r="F41" s="6">
        <f t="shared" si="11"/>
        <v>2.1216331765711844</v>
      </c>
      <c r="G41" s="6">
        <f t="shared" si="11"/>
        <v>2.0919825308675257</v>
      </c>
      <c r="H41" s="6">
        <f t="shared" si="11"/>
        <v>1.8087307059884368</v>
      </c>
      <c r="I41" s="6">
        <f t="shared" si="11"/>
        <v>1.8297120282773676</v>
      </c>
      <c r="J41" s="6">
        <f t="shared" si="11"/>
        <v>1.9595261599210267</v>
      </c>
      <c r="K41" s="6">
        <f t="shared" si="11"/>
        <v>1.2243693760141614</v>
      </c>
      <c r="L41" s="6">
        <f t="shared" si="11"/>
        <v>0.98264303425475252</v>
      </c>
      <c r="M41" s="6">
        <f t="shared" si="11"/>
        <v>1.003397961223266</v>
      </c>
      <c r="N41" s="6">
        <f t="shared" si="11"/>
        <v>0.92521739130434788</v>
      </c>
      <c r="O41" s="6"/>
      <c r="P41" s="6">
        <f t="shared" si="12"/>
        <v>1.5976076618762165</v>
      </c>
      <c r="R41" s="320">
        <f>DATE(LEFT(HAVERM!A46,4)*1,RIGHT(HAVERM!A46,2)*1,1)</f>
        <v>41306</v>
      </c>
      <c r="S41" s="6">
        <f>HAVERM!B46</f>
        <v>95</v>
      </c>
      <c r="T41" s="6">
        <f>HAVERM!C46</f>
        <v>42.4</v>
      </c>
      <c r="U41" s="6">
        <f>HAVERM!D46</f>
        <v>92.2</v>
      </c>
      <c r="V41" s="6">
        <f>HAVERM!E46</f>
        <v>68.400000000000006</v>
      </c>
      <c r="W41" s="6">
        <f>HAVERM!F46</f>
        <v>85.9</v>
      </c>
      <c r="X41" s="6">
        <f>HAVERM!G46</f>
        <v>85.2</v>
      </c>
      <c r="Z41" s="6">
        <f t="shared" si="4"/>
        <v>91.054313099041551</v>
      </c>
      <c r="AA41" s="6">
        <f t="shared" si="5"/>
        <v>56.495669553630911</v>
      </c>
      <c r="AB41" s="6">
        <f t="shared" si="6"/>
        <v>87.80952380952381</v>
      </c>
      <c r="AC41" s="6">
        <f t="shared" si="7"/>
        <v>74.692874692874696</v>
      </c>
      <c r="AD41" s="6">
        <f t="shared" si="8"/>
        <v>89.877059900601637</v>
      </c>
      <c r="AE41" s="6">
        <f t="shared" si="8"/>
        <v>87.146266621206962</v>
      </c>
      <c r="AF41" s="6"/>
      <c r="AG41" s="6">
        <f t="shared" si="9"/>
        <v>74.763273215314712</v>
      </c>
      <c r="AH41" s="6">
        <f t="shared" si="2"/>
        <v>87.146266621206962</v>
      </c>
      <c r="AI41" s="6"/>
    </row>
    <row r="42" spans="3:35">
      <c r="C42" t="s">
        <v>686</v>
      </c>
      <c r="D42" s="6">
        <f t="shared" si="11"/>
        <v>0.36097250238878864</v>
      </c>
      <c r="E42" s="6">
        <f t="shared" si="11"/>
        <v>0.24053545283413513</v>
      </c>
      <c r="F42" s="6">
        <f t="shared" si="11"/>
        <v>0.26186404446344591</v>
      </c>
      <c r="G42" s="6">
        <f t="shared" si="11"/>
        <v>0.26958537768911417</v>
      </c>
      <c r="H42" s="6">
        <f t="shared" si="11"/>
        <v>0.164430064180767</v>
      </c>
      <c r="I42" s="6">
        <f t="shared" si="11"/>
        <v>0.13514918390685102</v>
      </c>
      <c r="J42" s="6">
        <f t="shared" si="11"/>
        <v>0.11846001974333661</v>
      </c>
      <c r="K42" s="6">
        <f t="shared" si="11"/>
        <v>1.4751438265230862E-2</v>
      </c>
      <c r="L42" s="6">
        <f t="shared" si="11"/>
        <v>1.3775369639085317E-2</v>
      </c>
      <c r="M42" s="6">
        <f t="shared" si="11"/>
        <v>1.5990405756546072E-2</v>
      </c>
      <c r="N42" s="6">
        <f t="shared" si="11"/>
        <v>1.7391304347826087E-2</v>
      </c>
      <c r="O42" s="6"/>
      <c r="P42" s="6">
        <f t="shared" si="12"/>
        <v>0.12519326608263379</v>
      </c>
      <c r="R42" s="320">
        <f>DATE(LEFT(HAVERM!A47,4)*1,RIGHT(HAVERM!A47,2)*1,1)</f>
        <v>41334</v>
      </c>
      <c r="S42" s="6">
        <f>HAVERM!B47</f>
        <v>99.7</v>
      </c>
      <c r="T42" s="6">
        <f>HAVERM!C47</f>
        <v>42.5</v>
      </c>
      <c r="U42" s="6">
        <f>HAVERM!D47</f>
        <v>93</v>
      </c>
      <c r="V42" s="6">
        <f>HAVERM!E47</f>
        <v>66.7</v>
      </c>
      <c r="W42" s="6">
        <f>HAVERM!F47</f>
        <v>86.1</v>
      </c>
      <c r="X42" s="6">
        <f>HAVERM!G47</f>
        <v>85.3</v>
      </c>
      <c r="Z42" s="6">
        <f t="shared" si="4"/>
        <v>95.559105431309916</v>
      </c>
      <c r="AA42" s="6">
        <f t="shared" si="5"/>
        <v>56.628914057295141</v>
      </c>
      <c r="AB42" s="6">
        <f t="shared" si="6"/>
        <v>88.571428571428569</v>
      </c>
      <c r="AC42" s="6">
        <f t="shared" si="7"/>
        <v>72.836472836472836</v>
      </c>
      <c r="AD42" s="6">
        <f t="shared" si="8"/>
        <v>90.086319644258424</v>
      </c>
      <c r="AE42" s="6">
        <f t="shared" si="8"/>
        <v>87.248550971701334</v>
      </c>
      <c r="AF42" s="6"/>
      <c r="AG42" s="6">
        <f t="shared" si="9"/>
        <v>75.327526331041852</v>
      </c>
      <c r="AH42" s="6">
        <f t="shared" si="2"/>
        <v>87.248550971701334</v>
      </c>
      <c r="AI42" s="6"/>
    </row>
    <row r="43" spans="3:35">
      <c r="C43" t="s">
        <v>688</v>
      </c>
      <c r="D43" s="6">
        <f t="shared" si="11"/>
        <v>0.28665463424992038</v>
      </c>
      <c r="E43" s="6">
        <f t="shared" si="11"/>
        <v>0.2823677055009412</v>
      </c>
      <c r="F43" s="6">
        <f t="shared" si="11"/>
        <v>0.52907225309961514</v>
      </c>
      <c r="G43" s="6">
        <f t="shared" si="11"/>
        <v>0.50142880250175237</v>
      </c>
      <c r="H43" s="6">
        <f t="shared" si="11"/>
        <v>0.8858006683286479</v>
      </c>
      <c r="I43" s="6">
        <f t="shared" si="11"/>
        <v>0.96683646948747282</v>
      </c>
      <c r="J43" s="6">
        <f t="shared" si="11"/>
        <v>0.82922013820335638</v>
      </c>
      <c r="K43" s="6">
        <f t="shared" si="11"/>
        <v>0.85066627329497968</v>
      </c>
      <c r="L43" s="6">
        <f t="shared" si="11"/>
        <v>0.74846175039030216</v>
      </c>
      <c r="M43" s="6">
        <f t="shared" si="11"/>
        <v>0.73156106336198279</v>
      </c>
      <c r="N43" s="6">
        <f t="shared" si="11"/>
        <v>0.74086956521739133</v>
      </c>
      <c r="O43" s="6"/>
      <c r="P43" s="6">
        <f t="shared" si="12"/>
        <v>0.70662846893864417</v>
      </c>
      <c r="R43" s="320">
        <f>DATE(LEFT(HAVERM!A48,4)*1,RIGHT(HAVERM!A48,2)*1,1)</f>
        <v>41365</v>
      </c>
      <c r="S43" s="6">
        <f>HAVERM!B48</f>
        <v>98.9</v>
      </c>
      <c r="T43" s="6">
        <f>HAVERM!C48</f>
        <v>43</v>
      </c>
      <c r="U43" s="6">
        <f>HAVERM!D48</f>
        <v>95.6</v>
      </c>
      <c r="V43" s="6">
        <f>HAVERM!E48</f>
        <v>68.2</v>
      </c>
      <c r="W43" s="6">
        <f>HAVERM!F48</f>
        <v>84.7</v>
      </c>
      <c r="X43" s="6">
        <f>HAVERM!G48</f>
        <v>85.3</v>
      </c>
      <c r="Z43" s="6">
        <f t="shared" si="4"/>
        <v>94.792332268370629</v>
      </c>
      <c r="AA43" s="6">
        <f t="shared" si="5"/>
        <v>57.295136575616255</v>
      </c>
      <c r="AB43" s="6">
        <f t="shared" si="6"/>
        <v>91.047619047619037</v>
      </c>
      <c r="AC43" s="6">
        <f t="shared" si="7"/>
        <v>74.474474474474476</v>
      </c>
      <c r="AD43" s="6">
        <f t="shared" si="8"/>
        <v>88.621501438660729</v>
      </c>
      <c r="AE43" s="6">
        <f t="shared" si="8"/>
        <v>87.248550971701334</v>
      </c>
      <c r="AF43" s="6"/>
      <c r="AG43" s="6">
        <f t="shared" si="9"/>
        <v>75.958194104024741</v>
      </c>
      <c r="AH43" s="6">
        <f t="shared" si="2"/>
        <v>87.248550971701334</v>
      </c>
      <c r="AI43" s="6"/>
    </row>
    <row r="44" spans="3:35">
      <c r="C44" t="s">
        <v>690</v>
      </c>
      <c r="D44" s="6">
        <f t="shared" si="11"/>
        <v>4.1352585200127407</v>
      </c>
      <c r="E44" s="6">
        <f t="shared" si="11"/>
        <v>4.5178832880150592</v>
      </c>
      <c r="F44" s="6">
        <f t="shared" si="11"/>
        <v>4.5959811885421118</v>
      </c>
      <c r="G44" s="6">
        <f t="shared" si="11"/>
        <v>4.2702323825955677</v>
      </c>
      <c r="H44" s="6">
        <f t="shared" si="11"/>
        <v>4.6040417970614751</v>
      </c>
      <c r="I44" s="6">
        <f t="shared" si="11"/>
        <v>4.6782409813909975</v>
      </c>
      <c r="J44" s="6">
        <f t="shared" si="11"/>
        <v>4.4323790720631786</v>
      </c>
      <c r="K44" s="6">
        <f t="shared" si="11"/>
        <v>4.3369228499778725</v>
      </c>
      <c r="L44" s="6">
        <f t="shared" si="11"/>
        <v>3.9443475066580955</v>
      </c>
      <c r="M44" s="6">
        <f t="shared" si="11"/>
        <v>3.7257645412752347</v>
      </c>
      <c r="N44" s="6">
        <f t="shared" si="11"/>
        <v>3.1199999999999997</v>
      </c>
      <c r="O44" s="6"/>
      <c r="P44" s="6">
        <f t="shared" si="12"/>
        <v>4.2225793607579591</v>
      </c>
      <c r="R44" s="320">
        <f>DATE(LEFT(HAVERM!A49,4)*1,RIGHT(HAVERM!A49,2)*1,1)</f>
        <v>41395</v>
      </c>
      <c r="S44" s="6">
        <f>HAVERM!B49</f>
        <v>94.7</v>
      </c>
      <c r="T44" s="6">
        <f>HAVERM!C49</f>
        <v>43</v>
      </c>
      <c r="U44" s="6">
        <f>HAVERM!D49</f>
        <v>96.2</v>
      </c>
      <c r="V44" s="6">
        <f>HAVERM!E49</f>
        <v>67.099999999999994</v>
      </c>
      <c r="W44" s="6">
        <f>HAVERM!F49</f>
        <v>87</v>
      </c>
      <c r="X44" s="6">
        <f>HAVERM!G49</f>
        <v>85.7</v>
      </c>
      <c r="Z44" s="6">
        <f t="shared" si="4"/>
        <v>90.766773162939316</v>
      </c>
      <c r="AA44" s="6">
        <f t="shared" si="5"/>
        <v>57.295136575616255</v>
      </c>
      <c r="AB44" s="6">
        <f t="shared" si="6"/>
        <v>91.61904761904762</v>
      </c>
      <c r="AC44" s="6">
        <f t="shared" si="7"/>
        <v>73.273273273273261</v>
      </c>
      <c r="AD44" s="6">
        <f t="shared" si="8"/>
        <v>91.027988490714094</v>
      </c>
      <c r="AE44" s="6">
        <f t="shared" si="8"/>
        <v>87.657688373678837</v>
      </c>
      <c r="AF44" s="6"/>
      <c r="AG44" s="6">
        <f t="shared" si="9"/>
        <v>75.726488732992337</v>
      </c>
      <c r="AH44" s="6">
        <f t="shared" si="2"/>
        <v>87.657688373678837</v>
      </c>
      <c r="AI44" s="6"/>
    </row>
    <row r="45" spans="3:35">
      <c r="C45" t="s">
        <v>692</v>
      </c>
      <c r="D45" s="6">
        <f t="shared" si="11"/>
        <v>5.3084191527763029E-3</v>
      </c>
      <c r="E45" s="6">
        <f t="shared" si="11"/>
        <v>1.568709475005229E-2</v>
      </c>
      <c r="F45" s="6">
        <f t="shared" si="11"/>
        <v>2.1376656690893545E-2</v>
      </c>
      <c r="G45" s="6">
        <f t="shared" si="11"/>
        <v>2.6958537768911411E-2</v>
      </c>
      <c r="H45" s="6">
        <f t="shared" si="11"/>
        <v>2.6520978093672098E-2</v>
      </c>
      <c r="I45" s="6">
        <f t="shared" si="11"/>
        <v>1.5594136604636658E-2</v>
      </c>
      <c r="J45" s="6">
        <f t="shared" si="11"/>
        <v>0</v>
      </c>
      <c r="K45" s="6">
        <f t="shared" si="11"/>
        <v>9.8342921768205735E-3</v>
      </c>
      <c r="L45" s="6">
        <f t="shared" si="11"/>
        <v>2.7550739278170634E-2</v>
      </c>
      <c r="M45" s="6">
        <f t="shared" si="11"/>
        <v>1.5990405756546072E-2</v>
      </c>
      <c r="N45" s="6">
        <f t="shared" si="11"/>
        <v>1.3913043478260868E-2</v>
      </c>
      <c r="O45" s="6"/>
      <c r="P45" s="6">
        <f t="shared" si="12"/>
        <v>1.7342588459796415E-2</v>
      </c>
      <c r="R45" s="320">
        <f>DATE(LEFT(HAVERM!A50,4)*1,RIGHT(HAVERM!A50,2)*1,1)</f>
        <v>41426</v>
      </c>
      <c r="S45" s="6">
        <f>HAVERM!B50</f>
        <v>96.8</v>
      </c>
      <c r="T45" s="6">
        <f>HAVERM!C50</f>
        <v>42.7</v>
      </c>
      <c r="U45" s="6">
        <f>HAVERM!D50</f>
        <v>93.2</v>
      </c>
      <c r="V45" s="6">
        <f>HAVERM!E50</f>
        <v>64.900000000000006</v>
      </c>
      <c r="W45" s="6">
        <f>HAVERM!F50</f>
        <v>88.3</v>
      </c>
      <c r="X45" s="6">
        <f>HAVERM!G50</f>
        <v>85.8</v>
      </c>
      <c r="Z45" s="6">
        <f t="shared" si="4"/>
        <v>92.779552715654972</v>
      </c>
      <c r="AA45" s="6">
        <f t="shared" si="5"/>
        <v>56.895403064623594</v>
      </c>
      <c r="AB45" s="6">
        <f t="shared" si="6"/>
        <v>88.761904761904759</v>
      </c>
      <c r="AC45" s="6">
        <f t="shared" si="7"/>
        <v>70.870870870870874</v>
      </c>
      <c r="AD45" s="6">
        <f t="shared" si="8"/>
        <v>92.388176824483381</v>
      </c>
      <c r="AE45" s="6">
        <f t="shared" si="8"/>
        <v>87.759972724173196</v>
      </c>
      <c r="AF45" s="6"/>
      <c r="AG45" s="6">
        <f t="shared" si="9"/>
        <v>75.166336860630153</v>
      </c>
      <c r="AH45" s="6">
        <f t="shared" si="2"/>
        <v>87.759972724173196</v>
      </c>
      <c r="AI45" s="6"/>
    </row>
    <row r="46" spans="3:35">
      <c r="C46" t="s">
        <v>694</v>
      </c>
      <c r="D46" s="6">
        <f t="shared" si="11"/>
        <v>4.0768659093322013</v>
      </c>
      <c r="E46" s="6">
        <f t="shared" si="11"/>
        <v>4.2982639615143272</v>
      </c>
      <c r="F46" s="6">
        <f t="shared" si="11"/>
        <v>4.7563061137238138</v>
      </c>
      <c r="G46" s="6">
        <f t="shared" si="11"/>
        <v>4.7554860624359732</v>
      </c>
      <c r="H46" s="6">
        <f t="shared" si="11"/>
        <v>4.9116851429480715</v>
      </c>
      <c r="I46" s="6">
        <f t="shared" si="11"/>
        <v>4.8445784385071216</v>
      </c>
      <c r="J46" s="6">
        <f t="shared" si="11"/>
        <v>4.56071076011846</v>
      </c>
      <c r="K46" s="6">
        <f t="shared" si="11"/>
        <v>4.445100063922899</v>
      </c>
      <c r="L46" s="6">
        <f t="shared" si="11"/>
        <v>4.1923041601616315</v>
      </c>
      <c r="M46" s="6">
        <f t="shared" si="11"/>
        <v>4.0455726564061569</v>
      </c>
      <c r="N46" s="6">
        <f t="shared" si="11"/>
        <v>3.4782608695652173</v>
      </c>
      <c r="O46" s="6"/>
      <c r="P46" s="6">
        <f t="shared" si="12"/>
        <v>4.4288268229303673</v>
      </c>
      <c r="R46" s="320">
        <f>DATE(LEFT(HAVERM!A51,4)*1,RIGHT(HAVERM!A51,2)*1,1)</f>
        <v>41456</v>
      </c>
      <c r="S46" s="6">
        <f>HAVERM!B51</f>
        <v>101.3</v>
      </c>
      <c r="T46" s="6">
        <f>HAVERM!C51</f>
        <v>41.9</v>
      </c>
      <c r="U46" s="6">
        <f>HAVERM!D51</f>
        <v>94</v>
      </c>
      <c r="V46" s="6">
        <f>HAVERM!E51</f>
        <v>65.400000000000006</v>
      </c>
      <c r="W46" s="6">
        <f>HAVERM!F51</f>
        <v>87.3</v>
      </c>
      <c r="X46" s="6">
        <f>HAVERM!G51</f>
        <v>86</v>
      </c>
      <c r="Z46" s="6">
        <f t="shared" si="4"/>
        <v>97.092651757188506</v>
      </c>
      <c r="AA46" s="6">
        <f t="shared" si="5"/>
        <v>55.829447035309798</v>
      </c>
      <c r="AB46" s="6">
        <f t="shared" si="6"/>
        <v>89.523809523809533</v>
      </c>
      <c r="AC46" s="6">
        <f t="shared" si="7"/>
        <v>71.416871416871416</v>
      </c>
      <c r="AD46" s="6">
        <f t="shared" si="8"/>
        <v>91.341878106199317</v>
      </c>
      <c r="AE46" s="6">
        <f t="shared" si="8"/>
        <v>87.96454142516194</v>
      </c>
      <c r="AF46" s="6"/>
      <c r="AG46" s="6">
        <f t="shared" si="9"/>
        <v>75.398528141615643</v>
      </c>
      <c r="AH46" s="6">
        <f t="shared" si="2"/>
        <v>87.96454142516194</v>
      </c>
      <c r="AI46" s="6"/>
    </row>
    <row r="47" spans="3:35">
      <c r="C47" t="s">
        <v>697</v>
      </c>
      <c r="D47" s="6">
        <f t="shared" si="11"/>
        <v>21.934387939271684</v>
      </c>
      <c r="E47" s="6">
        <f t="shared" si="11"/>
        <v>23.27441957749425</v>
      </c>
      <c r="F47" s="6">
        <f t="shared" si="11"/>
        <v>23.209705002137664</v>
      </c>
      <c r="G47" s="6">
        <f t="shared" si="11"/>
        <v>23.669596161104224</v>
      </c>
      <c r="H47" s="6">
        <f t="shared" si="11"/>
        <v>23.227072614438022</v>
      </c>
      <c r="I47" s="6">
        <f t="shared" si="11"/>
        <v>23.365214679280591</v>
      </c>
      <c r="J47" s="6">
        <f t="shared" si="11"/>
        <v>24.264560710760119</v>
      </c>
      <c r="K47" s="6">
        <f t="shared" si="11"/>
        <v>28.440772975365096</v>
      </c>
      <c r="L47" s="6">
        <f t="shared" si="11"/>
        <v>27.601248966847276</v>
      </c>
      <c r="M47" s="6">
        <f t="shared" si="11"/>
        <v>24.565260843493903</v>
      </c>
      <c r="N47" s="6">
        <f t="shared" si="11"/>
        <v>30.295652173913044</v>
      </c>
      <c r="O47" s="6"/>
      <c r="P47" s="6">
        <f t="shared" si="12"/>
        <v>25.19135037048342</v>
      </c>
      <c r="R47" s="320">
        <f>DATE(LEFT(HAVERM!A52,4)*1,RIGHT(HAVERM!A52,2)*1,1)</f>
        <v>41487</v>
      </c>
      <c r="S47" s="6">
        <f>HAVERM!B52</f>
        <v>99.2</v>
      </c>
      <c r="T47" s="6">
        <f>HAVERM!C52</f>
        <v>41.5</v>
      </c>
      <c r="U47" s="6">
        <f>HAVERM!D52</f>
        <v>94</v>
      </c>
      <c r="V47" s="6">
        <f>HAVERM!E52</f>
        <v>67.400000000000006</v>
      </c>
      <c r="W47" s="6">
        <f>HAVERM!F52</f>
        <v>89.9</v>
      </c>
      <c r="X47" s="6">
        <f>HAVERM!G52</f>
        <v>86.3</v>
      </c>
      <c r="Z47" s="6">
        <f t="shared" si="4"/>
        <v>95.079872204472863</v>
      </c>
      <c r="AA47" s="6">
        <f t="shared" si="5"/>
        <v>55.296469020652907</v>
      </c>
      <c r="AB47" s="6">
        <f t="shared" si="6"/>
        <v>89.523809523809533</v>
      </c>
      <c r="AC47" s="6">
        <f t="shared" si="7"/>
        <v>73.600873600873612</v>
      </c>
      <c r="AD47" s="6">
        <f t="shared" si="8"/>
        <v>94.062254773737905</v>
      </c>
      <c r="AE47" s="6">
        <f t="shared" si="8"/>
        <v>88.271394476645071</v>
      </c>
      <c r="AF47" s="6"/>
      <c r="AG47" s="6">
        <f t="shared" si="9"/>
        <v>75.654894793712586</v>
      </c>
      <c r="AH47" s="6">
        <f t="shared" si="2"/>
        <v>88.271394476645071</v>
      </c>
      <c r="AI47" s="6"/>
    </row>
    <row r="48" spans="3:35">
      <c r="C48" t="s">
        <v>699</v>
      </c>
      <c r="D48" s="6">
        <f t="shared" si="11"/>
        <v>4.3104363520543583</v>
      </c>
      <c r="E48" s="6">
        <f t="shared" si="11"/>
        <v>4.4499058774314992</v>
      </c>
      <c r="F48" s="6">
        <f t="shared" si="11"/>
        <v>4.0936297563061137</v>
      </c>
      <c r="G48" s="6">
        <f t="shared" si="11"/>
        <v>4.399633363886343</v>
      </c>
      <c r="H48" s="6">
        <f t="shared" si="11"/>
        <v>4.641171166392617</v>
      </c>
      <c r="I48" s="6">
        <f t="shared" si="11"/>
        <v>4.6730429358561176</v>
      </c>
      <c r="J48" s="6">
        <f t="shared" si="11"/>
        <v>4.3682132280355379</v>
      </c>
      <c r="K48" s="6">
        <f t="shared" si="11"/>
        <v>3.0289619904607363</v>
      </c>
      <c r="L48" s="6">
        <f t="shared" si="11"/>
        <v>4.2474056387179724</v>
      </c>
      <c r="M48" s="6">
        <f t="shared" si="11"/>
        <v>4.6172296622026785</v>
      </c>
      <c r="N48" s="6">
        <f t="shared" si="11"/>
        <v>4.890434782608696</v>
      </c>
      <c r="O48" s="6"/>
      <c r="P48" s="6">
        <f t="shared" si="12"/>
        <v>4.3409628401898299</v>
      </c>
      <c r="R48" s="320">
        <f>DATE(LEFT(HAVERM!A53,4)*1,RIGHT(HAVERM!A53,2)*1,1)</f>
        <v>41518</v>
      </c>
      <c r="S48" s="6">
        <f>HAVERM!B53</f>
        <v>107.8</v>
      </c>
      <c r="T48" s="6">
        <f>HAVERM!C53</f>
        <v>41</v>
      </c>
      <c r="U48" s="6">
        <f>HAVERM!D53</f>
        <v>94.1</v>
      </c>
      <c r="V48" s="6">
        <f>HAVERM!E53</f>
        <v>67.599999999999994</v>
      </c>
      <c r="W48" s="6">
        <f>HAVERM!F53</f>
        <v>88.7</v>
      </c>
      <c r="X48" s="6">
        <f>HAVERM!G53</f>
        <v>86.3</v>
      </c>
      <c r="Z48" s="6">
        <f t="shared" si="4"/>
        <v>103.32268370607029</v>
      </c>
      <c r="AA48" s="6">
        <f t="shared" si="5"/>
        <v>54.630246502331779</v>
      </c>
      <c r="AB48" s="6">
        <f t="shared" si="6"/>
        <v>89.619047619047606</v>
      </c>
      <c r="AC48" s="6">
        <f t="shared" si="7"/>
        <v>73.819273819273818</v>
      </c>
      <c r="AD48" s="6">
        <f t="shared" si="8"/>
        <v>92.806696311797026</v>
      </c>
      <c r="AE48" s="6">
        <f t="shared" si="8"/>
        <v>88.271394476645071</v>
      </c>
      <c r="AF48" s="6"/>
      <c r="AG48" s="6">
        <f t="shared" si="9"/>
        <v>76.358708218646456</v>
      </c>
      <c r="AH48" s="6">
        <f t="shared" si="2"/>
        <v>88.271394476645071</v>
      </c>
      <c r="AI48" s="6"/>
    </row>
    <row r="49" spans="3:35">
      <c r="C49" t="s">
        <v>701</v>
      </c>
      <c r="D49" s="6">
        <f t="shared" si="11"/>
        <v>6.863785964539761</v>
      </c>
      <c r="E49" s="6">
        <f t="shared" si="11"/>
        <v>7.2212926166074043</v>
      </c>
      <c r="F49" s="6">
        <f t="shared" si="11"/>
        <v>8.0803762291577605</v>
      </c>
      <c r="G49" s="6">
        <f t="shared" si="11"/>
        <v>7.710141801908664</v>
      </c>
      <c r="H49" s="6">
        <f t="shared" si="11"/>
        <v>5.786877420039251</v>
      </c>
      <c r="I49" s="6">
        <f t="shared" si="11"/>
        <v>6.1856741865058744</v>
      </c>
      <c r="J49" s="6">
        <f t="shared" si="11"/>
        <v>6.5251727541954585</v>
      </c>
      <c r="K49" s="6">
        <f t="shared" si="11"/>
        <v>6.1464326105128588</v>
      </c>
      <c r="L49" s="6">
        <f t="shared" si="11"/>
        <v>6.5433005785655247</v>
      </c>
      <c r="M49" s="6">
        <f t="shared" si="11"/>
        <v>6.9278432940235861</v>
      </c>
      <c r="N49" s="6">
        <f t="shared" si="11"/>
        <v>5.7530434782608699</v>
      </c>
      <c r="O49" s="6"/>
      <c r="P49" s="6">
        <f t="shared" si="12"/>
        <v>6.6880154969777248</v>
      </c>
      <c r="R49" s="320">
        <f>DATE(LEFT(HAVERM!A54,4)*1,RIGHT(HAVERM!A54,2)*1,1)</f>
        <v>41548</v>
      </c>
      <c r="S49" s="6">
        <f>HAVERM!B54</f>
        <v>104.5</v>
      </c>
      <c r="T49" s="6">
        <f>HAVERM!C54</f>
        <v>40.799999999999997</v>
      </c>
      <c r="U49" s="6">
        <f>HAVERM!D54</f>
        <v>94.6</v>
      </c>
      <c r="V49" s="6">
        <f>HAVERM!E54</f>
        <v>67.2</v>
      </c>
      <c r="W49" s="6">
        <f>HAVERM!F54</f>
        <v>90.1</v>
      </c>
      <c r="X49" s="6">
        <f>HAVERM!G54</f>
        <v>86.8</v>
      </c>
      <c r="Z49" s="6">
        <f t="shared" si="4"/>
        <v>100.1597444089457</v>
      </c>
      <c r="AA49" s="6">
        <f t="shared" si="5"/>
        <v>54.363757495003327</v>
      </c>
      <c r="AB49" s="6">
        <f t="shared" si="6"/>
        <v>90.095238095238102</v>
      </c>
      <c r="AC49" s="6">
        <f t="shared" si="7"/>
        <v>73.382473382473378</v>
      </c>
      <c r="AD49" s="6">
        <f t="shared" si="8"/>
        <v>94.271514517394706</v>
      </c>
      <c r="AE49" s="6">
        <f t="shared" si="8"/>
        <v>88.782816229116946</v>
      </c>
      <c r="AF49" s="6"/>
      <c r="AG49" s="6">
        <f t="shared" si="9"/>
        <v>76.087372396418999</v>
      </c>
      <c r="AH49" s="6">
        <f t="shared" si="2"/>
        <v>88.782816229116946</v>
      </c>
      <c r="AI49" s="6"/>
    </row>
    <row r="50" spans="3:35">
      <c r="R50" s="320">
        <f>DATE(LEFT(HAVERM!A55,4)*1,RIGHT(HAVERM!A55,2)*1,1)</f>
        <v>41579</v>
      </c>
      <c r="S50" s="6">
        <f>HAVERM!B55</f>
        <v>101.8</v>
      </c>
      <c r="T50" s="6">
        <f>HAVERM!C55</f>
        <v>40.6</v>
      </c>
      <c r="U50" s="6">
        <f>HAVERM!D55</f>
        <v>94.7</v>
      </c>
      <c r="V50" s="6">
        <f>HAVERM!E55</f>
        <v>68</v>
      </c>
      <c r="W50" s="6">
        <f>HAVERM!F55</f>
        <v>88.3</v>
      </c>
      <c r="X50" s="6">
        <f>HAVERM!G55</f>
        <v>86.8</v>
      </c>
      <c r="Z50" s="6">
        <f t="shared" si="4"/>
        <v>97.571884984025573</v>
      </c>
      <c r="AA50" s="6">
        <f t="shared" si="5"/>
        <v>54.097268487674889</v>
      </c>
      <c r="AB50" s="6">
        <f t="shared" si="6"/>
        <v>90.190476190476204</v>
      </c>
      <c r="AC50" s="6">
        <f t="shared" si="7"/>
        <v>74.256074256074257</v>
      </c>
      <c r="AD50" s="6">
        <f t="shared" si="8"/>
        <v>92.388176824483381</v>
      </c>
      <c r="AE50" s="6">
        <f t="shared" si="8"/>
        <v>88.782816229116946</v>
      </c>
      <c r="AF50" s="6"/>
      <c r="AG50" s="6">
        <f t="shared" si="9"/>
        <v>75.494506913080002</v>
      </c>
      <c r="AH50" s="6">
        <f t="shared" si="2"/>
        <v>88.782816229116946</v>
      </c>
      <c r="AI50" s="6"/>
    </row>
    <row r="51" spans="3:35">
      <c r="R51" s="320">
        <f>DATE(LEFT(HAVERM!A56,4)*1,RIGHT(HAVERM!A56,2)*1,1)</f>
        <v>41609</v>
      </c>
      <c r="S51" s="6">
        <f>HAVERM!B56</f>
        <v>103.5</v>
      </c>
      <c r="T51" s="6">
        <f>HAVERM!C56</f>
        <v>40.700000000000003</v>
      </c>
      <c r="U51" s="6">
        <f>HAVERM!D56</f>
        <v>94.7</v>
      </c>
      <c r="V51" s="6">
        <f>HAVERM!E56</f>
        <v>69.3</v>
      </c>
      <c r="W51" s="6">
        <f>HAVERM!F56</f>
        <v>87.9</v>
      </c>
      <c r="X51" s="6">
        <f>HAVERM!G56</f>
        <v>86.5</v>
      </c>
      <c r="Z51" s="6">
        <f t="shared" si="4"/>
        <v>99.201277955271578</v>
      </c>
      <c r="AA51" s="6">
        <f t="shared" si="5"/>
        <v>54.230512991339111</v>
      </c>
      <c r="AB51" s="6">
        <f t="shared" si="6"/>
        <v>90.190476190476204</v>
      </c>
      <c r="AC51" s="6">
        <f t="shared" si="7"/>
        <v>75.675675675675663</v>
      </c>
      <c r="AD51" s="6">
        <f t="shared" si="8"/>
        <v>91.969657337169764</v>
      </c>
      <c r="AE51" s="6">
        <f t="shared" si="8"/>
        <v>88.475963177633815</v>
      </c>
      <c r="AF51" s="6"/>
      <c r="AG51" s="6">
        <f t="shared" si="9"/>
        <v>75.901140595949201</v>
      </c>
      <c r="AH51" s="6">
        <f t="shared" si="2"/>
        <v>88.475963177633815</v>
      </c>
      <c r="AI51" s="6"/>
    </row>
    <row r="52" spans="3:35">
      <c r="R52" s="320">
        <f>DATE(LEFT(HAVERM!A57,4)*1,RIGHT(HAVERM!A57,2)*1,1)</f>
        <v>41640</v>
      </c>
      <c r="S52" s="6">
        <f>HAVERM!B57</f>
        <v>102.9</v>
      </c>
      <c r="T52" s="6">
        <f>HAVERM!C57</f>
        <v>40.9</v>
      </c>
      <c r="U52" s="6">
        <f>HAVERM!D57</f>
        <v>93.1</v>
      </c>
      <c r="V52" s="6">
        <f>HAVERM!E57</f>
        <v>72.7</v>
      </c>
      <c r="W52" s="6">
        <f>HAVERM!F57</f>
        <v>90</v>
      </c>
      <c r="X52" s="6">
        <f>HAVERM!G57</f>
        <v>87</v>
      </c>
      <c r="Z52" s="6">
        <f t="shared" si="4"/>
        <v>98.626198083067123</v>
      </c>
      <c r="AA52" s="6">
        <f t="shared" si="5"/>
        <v>54.497001998667557</v>
      </c>
      <c r="AB52" s="6">
        <f t="shared" si="6"/>
        <v>88.666666666666657</v>
      </c>
      <c r="AC52" s="6">
        <f t="shared" si="7"/>
        <v>79.388479388479396</v>
      </c>
      <c r="AD52" s="6">
        <f t="shared" si="8"/>
        <v>94.166884645566313</v>
      </c>
      <c r="AE52" s="6">
        <f t="shared" si="8"/>
        <v>88.987384930105691</v>
      </c>
      <c r="AF52" s="6"/>
      <c r="AG52" s="6">
        <f t="shared" si="9"/>
        <v>76.502512666609604</v>
      </c>
      <c r="AH52" s="6">
        <f t="shared" si="2"/>
        <v>88.987384930105691</v>
      </c>
      <c r="AI52" s="6"/>
    </row>
    <row r="53" spans="3:35">
      <c r="R53" s="320">
        <f>DATE(LEFT(HAVERM!A58,4)*1,RIGHT(HAVERM!A58,2)*1,1)</f>
        <v>41671</v>
      </c>
      <c r="S53" s="6">
        <f>HAVERM!B58</f>
        <v>102.7</v>
      </c>
      <c r="T53" s="6">
        <f>HAVERM!C58</f>
        <v>41.4</v>
      </c>
      <c r="U53" s="6">
        <f>HAVERM!D58</f>
        <v>93.5</v>
      </c>
      <c r="V53" s="6">
        <f>HAVERM!E58</f>
        <v>71.2</v>
      </c>
      <c r="W53" s="6">
        <f>HAVERM!F58</f>
        <v>88.8</v>
      </c>
      <c r="X53" s="6">
        <f>HAVERM!G58</f>
        <v>87.5</v>
      </c>
      <c r="Z53" s="6">
        <f t="shared" si="4"/>
        <v>98.434504792332291</v>
      </c>
      <c r="AA53" s="6">
        <f t="shared" si="5"/>
        <v>55.163224516988677</v>
      </c>
      <c r="AB53" s="6">
        <f t="shared" si="6"/>
        <v>89.047619047619037</v>
      </c>
      <c r="AC53" s="6">
        <f t="shared" si="7"/>
        <v>77.750477750477756</v>
      </c>
      <c r="AD53" s="6">
        <f t="shared" si="8"/>
        <v>92.91132618362542</v>
      </c>
      <c r="AE53" s="6">
        <f t="shared" si="8"/>
        <v>89.498806682577566</v>
      </c>
      <c r="AF53" s="6"/>
      <c r="AG53" s="6">
        <f t="shared" si="9"/>
        <v>76.377088557111392</v>
      </c>
      <c r="AH53" s="6">
        <f t="shared" si="2"/>
        <v>89.498806682577566</v>
      </c>
      <c r="AI53" s="6"/>
    </row>
    <row r="54" spans="3:35">
      <c r="R54" s="320">
        <f>DATE(LEFT(HAVERM!A59,4)*1,RIGHT(HAVERM!A59,2)*1,1)</f>
        <v>41699</v>
      </c>
      <c r="S54" s="6">
        <f>HAVERM!B59</f>
        <v>102.6</v>
      </c>
      <c r="T54" s="6">
        <f>HAVERM!C59</f>
        <v>41.8</v>
      </c>
      <c r="U54" s="6">
        <f>HAVERM!D59</f>
        <v>93.4</v>
      </c>
      <c r="V54" s="6">
        <f>HAVERM!E59</f>
        <v>70.5</v>
      </c>
      <c r="W54" s="6">
        <f>HAVERM!F59</f>
        <v>88.5</v>
      </c>
      <c r="X54" s="6">
        <f>HAVERM!G59</f>
        <v>88</v>
      </c>
      <c r="Z54" s="6">
        <f t="shared" si="4"/>
        <v>98.33865814696486</v>
      </c>
      <c r="AA54" s="6">
        <f t="shared" si="5"/>
        <v>55.696202531645568</v>
      </c>
      <c r="AB54" s="6">
        <f t="shared" si="6"/>
        <v>88.952380952380963</v>
      </c>
      <c r="AC54" s="6">
        <f t="shared" si="7"/>
        <v>76.986076986076981</v>
      </c>
      <c r="AD54" s="6">
        <f t="shared" si="8"/>
        <v>92.597436568140196</v>
      </c>
      <c r="AE54" s="6">
        <f t="shared" si="8"/>
        <v>90.010228435049427</v>
      </c>
      <c r="AF54" s="6"/>
      <c r="AG54" s="6">
        <f t="shared" si="9"/>
        <v>76.392115416985959</v>
      </c>
      <c r="AH54" s="6">
        <f t="shared" si="2"/>
        <v>90.010228435049427</v>
      </c>
      <c r="AI54" s="6"/>
    </row>
    <row r="55" spans="3:35">
      <c r="R55" s="320">
        <f>DATE(LEFT(HAVERM!A60,4)*1,RIGHT(HAVERM!A60,2)*1,1)</f>
        <v>41730</v>
      </c>
      <c r="S55" s="6">
        <f>HAVERM!B60</f>
        <v>103.6</v>
      </c>
      <c r="T55" s="6">
        <f>HAVERM!C60</f>
        <v>42.2</v>
      </c>
      <c r="U55" s="6">
        <f>HAVERM!D60</f>
        <v>93.2</v>
      </c>
      <c r="V55" s="6">
        <f>HAVERM!E60</f>
        <v>72.8</v>
      </c>
      <c r="W55" s="6">
        <f>HAVERM!F60</f>
        <v>90.7</v>
      </c>
      <c r="X55" s="6">
        <f>HAVERM!G60</f>
        <v>88.1</v>
      </c>
      <c r="Z55" s="6">
        <f t="shared" si="4"/>
        <v>99.29712460063898</v>
      </c>
      <c r="AA55" s="6">
        <f t="shared" si="5"/>
        <v>56.229180546302473</v>
      </c>
      <c r="AB55" s="6">
        <f t="shared" si="6"/>
        <v>88.761904761904759</v>
      </c>
      <c r="AC55" s="6">
        <f t="shared" si="7"/>
        <v>79.497679497679499</v>
      </c>
      <c r="AD55" s="6">
        <f t="shared" si="8"/>
        <v>94.899293748365153</v>
      </c>
      <c r="AE55" s="6">
        <f t="shared" si="8"/>
        <v>90.112512785543814</v>
      </c>
      <c r="AF55" s="6"/>
      <c r="AG55" s="6">
        <f t="shared" si="9"/>
        <v>77.397636431628285</v>
      </c>
      <c r="AH55" s="6">
        <f t="shared" si="2"/>
        <v>90.112512785543814</v>
      </c>
      <c r="AI55" s="6"/>
    </row>
    <row r="56" spans="3:35">
      <c r="R56" s="320">
        <f>DATE(LEFT(HAVERM!A61,4)*1,RIGHT(HAVERM!A61,2)*1,1)</f>
        <v>41760</v>
      </c>
      <c r="S56" s="6">
        <f>HAVERM!B61</f>
        <v>102.8</v>
      </c>
      <c r="T56" s="6">
        <f>HAVERM!C61</f>
        <v>42.7</v>
      </c>
      <c r="U56" s="6">
        <f>HAVERM!D61</f>
        <v>93.8</v>
      </c>
      <c r="V56" s="6">
        <f>HAVERM!E61</f>
        <v>75</v>
      </c>
      <c r="W56" s="6">
        <f>HAVERM!F61</f>
        <v>89.4</v>
      </c>
      <c r="X56" s="6">
        <f>HAVERM!G61</f>
        <v>88.3</v>
      </c>
      <c r="Z56" s="6">
        <f t="shared" si="4"/>
        <v>98.530351437699693</v>
      </c>
      <c r="AA56" s="6">
        <f t="shared" si="5"/>
        <v>56.895403064623594</v>
      </c>
      <c r="AB56" s="6">
        <f t="shared" si="6"/>
        <v>89.333333333333329</v>
      </c>
      <c r="AC56" s="6">
        <f t="shared" si="7"/>
        <v>81.900081900081901</v>
      </c>
      <c r="AD56" s="6">
        <f t="shared" si="8"/>
        <v>93.539105414595866</v>
      </c>
      <c r="AE56" s="6">
        <f t="shared" si="8"/>
        <v>90.317081486532558</v>
      </c>
      <c r="AF56" s="6"/>
      <c r="AG56" s="6">
        <f t="shared" si="9"/>
        <v>77.791694954790046</v>
      </c>
      <c r="AH56" s="6">
        <f t="shared" si="2"/>
        <v>90.317081486532558</v>
      </c>
      <c r="AI56" s="6"/>
    </row>
    <row r="57" spans="3:35">
      <c r="R57" s="320">
        <f>DATE(LEFT(HAVERM!A62,4)*1,RIGHT(HAVERM!A62,2)*1,1)</f>
        <v>41791</v>
      </c>
      <c r="S57" s="6">
        <f>HAVERM!B62</f>
        <v>101.9</v>
      </c>
      <c r="T57" s="6">
        <f>HAVERM!C62</f>
        <v>42.9</v>
      </c>
      <c r="U57" s="6">
        <f>HAVERM!D62</f>
        <v>95.5</v>
      </c>
      <c r="V57" s="6">
        <f>HAVERM!E62</f>
        <v>75.2</v>
      </c>
      <c r="W57" s="6">
        <f>HAVERM!F62</f>
        <v>90.2</v>
      </c>
      <c r="X57" s="6">
        <f>HAVERM!G62</f>
        <v>88.6</v>
      </c>
      <c r="Z57" s="6">
        <f t="shared" si="4"/>
        <v>97.667731629392989</v>
      </c>
      <c r="AA57" s="6">
        <f t="shared" si="5"/>
        <v>57.161892071952039</v>
      </c>
      <c r="AB57" s="6">
        <f t="shared" si="6"/>
        <v>90.952380952380949</v>
      </c>
      <c r="AC57" s="6">
        <f t="shared" si="7"/>
        <v>82.11848211848212</v>
      </c>
      <c r="AD57" s="6">
        <f t="shared" si="8"/>
        <v>94.376144389223128</v>
      </c>
      <c r="AE57" s="6">
        <f t="shared" si="8"/>
        <v>90.623934538015689</v>
      </c>
      <c r="AF57" s="6"/>
      <c r="AG57" s="6">
        <f t="shared" si="9"/>
        <v>78.244746993197168</v>
      </c>
      <c r="AH57" s="6">
        <f t="shared" si="2"/>
        <v>90.623934538015689</v>
      </c>
      <c r="AI57" s="6"/>
    </row>
    <row r="58" spans="3:35">
      <c r="R58" s="320">
        <f>DATE(LEFT(HAVERM!A63,4)*1,RIGHT(HAVERM!A63,2)*1,1)</f>
        <v>41821</v>
      </c>
      <c r="S58" s="6">
        <f>HAVERM!B63</f>
        <v>104.5</v>
      </c>
      <c r="T58" s="6">
        <f>HAVERM!C63</f>
        <v>43</v>
      </c>
      <c r="U58" s="6">
        <f>HAVERM!D63</f>
        <v>96.3</v>
      </c>
      <c r="V58" s="6">
        <f>HAVERM!E63</f>
        <v>74.900000000000006</v>
      </c>
      <c r="W58" s="6">
        <f>HAVERM!F63</f>
        <v>89.8</v>
      </c>
      <c r="X58" s="6">
        <f>HAVERM!G63</f>
        <v>89.1</v>
      </c>
      <c r="Z58" s="6">
        <f t="shared" si="4"/>
        <v>100.1597444089457</v>
      </c>
      <c r="AA58" s="6">
        <f t="shared" si="5"/>
        <v>57.295136575616255</v>
      </c>
      <c r="AB58" s="6">
        <f t="shared" si="6"/>
        <v>91.714285714285708</v>
      </c>
      <c r="AC58" s="6">
        <f t="shared" si="7"/>
        <v>81.790881790881798</v>
      </c>
      <c r="AD58" s="6">
        <f t="shared" si="8"/>
        <v>93.957624901909483</v>
      </c>
      <c r="AE58" s="6">
        <f t="shared" si="8"/>
        <v>91.13535629048755</v>
      </c>
      <c r="AF58" s="6"/>
      <c r="AG58" s="6">
        <f t="shared" si="9"/>
        <v>78.662078086644996</v>
      </c>
      <c r="AH58" s="6">
        <f t="shared" si="2"/>
        <v>91.13535629048755</v>
      </c>
      <c r="AI58" s="6"/>
    </row>
    <row r="59" spans="3:35">
      <c r="R59" s="320">
        <f>DATE(LEFT(HAVERM!A64,4)*1,RIGHT(HAVERM!A64,2)*1,1)</f>
        <v>41852</v>
      </c>
      <c r="S59" s="6">
        <f>HAVERM!B64</f>
        <v>102.7</v>
      </c>
      <c r="T59" s="6">
        <f>HAVERM!C64</f>
        <v>42.5</v>
      </c>
      <c r="U59" s="6">
        <f>HAVERM!D64</f>
        <v>96.2</v>
      </c>
      <c r="V59" s="6">
        <f>HAVERM!E64</f>
        <v>74.8</v>
      </c>
      <c r="W59" s="6">
        <f>HAVERM!F64</f>
        <v>91.3</v>
      </c>
      <c r="X59" s="6">
        <f>HAVERM!G64</f>
        <v>89</v>
      </c>
      <c r="Z59" s="6">
        <f t="shared" si="4"/>
        <v>98.434504792332291</v>
      </c>
      <c r="AA59" s="6">
        <f t="shared" si="5"/>
        <v>56.628914057295141</v>
      </c>
      <c r="AB59" s="6">
        <f t="shared" si="6"/>
        <v>91.61904761904762</v>
      </c>
      <c r="AC59" s="6">
        <f t="shared" si="7"/>
        <v>81.681681681681667</v>
      </c>
      <c r="AD59" s="6">
        <f t="shared" si="8"/>
        <v>95.527072979335586</v>
      </c>
      <c r="AE59" s="6">
        <f t="shared" si="8"/>
        <v>91.033071939993178</v>
      </c>
      <c r="AF59" s="6"/>
      <c r="AG59" s="6">
        <f t="shared" si="9"/>
        <v>78.384725372875081</v>
      </c>
      <c r="AH59" s="6">
        <f t="shared" si="2"/>
        <v>91.033071939993178</v>
      </c>
      <c r="AI59" s="6"/>
    </row>
    <row r="60" spans="3:35">
      <c r="R60" s="320">
        <f>DATE(LEFT(HAVERM!A65,4)*1,RIGHT(HAVERM!A65,2)*1,1)</f>
        <v>41883</v>
      </c>
      <c r="S60" s="6">
        <f>HAVERM!B65</f>
        <v>102.7</v>
      </c>
      <c r="T60" s="6">
        <f>HAVERM!C65</f>
        <v>41.6</v>
      </c>
      <c r="U60" s="6">
        <f>HAVERM!D65</f>
        <v>94.9</v>
      </c>
      <c r="V60" s="6">
        <f>HAVERM!E65</f>
        <v>73.900000000000006</v>
      </c>
      <c r="W60" s="6">
        <f>HAVERM!F65</f>
        <v>91.1</v>
      </c>
      <c r="X60" s="6">
        <f>HAVERM!G65</f>
        <v>89.2</v>
      </c>
      <c r="Z60" s="6">
        <f t="shared" si="4"/>
        <v>98.434504792332291</v>
      </c>
      <c r="AA60" s="6">
        <f t="shared" si="5"/>
        <v>55.429713524317123</v>
      </c>
      <c r="AB60" s="6">
        <f t="shared" si="6"/>
        <v>90.38095238095238</v>
      </c>
      <c r="AC60" s="6">
        <f t="shared" si="7"/>
        <v>80.6988806988807</v>
      </c>
      <c r="AD60" s="6">
        <f t="shared" si="8"/>
        <v>95.31781323567877</v>
      </c>
      <c r="AE60" s="6">
        <f t="shared" si="8"/>
        <v>91.237640640981937</v>
      </c>
      <c r="AF60" s="6"/>
      <c r="AG60" s="6">
        <f t="shared" si="9"/>
        <v>77.520754828626991</v>
      </c>
      <c r="AH60" s="6">
        <f t="shared" si="2"/>
        <v>91.237640640981937</v>
      </c>
      <c r="AI60" s="6"/>
    </row>
    <row r="61" spans="3:35">
      <c r="R61" s="320">
        <f>DATE(LEFT(HAVERM!A66,4)*1,RIGHT(HAVERM!A66,2)*1,1)</f>
        <v>41913</v>
      </c>
      <c r="S61" s="6">
        <f>HAVERM!B66</f>
        <v>101.2</v>
      </c>
      <c r="T61" s="6">
        <f>HAVERM!C66</f>
        <v>40.4</v>
      </c>
      <c r="U61" s="6">
        <f>HAVERM!D66</f>
        <v>93.8</v>
      </c>
      <c r="V61" s="6">
        <f>HAVERM!E66</f>
        <v>76.599999999999994</v>
      </c>
      <c r="W61" s="6">
        <f>HAVERM!F66</f>
        <v>90.6</v>
      </c>
      <c r="X61" s="6">
        <f>HAVERM!G66</f>
        <v>89.6</v>
      </c>
      <c r="Z61" s="6">
        <f t="shared" si="4"/>
        <v>96.996805111821104</v>
      </c>
      <c r="AA61" s="6">
        <f t="shared" si="5"/>
        <v>53.830779480346436</v>
      </c>
      <c r="AB61" s="6">
        <f t="shared" si="6"/>
        <v>89.333333333333329</v>
      </c>
      <c r="AC61" s="6">
        <f t="shared" si="7"/>
        <v>83.647283647283643</v>
      </c>
      <c r="AD61" s="6">
        <f t="shared" si="8"/>
        <v>94.794663876536745</v>
      </c>
      <c r="AE61" s="6">
        <f t="shared" si="8"/>
        <v>91.646778042959426</v>
      </c>
      <c r="AF61" s="6"/>
      <c r="AG61" s="6">
        <f t="shared" si="9"/>
        <v>76.861221663210017</v>
      </c>
      <c r="AH61" s="6">
        <f t="shared" si="2"/>
        <v>91.646778042959426</v>
      </c>
      <c r="AI61" s="6"/>
    </row>
    <row r="62" spans="3:35">
      <c r="R62" s="320">
        <f>DATE(LEFT(HAVERM!A67,4)*1,RIGHT(HAVERM!A67,2)*1,1)</f>
        <v>41944</v>
      </c>
      <c r="S62" s="6">
        <f>HAVERM!B67</f>
        <v>105.1</v>
      </c>
      <c r="T62" s="6">
        <f>HAVERM!C67</f>
        <v>39.1</v>
      </c>
      <c r="U62" s="6">
        <f>HAVERM!D67</f>
        <v>92.4</v>
      </c>
      <c r="V62" s="6">
        <f>HAVERM!E67</f>
        <v>74.099999999999994</v>
      </c>
      <c r="W62" s="6">
        <f>HAVERM!F67</f>
        <v>92.4</v>
      </c>
      <c r="X62" s="6">
        <f>HAVERM!G67</f>
        <v>89.7</v>
      </c>
      <c r="Z62" s="6">
        <f t="shared" si="4"/>
        <v>100.73482428115017</v>
      </c>
      <c r="AA62" s="6">
        <f t="shared" si="5"/>
        <v>52.098600932711527</v>
      </c>
      <c r="AB62" s="6">
        <f t="shared" si="6"/>
        <v>88</v>
      </c>
      <c r="AC62" s="6">
        <f t="shared" si="7"/>
        <v>80.917280917280905</v>
      </c>
      <c r="AD62" s="6">
        <f t="shared" si="8"/>
        <v>96.678001569448085</v>
      </c>
      <c r="AE62" s="6">
        <f t="shared" si="8"/>
        <v>91.749062393453812</v>
      </c>
      <c r="AF62" s="6"/>
      <c r="AG62" s="6">
        <f t="shared" si="9"/>
        <v>76.34670062758461</v>
      </c>
      <c r="AH62" s="6">
        <f t="shared" si="2"/>
        <v>91.749062393453812</v>
      </c>
      <c r="AI62" s="6"/>
    </row>
    <row r="63" spans="3:35">
      <c r="R63" s="320">
        <f>DATE(LEFT(HAVERM!A68,4)*1,RIGHT(HAVERM!A68,2)*1,1)</f>
        <v>41974</v>
      </c>
      <c r="S63" s="6">
        <f>HAVERM!B68</f>
        <v>102.8</v>
      </c>
      <c r="T63" s="6">
        <f>HAVERM!C68</f>
        <v>37.6</v>
      </c>
      <c r="U63" s="6">
        <f>HAVERM!D68</f>
        <v>91.9</v>
      </c>
      <c r="V63" s="6">
        <f>HAVERM!E68</f>
        <v>74</v>
      </c>
      <c r="W63" s="6">
        <f>HAVERM!F68</f>
        <v>91.9</v>
      </c>
      <c r="X63" s="6">
        <f>HAVERM!G68</f>
        <v>89.7</v>
      </c>
      <c r="Z63" s="6">
        <f t="shared" si="4"/>
        <v>98.530351437699693</v>
      </c>
      <c r="AA63" s="6">
        <f t="shared" si="5"/>
        <v>50.099933377748172</v>
      </c>
      <c r="AB63" s="6">
        <f t="shared" si="6"/>
        <v>87.523809523809533</v>
      </c>
      <c r="AC63" s="6">
        <f t="shared" si="7"/>
        <v>80.808080808080803</v>
      </c>
      <c r="AD63" s="6">
        <f t="shared" si="8"/>
        <v>96.154852210306046</v>
      </c>
      <c r="AE63" s="6">
        <f t="shared" si="8"/>
        <v>91.749062393453812</v>
      </c>
      <c r="AF63" s="6"/>
      <c r="AG63" s="6">
        <f t="shared" si="9"/>
        <v>75.105041080432017</v>
      </c>
      <c r="AH63" s="6">
        <f t="shared" si="2"/>
        <v>91.749062393453812</v>
      </c>
      <c r="AI63" s="6"/>
    </row>
    <row r="64" spans="3:35">
      <c r="R64" s="320">
        <f>DATE(LEFT(HAVERM!A69,4)*1,RIGHT(HAVERM!A69,2)*1,1)</f>
        <v>42005</v>
      </c>
      <c r="S64" s="6">
        <f>HAVERM!B69</f>
        <v>101</v>
      </c>
      <c r="T64" s="6">
        <f>HAVERM!C69</f>
        <v>35.799999999999997</v>
      </c>
      <c r="U64" s="6">
        <f>HAVERM!D69</f>
        <v>89.9</v>
      </c>
      <c r="V64" s="6">
        <f>HAVERM!E69</f>
        <v>74.599999999999994</v>
      </c>
      <c r="W64" s="6">
        <f>HAVERM!F69</f>
        <v>93.6</v>
      </c>
      <c r="X64" s="6">
        <f>HAVERM!G69</f>
        <v>89.6</v>
      </c>
      <c r="Z64" s="6">
        <f t="shared" si="4"/>
        <v>96.805111821086271</v>
      </c>
      <c r="AA64" s="6">
        <f t="shared" si="5"/>
        <v>47.701532311792135</v>
      </c>
      <c r="AB64" s="6">
        <f t="shared" si="6"/>
        <v>85.619047619047635</v>
      </c>
      <c r="AC64" s="6">
        <f t="shared" si="7"/>
        <v>81.463281463281461</v>
      </c>
      <c r="AD64" s="6">
        <f t="shared" si="8"/>
        <v>97.93356003138895</v>
      </c>
      <c r="AE64" s="6">
        <f t="shared" si="8"/>
        <v>91.646778042959426</v>
      </c>
      <c r="AF64" s="6"/>
      <c r="AG64" s="6">
        <f t="shared" si="9"/>
        <v>73.9654881414165</v>
      </c>
      <c r="AH64" s="6">
        <f t="shared" si="2"/>
        <v>91.646778042959426</v>
      </c>
      <c r="AI64" s="6"/>
    </row>
    <row r="65" spans="18:35">
      <c r="R65" s="320">
        <f>DATE(LEFT(HAVERM!A70,4)*1,RIGHT(HAVERM!A70,2)*1,1)</f>
        <v>42036</v>
      </c>
      <c r="S65" s="6">
        <f>HAVERM!B70</f>
        <v>102.7</v>
      </c>
      <c r="T65" s="6">
        <f>HAVERM!C70</f>
        <v>34.4</v>
      </c>
      <c r="U65" s="6">
        <f>HAVERM!D70</f>
        <v>88.7</v>
      </c>
      <c r="V65" s="6">
        <f>HAVERM!E70</f>
        <v>75.400000000000006</v>
      </c>
      <c r="W65" s="6">
        <f>HAVERM!F70</f>
        <v>93.1</v>
      </c>
      <c r="X65" s="6">
        <f>HAVERM!G70</f>
        <v>89.9</v>
      </c>
      <c r="Z65" s="6">
        <f t="shared" si="4"/>
        <v>98.434504792332291</v>
      </c>
      <c r="AA65" s="6">
        <f t="shared" si="5"/>
        <v>45.836109260493004</v>
      </c>
      <c r="AB65" s="6">
        <f t="shared" si="6"/>
        <v>84.476190476190482</v>
      </c>
      <c r="AC65" s="6">
        <f t="shared" si="7"/>
        <v>82.33688233688234</v>
      </c>
      <c r="AD65" s="6">
        <f t="shared" si="8"/>
        <v>97.410410672246911</v>
      </c>
      <c r="AE65" s="6">
        <f t="shared" si="8"/>
        <v>91.953631094442557</v>
      </c>
      <c r="AF65" s="6"/>
      <c r="AG65" s="6">
        <f t="shared" si="9"/>
        <v>73.300067690071316</v>
      </c>
      <c r="AH65" s="6">
        <f t="shared" si="2"/>
        <v>91.953631094442557</v>
      </c>
      <c r="AI65" s="6"/>
    </row>
    <row r="66" spans="18:35">
      <c r="R66" s="320">
        <f>DATE(LEFT(HAVERM!A71,4)*1,RIGHT(HAVERM!A71,2)*1,1)</f>
        <v>42064</v>
      </c>
      <c r="S66" s="6">
        <f>HAVERM!B71</f>
        <v>103.4</v>
      </c>
      <c r="T66" s="6">
        <f>HAVERM!C71</f>
        <v>33.200000000000003</v>
      </c>
      <c r="U66" s="6">
        <f>HAVERM!D71</f>
        <v>87.9</v>
      </c>
      <c r="V66" s="6">
        <f>HAVERM!E71</f>
        <v>73.7</v>
      </c>
      <c r="W66" s="6">
        <f>HAVERM!F71</f>
        <v>94.5</v>
      </c>
      <c r="X66" s="6">
        <f>HAVERM!G71</f>
        <v>89.9</v>
      </c>
      <c r="Z66" s="6">
        <f t="shared" si="4"/>
        <v>99.105431309904176</v>
      </c>
      <c r="AA66" s="6">
        <f t="shared" si="5"/>
        <v>44.237175216522324</v>
      </c>
      <c r="AB66" s="6">
        <f t="shared" si="6"/>
        <v>83.714285714285722</v>
      </c>
      <c r="AC66" s="6">
        <f t="shared" si="7"/>
        <v>80.48048048048048</v>
      </c>
      <c r="AD66" s="6">
        <f t="shared" si="8"/>
        <v>98.87522887784462</v>
      </c>
      <c r="AE66" s="6">
        <f t="shared" si="8"/>
        <v>91.953631094442557</v>
      </c>
      <c r="AF66" s="6"/>
      <c r="AG66" s="6">
        <f t="shared" si="9"/>
        <v>72.595707475335985</v>
      </c>
      <c r="AH66" s="6">
        <f t="shared" si="2"/>
        <v>91.953631094442557</v>
      </c>
      <c r="AI66" s="6"/>
    </row>
    <row r="67" spans="18:35">
      <c r="R67" s="320">
        <f>DATE(LEFT(HAVERM!A72,4)*1,RIGHT(HAVERM!A72,2)*1,1)</f>
        <v>42095</v>
      </c>
      <c r="S67" s="6">
        <f>HAVERM!B72</f>
        <v>104.9</v>
      </c>
      <c r="T67" s="6">
        <f>HAVERM!C72</f>
        <v>32.700000000000003</v>
      </c>
      <c r="U67" s="6">
        <f>HAVERM!D72</f>
        <v>88.5</v>
      </c>
      <c r="V67" s="6">
        <f>HAVERM!E72</f>
        <v>75.099999999999994</v>
      </c>
      <c r="W67" s="6">
        <f>HAVERM!F72</f>
        <v>95.9</v>
      </c>
      <c r="X67" s="6">
        <f>HAVERM!G72</f>
        <v>90.4</v>
      </c>
      <c r="Z67" s="6">
        <f t="shared" si="4"/>
        <v>100.54313099041536</v>
      </c>
      <c r="AA67" s="6">
        <f t="shared" si="5"/>
        <v>43.570952698201204</v>
      </c>
      <c r="AB67" s="6">
        <f t="shared" si="6"/>
        <v>84.285714285714292</v>
      </c>
      <c r="AC67" s="6">
        <f t="shared" si="7"/>
        <v>82.009282009282003</v>
      </c>
      <c r="AD67" s="6">
        <f t="shared" si="8"/>
        <v>100.34004708344233</v>
      </c>
      <c r="AE67" s="6">
        <f t="shared" si="8"/>
        <v>92.465052846914432</v>
      </c>
      <c r="AF67" s="6"/>
      <c r="AG67" s="6">
        <f t="shared" si="9"/>
        <v>73.084805634654828</v>
      </c>
      <c r="AH67" s="6">
        <f t="shared" si="2"/>
        <v>92.465052846914432</v>
      </c>
      <c r="AI67" s="6"/>
    </row>
    <row r="68" spans="18:35">
      <c r="R68" s="320">
        <f>DATE(LEFT(HAVERM!A73,4)*1,RIGHT(HAVERM!A73,2)*1,1)</f>
        <v>42125</v>
      </c>
      <c r="S68" s="6">
        <f>HAVERM!B73</f>
        <v>101</v>
      </c>
      <c r="T68" s="6">
        <f>HAVERM!C73</f>
        <v>32.5</v>
      </c>
      <c r="U68" s="6">
        <f>HAVERM!D73</f>
        <v>85.4</v>
      </c>
      <c r="V68" s="6">
        <f>HAVERM!E73</f>
        <v>74.099999999999994</v>
      </c>
      <c r="W68" s="6">
        <f>HAVERM!F73</f>
        <v>95.2</v>
      </c>
      <c r="X68" s="6">
        <f>HAVERM!G73</f>
        <v>90.3</v>
      </c>
      <c r="Z68" s="6">
        <f t="shared" si="4"/>
        <v>96.805111821086271</v>
      </c>
      <c r="AA68" s="6">
        <f t="shared" si="5"/>
        <v>43.304463690872751</v>
      </c>
      <c r="AB68" s="6">
        <f t="shared" si="6"/>
        <v>81.333333333333329</v>
      </c>
      <c r="AC68" s="6">
        <f t="shared" si="7"/>
        <v>80.917280917280905</v>
      </c>
      <c r="AD68" s="6">
        <f t="shared" si="8"/>
        <v>99.607637980643474</v>
      </c>
      <c r="AE68" s="6">
        <f t="shared" si="8"/>
        <v>92.362768496420045</v>
      </c>
      <c r="AF68" s="6"/>
      <c r="AG68" s="6">
        <f t="shared" si="9"/>
        <v>71.655757620070332</v>
      </c>
      <c r="AH68" s="6">
        <f t="shared" ref="AH68:AH111" si="13">X68/AVERAGE(X$112:X$123)*100</f>
        <v>92.362768496420045</v>
      </c>
      <c r="AI68" s="6"/>
    </row>
    <row r="69" spans="18:35">
      <c r="R69" s="320">
        <f>DATE(LEFT(HAVERM!A74,4)*1,RIGHT(HAVERM!A74,2)*1,1)</f>
        <v>42156</v>
      </c>
      <c r="S69" s="6">
        <f>HAVERM!B74</f>
        <v>104.5</v>
      </c>
      <c r="T69" s="6">
        <f>HAVERM!C74</f>
        <v>32.700000000000003</v>
      </c>
      <c r="U69" s="6">
        <f>HAVERM!D74</f>
        <v>83.5</v>
      </c>
      <c r="V69" s="6">
        <f>HAVERM!E74</f>
        <v>73.400000000000006</v>
      </c>
      <c r="W69" s="6">
        <f>HAVERM!F74</f>
        <v>94.8</v>
      </c>
      <c r="X69" s="6">
        <f>HAVERM!G74</f>
        <v>90.2</v>
      </c>
      <c r="Z69" s="6">
        <f t="shared" ref="Z69:Z132" si="14">S69/AVERAGE(S$112:S$123)*100</f>
        <v>100.1597444089457</v>
      </c>
      <c r="AA69" s="6">
        <f t="shared" ref="AA69:AA132" si="15">T69/AVERAGE(T$112:T$123)*100</f>
        <v>43.570952698201204</v>
      </c>
      <c r="AB69" s="6">
        <f t="shared" ref="AB69:AB132" si="16">U69/AVERAGE(U$112:U$123)*100</f>
        <v>79.523809523809518</v>
      </c>
      <c r="AC69" s="6">
        <f t="shared" ref="AC69:AC132" si="17">V69/AVERAGE(V$112:V$123)*100</f>
        <v>80.152880152880158</v>
      </c>
      <c r="AD69" s="6">
        <f t="shared" ref="AD69:AE132" si="18">W69/AVERAGE(W$112:W$123)*100</f>
        <v>99.189118493329843</v>
      </c>
      <c r="AE69" s="6">
        <f t="shared" si="18"/>
        <v>92.260484145925687</v>
      </c>
      <c r="AF69" s="6"/>
      <c r="AG69" s="6">
        <f t="shared" ref="AG69:AG132" si="19">SUMPRODUCT(Z69:AD69,$Z$2:$AD$2)/SUM($Z$2:$AD$2)</f>
        <v>71.688526966536045</v>
      </c>
      <c r="AH69" s="6">
        <f t="shared" si="13"/>
        <v>92.260484145925687</v>
      </c>
      <c r="AI69" s="6"/>
    </row>
    <row r="70" spans="18:35">
      <c r="R70" s="320">
        <f>DATE(LEFT(HAVERM!A75,4)*1,RIGHT(HAVERM!A75,2)*1,1)</f>
        <v>42186</v>
      </c>
      <c r="S70" s="6">
        <f>HAVERM!B75</f>
        <v>100</v>
      </c>
      <c r="T70" s="6">
        <f>HAVERM!C75</f>
        <v>33.4</v>
      </c>
      <c r="U70" s="6">
        <f>HAVERM!D75</f>
        <v>81</v>
      </c>
      <c r="V70" s="6">
        <f>HAVERM!E75</f>
        <v>75.2</v>
      </c>
      <c r="W70" s="6">
        <f>HAVERM!F75</f>
        <v>94.7</v>
      </c>
      <c r="X70" s="6">
        <f>HAVERM!G75</f>
        <v>90.5</v>
      </c>
      <c r="Z70" s="6">
        <f t="shared" si="14"/>
        <v>95.846645367412151</v>
      </c>
      <c r="AA70" s="6">
        <f t="shared" si="15"/>
        <v>44.503664223850762</v>
      </c>
      <c r="AB70" s="6">
        <f t="shared" si="16"/>
        <v>77.142857142857153</v>
      </c>
      <c r="AC70" s="6">
        <f t="shared" si="17"/>
        <v>82.11848211848212</v>
      </c>
      <c r="AD70" s="6">
        <f t="shared" si="18"/>
        <v>99.08448862150145</v>
      </c>
      <c r="AE70" s="6">
        <f t="shared" si="18"/>
        <v>92.56733719740879</v>
      </c>
      <c r="AF70" s="6"/>
      <c r="AG70" s="6">
        <f t="shared" si="19"/>
        <v>71.280047420513398</v>
      </c>
      <c r="AH70" s="6">
        <f t="shared" si="13"/>
        <v>92.56733719740879</v>
      </c>
      <c r="AI70" s="6"/>
    </row>
    <row r="71" spans="18:35">
      <c r="R71" s="320">
        <f>DATE(LEFT(HAVERM!A76,4)*1,RIGHT(HAVERM!A76,2)*1,1)</f>
        <v>42217</v>
      </c>
      <c r="S71" s="6">
        <f>HAVERM!B76</f>
        <v>101.8</v>
      </c>
      <c r="T71" s="6">
        <f>HAVERM!C76</f>
        <v>34.200000000000003</v>
      </c>
      <c r="U71" s="6">
        <f>HAVERM!D76</f>
        <v>81.900000000000006</v>
      </c>
      <c r="V71" s="6">
        <f>HAVERM!E76</f>
        <v>75.8</v>
      </c>
      <c r="W71" s="6">
        <f>HAVERM!F76</f>
        <v>93.1</v>
      </c>
      <c r="X71" s="6">
        <f>HAVERM!G76</f>
        <v>90.5</v>
      </c>
      <c r="Z71" s="6">
        <f t="shared" si="14"/>
        <v>97.571884984025573</v>
      </c>
      <c r="AA71" s="6">
        <f t="shared" si="15"/>
        <v>45.569620253164558</v>
      </c>
      <c r="AB71" s="6">
        <f t="shared" si="16"/>
        <v>78</v>
      </c>
      <c r="AC71" s="6">
        <f t="shared" si="17"/>
        <v>82.773682773682765</v>
      </c>
      <c r="AD71" s="6">
        <f t="shared" si="18"/>
        <v>97.410410672246911</v>
      </c>
      <c r="AE71" s="6">
        <f t="shared" si="18"/>
        <v>92.56733719740879</v>
      </c>
      <c r="AF71" s="6"/>
      <c r="AG71" s="6">
        <f t="shared" si="19"/>
        <v>71.916121566466501</v>
      </c>
      <c r="AH71" s="6">
        <f t="shared" si="13"/>
        <v>92.56733719740879</v>
      </c>
      <c r="AI71" s="6"/>
    </row>
    <row r="72" spans="18:35">
      <c r="R72" s="320">
        <f>DATE(LEFT(HAVERM!A77,4)*1,RIGHT(HAVERM!A77,2)*1,1)</f>
        <v>42248</v>
      </c>
      <c r="S72" s="6">
        <f>HAVERM!B77</f>
        <v>102.3</v>
      </c>
      <c r="T72" s="6">
        <f>HAVERM!C77</f>
        <v>35.299999999999997</v>
      </c>
      <c r="U72" s="6">
        <f>HAVERM!D77</f>
        <v>81.5</v>
      </c>
      <c r="V72" s="6">
        <f>HAVERM!E77</f>
        <v>73.3</v>
      </c>
      <c r="W72" s="6">
        <f>HAVERM!F77</f>
        <v>93</v>
      </c>
      <c r="X72" s="6">
        <f>HAVERM!G77</f>
        <v>90.6</v>
      </c>
      <c r="Z72" s="6">
        <f t="shared" si="14"/>
        <v>98.051118210862626</v>
      </c>
      <c r="AA72" s="6">
        <f t="shared" si="15"/>
        <v>47.035309793471022</v>
      </c>
      <c r="AB72" s="6">
        <f t="shared" si="16"/>
        <v>77.61904761904762</v>
      </c>
      <c r="AC72" s="6">
        <f t="shared" si="17"/>
        <v>80.043680043680041</v>
      </c>
      <c r="AD72" s="6">
        <f t="shared" si="18"/>
        <v>97.305780800418518</v>
      </c>
      <c r="AE72" s="6">
        <f t="shared" si="18"/>
        <v>92.669621547903176</v>
      </c>
      <c r="AF72" s="6"/>
      <c r="AG72" s="6">
        <f t="shared" si="19"/>
        <v>72.060685861045201</v>
      </c>
      <c r="AH72" s="6">
        <f t="shared" si="13"/>
        <v>92.669621547903176</v>
      </c>
      <c r="AI72" s="6"/>
    </row>
    <row r="73" spans="18:35">
      <c r="R73" s="320">
        <f>DATE(LEFT(HAVERM!A78,4)*1,RIGHT(HAVERM!A78,2)*1,1)</f>
        <v>42278</v>
      </c>
      <c r="S73" s="6">
        <f>HAVERM!B78</f>
        <v>100.5</v>
      </c>
      <c r="T73" s="6">
        <f>HAVERM!C78</f>
        <v>37.299999999999997</v>
      </c>
      <c r="U73" s="6">
        <f>HAVERM!D78</f>
        <v>82.6</v>
      </c>
      <c r="V73" s="6">
        <f>HAVERM!E78</f>
        <v>74.3</v>
      </c>
      <c r="W73" s="6">
        <f>HAVERM!F78</f>
        <v>94.6</v>
      </c>
      <c r="X73" s="6">
        <f>HAVERM!G78</f>
        <v>91</v>
      </c>
      <c r="Z73" s="6">
        <f t="shared" si="14"/>
        <v>96.325878594249218</v>
      </c>
      <c r="AA73" s="6">
        <f t="shared" si="15"/>
        <v>49.700199866755497</v>
      </c>
      <c r="AB73" s="6">
        <f t="shared" si="16"/>
        <v>78.666666666666657</v>
      </c>
      <c r="AC73" s="6">
        <f t="shared" si="17"/>
        <v>81.135681135681125</v>
      </c>
      <c r="AD73" s="6">
        <f t="shared" si="18"/>
        <v>98.979858749673028</v>
      </c>
      <c r="AE73" s="6">
        <f t="shared" si="18"/>
        <v>93.078758949880665</v>
      </c>
      <c r="AF73" s="6"/>
      <c r="AG73" s="6">
        <f t="shared" si="19"/>
        <v>73.456275316954901</v>
      </c>
      <c r="AH73" s="6">
        <f t="shared" si="13"/>
        <v>93.078758949880665</v>
      </c>
      <c r="AI73" s="6"/>
    </row>
    <row r="74" spans="18:35">
      <c r="R74" s="320">
        <f>DATE(LEFT(HAVERM!A79,4)*1,RIGHT(HAVERM!A79,2)*1,1)</f>
        <v>42309</v>
      </c>
      <c r="S74" s="6">
        <f>HAVERM!B79</f>
        <v>99.4</v>
      </c>
      <c r="T74" s="6">
        <f>HAVERM!C79</f>
        <v>38.9</v>
      </c>
      <c r="U74" s="6">
        <f>HAVERM!D79</f>
        <v>84.1</v>
      </c>
      <c r="V74" s="6">
        <f>HAVERM!E79</f>
        <v>76.2</v>
      </c>
      <c r="W74" s="6">
        <f>HAVERM!F79</f>
        <v>93.4</v>
      </c>
      <c r="X74" s="6">
        <f>HAVERM!G79</f>
        <v>90.8</v>
      </c>
      <c r="Z74" s="6">
        <f t="shared" si="14"/>
        <v>95.271565495207682</v>
      </c>
      <c r="AA74" s="6">
        <f t="shared" si="15"/>
        <v>51.832111925383074</v>
      </c>
      <c r="AB74" s="6">
        <f t="shared" si="16"/>
        <v>80.095238095238088</v>
      </c>
      <c r="AC74" s="6">
        <f t="shared" si="17"/>
        <v>83.210483210483204</v>
      </c>
      <c r="AD74" s="6">
        <f t="shared" si="18"/>
        <v>97.724300287732149</v>
      </c>
      <c r="AE74" s="6">
        <f t="shared" si="18"/>
        <v>92.874190248891921</v>
      </c>
      <c r="AF74" s="6"/>
      <c r="AG74" s="6">
        <f t="shared" si="19"/>
        <v>74.502194636863663</v>
      </c>
      <c r="AH74" s="6">
        <f t="shared" si="13"/>
        <v>92.874190248891921</v>
      </c>
      <c r="AI74" s="6"/>
    </row>
    <row r="75" spans="18:35">
      <c r="R75" s="320">
        <f>DATE(LEFT(HAVERM!A80,4)*1,RIGHT(HAVERM!A80,2)*1,1)</f>
        <v>42339</v>
      </c>
      <c r="S75" s="6">
        <f>HAVERM!B80</f>
        <v>97.6</v>
      </c>
      <c r="T75" s="6">
        <f>HAVERM!C80</f>
        <v>40.4</v>
      </c>
      <c r="U75" s="6">
        <f>HAVERM!D80</f>
        <v>84.6</v>
      </c>
      <c r="V75" s="6">
        <f>HAVERM!E80</f>
        <v>76.5</v>
      </c>
      <c r="W75" s="6">
        <f>HAVERM!F80</f>
        <v>96</v>
      </c>
      <c r="X75" s="6">
        <f>HAVERM!G80</f>
        <v>91.1</v>
      </c>
      <c r="Z75" s="6">
        <f t="shared" si="14"/>
        <v>93.54632587859426</v>
      </c>
      <c r="AA75" s="6">
        <f t="shared" si="15"/>
        <v>53.830779480346436</v>
      </c>
      <c r="AB75" s="6">
        <f t="shared" si="16"/>
        <v>80.571428571428555</v>
      </c>
      <c r="AC75" s="6">
        <f t="shared" si="17"/>
        <v>83.538083538083541</v>
      </c>
      <c r="AD75" s="6">
        <f t="shared" si="18"/>
        <v>100.44467695527072</v>
      </c>
      <c r="AE75" s="6">
        <f t="shared" si="18"/>
        <v>93.181043300375038</v>
      </c>
      <c r="AF75" s="6"/>
      <c r="AG75" s="6">
        <f t="shared" si="19"/>
        <v>75.586829393160301</v>
      </c>
      <c r="AH75" s="6">
        <f t="shared" si="13"/>
        <v>93.181043300375038</v>
      </c>
      <c r="AI75" s="6"/>
    </row>
    <row r="76" spans="18:35">
      <c r="R76" s="320">
        <f>DATE(LEFT(HAVERM!A81,4)*1,RIGHT(HAVERM!A81,2)*1,1)</f>
        <v>42370</v>
      </c>
      <c r="S76" s="6">
        <f>HAVERM!B81</f>
        <v>103.4</v>
      </c>
      <c r="T76" s="6">
        <f>HAVERM!C81</f>
        <v>41.7</v>
      </c>
      <c r="U76" s="6">
        <f>HAVERM!D81</f>
        <v>84.9</v>
      </c>
      <c r="V76" s="6">
        <f>HAVERM!E81</f>
        <v>76.5</v>
      </c>
      <c r="W76" s="6">
        <f>HAVERM!F81</f>
        <v>94.6</v>
      </c>
      <c r="X76" s="6">
        <f>HAVERM!G81</f>
        <v>91.2</v>
      </c>
      <c r="Z76" s="6">
        <f t="shared" si="14"/>
        <v>99.105431309904176</v>
      </c>
      <c r="AA76" s="6">
        <f t="shared" si="15"/>
        <v>55.562958027981345</v>
      </c>
      <c r="AB76" s="6">
        <f t="shared" si="16"/>
        <v>80.857142857142861</v>
      </c>
      <c r="AC76" s="6">
        <f t="shared" si="17"/>
        <v>83.538083538083541</v>
      </c>
      <c r="AD76" s="6">
        <f t="shared" si="18"/>
        <v>98.979858749673028</v>
      </c>
      <c r="AE76" s="6">
        <f t="shared" si="18"/>
        <v>93.283327650869424</v>
      </c>
      <c r="AF76" s="6"/>
      <c r="AG76" s="6">
        <f t="shared" si="19"/>
        <v>76.818693591834801</v>
      </c>
      <c r="AH76" s="6">
        <f t="shared" si="13"/>
        <v>93.283327650869424</v>
      </c>
      <c r="AI76" s="6"/>
    </row>
    <row r="77" spans="18:35">
      <c r="R77" s="320">
        <f>DATE(LEFT(HAVERM!A82,4)*1,RIGHT(HAVERM!A82,2)*1,1)</f>
        <v>42401</v>
      </c>
      <c r="S77" s="6">
        <f>HAVERM!B82</f>
        <v>104.6</v>
      </c>
      <c r="T77" s="6">
        <f>HAVERM!C82</f>
        <v>42.5</v>
      </c>
      <c r="U77" s="6">
        <f>HAVERM!D82</f>
        <v>86.4</v>
      </c>
      <c r="V77" s="6">
        <f>HAVERM!E82</f>
        <v>79.3</v>
      </c>
      <c r="W77" s="6">
        <f>HAVERM!F82</f>
        <v>94</v>
      </c>
      <c r="X77" s="6">
        <f>HAVERM!G82</f>
        <v>91.4</v>
      </c>
      <c r="Z77" s="6">
        <f t="shared" si="14"/>
        <v>100.25559105431311</v>
      </c>
      <c r="AA77" s="6">
        <f t="shared" si="15"/>
        <v>56.628914057295141</v>
      </c>
      <c r="AB77" s="6">
        <f t="shared" si="16"/>
        <v>82.285714285714292</v>
      </c>
      <c r="AC77" s="6">
        <f t="shared" si="17"/>
        <v>86.595686595686601</v>
      </c>
      <c r="AD77" s="6">
        <f t="shared" si="18"/>
        <v>98.352079518702581</v>
      </c>
      <c r="AE77" s="6">
        <f t="shared" si="18"/>
        <v>93.487896351858168</v>
      </c>
      <c r="AF77" s="6"/>
      <c r="AG77" s="6">
        <f t="shared" si="19"/>
        <v>77.989299985719796</v>
      </c>
      <c r="AH77" s="6">
        <f t="shared" si="13"/>
        <v>93.487896351858168</v>
      </c>
      <c r="AI77" s="6"/>
    </row>
    <row r="78" spans="18:35">
      <c r="R78" s="320">
        <f>DATE(LEFT(HAVERM!A83,4)*1,RIGHT(HAVERM!A83,2)*1,1)</f>
        <v>42430</v>
      </c>
      <c r="S78" s="6">
        <f>HAVERM!B83</f>
        <v>102.6</v>
      </c>
      <c r="T78" s="6">
        <f>HAVERM!C83</f>
        <v>42.9</v>
      </c>
      <c r="U78" s="6">
        <f>HAVERM!D83</f>
        <v>88.3</v>
      </c>
      <c r="V78" s="6">
        <f>HAVERM!E83</f>
        <v>79.900000000000006</v>
      </c>
      <c r="W78" s="6">
        <f>HAVERM!F83</f>
        <v>93.4</v>
      </c>
      <c r="X78" s="6">
        <f>HAVERM!G83</f>
        <v>91.6</v>
      </c>
      <c r="Z78" s="6">
        <f t="shared" si="14"/>
        <v>98.33865814696486</v>
      </c>
      <c r="AA78" s="6">
        <f t="shared" si="15"/>
        <v>57.161892071952039</v>
      </c>
      <c r="AB78" s="6">
        <f t="shared" si="16"/>
        <v>84.095238095238088</v>
      </c>
      <c r="AC78" s="6">
        <f t="shared" si="17"/>
        <v>87.25088725088726</v>
      </c>
      <c r="AD78" s="6">
        <f t="shared" si="18"/>
        <v>97.724300287732149</v>
      </c>
      <c r="AE78" s="6">
        <f t="shared" si="18"/>
        <v>93.692465052846913</v>
      </c>
      <c r="AF78" s="6"/>
      <c r="AG78" s="6">
        <f t="shared" si="19"/>
        <v>78.277143191543075</v>
      </c>
      <c r="AH78" s="6">
        <f t="shared" si="13"/>
        <v>93.692465052846913</v>
      </c>
      <c r="AI78" s="6"/>
    </row>
    <row r="79" spans="18:35">
      <c r="R79" s="320">
        <f>DATE(LEFT(HAVERM!A84,4)*1,RIGHT(HAVERM!A84,2)*1,1)</f>
        <v>42461</v>
      </c>
      <c r="S79" s="6">
        <f>HAVERM!B84</f>
        <v>103.1</v>
      </c>
      <c r="T79" s="6">
        <f>HAVERM!C84</f>
        <v>42.6</v>
      </c>
      <c r="U79" s="6">
        <f>HAVERM!D84</f>
        <v>90.1</v>
      </c>
      <c r="V79" s="6">
        <f>HAVERM!E84</f>
        <v>79.900000000000006</v>
      </c>
      <c r="W79" s="6">
        <f>HAVERM!F84</f>
        <v>93.3</v>
      </c>
      <c r="X79" s="6">
        <f>HAVERM!G84</f>
        <v>92.1</v>
      </c>
      <c r="Z79" s="6">
        <f t="shared" si="14"/>
        <v>98.817891373801928</v>
      </c>
      <c r="AA79" s="6">
        <f t="shared" si="15"/>
        <v>56.762158560959364</v>
      </c>
      <c r="AB79" s="6">
        <f t="shared" si="16"/>
        <v>85.809523809523796</v>
      </c>
      <c r="AC79" s="6">
        <f t="shared" si="17"/>
        <v>87.25088725088726</v>
      </c>
      <c r="AD79" s="6">
        <f t="shared" si="18"/>
        <v>97.619670415903741</v>
      </c>
      <c r="AE79" s="6">
        <f t="shared" si="18"/>
        <v>94.203886805318788</v>
      </c>
      <c r="AF79" s="6"/>
      <c r="AG79" s="6">
        <f t="shared" si="19"/>
        <v>78.498339676869705</v>
      </c>
      <c r="AH79" s="6">
        <f t="shared" si="13"/>
        <v>94.203886805318788</v>
      </c>
      <c r="AI79" s="6"/>
    </row>
    <row r="80" spans="18:35">
      <c r="R80" s="320">
        <f>DATE(LEFT(HAVERM!A85,4)*1,RIGHT(HAVERM!A85,2)*1,1)</f>
        <v>42491</v>
      </c>
      <c r="S80" s="6">
        <f>HAVERM!B85</f>
        <v>103.3</v>
      </c>
      <c r="T80" s="6">
        <f>HAVERM!C85</f>
        <v>42.7</v>
      </c>
      <c r="U80" s="6">
        <f>HAVERM!D85</f>
        <v>93.9</v>
      </c>
      <c r="V80" s="6">
        <f>HAVERM!E85</f>
        <v>82.8</v>
      </c>
      <c r="W80" s="6">
        <f>HAVERM!F85</f>
        <v>93</v>
      </c>
      <c r="X80" s="6">
        <f>HAVERM!G85</f>
        <v>91.9</v>
      </c>
      <c r="Z80" s="6">
        <f t="shared" si="14"/>
        <v>99.00958466453676</v>
      </c>
      <c r="AA80" s="6">
        <f t="shared" si="15"/>
        <v>56.895403064623594</v>
      </c>
      <c r="AB80" s="6">
        <f t="shared" si="16"/>
        <v>89.428571428571431</v>
      </c>
      <c r="AC80" s="6">
        <f t="shared" si="17"/>
        <v>90.417690417690409</v>
      </c>
      <c r="AD80" s="6">
        <f t="shared" si="18"/>
        <v>97.305780800418518</v>
      </c>
      <c r="AE80" s="6">
        <f t="shared" si="18"/>
        <v>93.999318104330044</v>
      </c>
      <c r="AF80" s="6"/>
      <c r="AG80" s="6">
        <f t="shared" si="19"/>
        <v>79.665272095601495</v>
      </c>
      <c r="AH80" s="6">
        <f t="shared" si="13"/>
        <v>93.999318104330044</v>
      </c>
      <c r="AI80" s="6"/>
    </row>
    <row r="81" spans="18:35">
      <c r="R81" s="320">
        <f>DATE(LEFT(HAVERM!A86,4)*1,RIGHT(HAVERM!A86,2)*1,1)</f>
        <v>42522</v>
      </c>
      <c r="S81" s="6">
        <f>HAVERM!B86</f>
        <v>102.8</v>
      </c>
      <c r="T81" s="6">
        <f>HAVERM!C86</f>
        <v>42.3</v>
      </c>
      <c r="U81" s="6">
        <f>HAVERM!D86</f>
        <v>95.5</v>
      </c>
      <c r="V81" s="6">
        <f>HAVERM!E86</f>
        <v>82</v>
      </c>
      <c r="W81" s="6">
        <f>HAVERM!F86</f>
        <v>92.3</v>
      </c>
      <c r="X81" s="6">
        <f>HAVERM!G86</f>
        <v>92.1</v>
      </c>
      <c r="Z81" s="6">
        <f t="shared" si="14"/>
        <v>98.530351437699693</v>
      </c>
      <c r="AA81" s="6">
        <f t="shared" si="15"/>
        <v>56.362425049966689</v>
      </c>
      <c r="AB81" s="6">
        <f t="shared" si="16"/>
        <v>90.952380952380949</v>
      </c>
      <c r="AC81" s="6">
        <f t="shared" si="17"/>
        <v>89.544089544089545</v>
      </c>
      <c r="AD81" s="6">
        <f t="shared" si="18"/>
        <v>96.573371697619663</v>
      </c>
      <c r="AE81" s="6">
        <f t="shared" si="18"/>
        <v>94.203886805318788</v>
      </c>
      <c r="AF81" s="6"/>
      <c r="AG81" s="6">
        <f t="shared" si="19"/>
        <v>79.4508498807363</v>
      </c>
      <c r="AH81" s="6">
        <f t="shared" si="13"/>
        <v>94.203886805318788</v>
      </c>
      <c r="AI81" s="6"/>
    </row>
    <row r="82" spans="18:35">
      <c r="R82" s="320">
        <f>DATE(LEFT(HAVERM!A87,4)*1,RIGHT(HAVERM!A87,2)*1,1)</f>
        <v>42552</v>
      </c>
      <c r="S82" s="6">
        <f>HAVERM!B87</f>
        <v>103.6</v>
      </c>
      <c r="T82" s="6">
        <f>HAVERM!C87</f>
        <v>41.7</v>
      </c>
      <c r="U82" s="6">
        <f>HAVERM!D87</f>
        <v>94.8</v>
      </c>
      <c r="V82" s="6">
        <f>HAVERM!E87</f>
        <v>82</v>
      </c>
      <c r="W82" s="6">
        <f>HAVERM!F87</f>
        <v>92.5</v>
      </c>
      <c r="X82" s="6">
        <f>HAVERM!G87</f>
        <v>92.2</v>
      </c>
      <c r="Z82" s="6">
        <f t="shared" si="14"/>
        <v>99.29712460063898</v>
      </c>
      <c r="AA82" s="6">
        <f t="shared" si="15"/>
        <v>55.562958027981345</v>
      </c>
      <c r="AB82" s="6">
        <f t="shared" si="16"/>
        <v>90.285714285714278</v>
      </c>
      <c r="AC82" s="6">
        <f t="shared" si="17"/>
        <v>89.544089544089545</v>
      </c>
      <c r="AD82" s="6">
        <f t="shared" si="18"/>
        <v>96.782631441276479</v>
      </c>
      <c r="AE82" s="6">
        <f t="shared" si="18"/>
        <v>94.306171155813161</v>
      </c>
      <c r="AF82" s="6"/>
      <c r="AG82" s="6">
        <f t="shared" si="19"/>
        <v>79.154239143724141</v>
      </c>
      <c r="AH82" s="6">
        <f t="shared" si="13"/>
        <v>94.306171155813161</v>
      </c>
      <c r="AI82" s="6"/>
    </row>
    <row r="83" spans="18:35">
      <c r="R83" s="320">
        <f>DATE(LEFT(HAVERM!A88,4)*1,RIGHT(HAVERM!A88,2)*1,1)</f>
        <v>42583</v>
      </c>
      <c r="S83" s="6">
        <f>HAVERM!B88</f>
        <v>103.1</v>
      </c>
      <c r="T83" s="6">
        <f>HAVERM!C88</f>
        <v>41.8</v>
      </c>
      <c r="U83" s="6">
        <f>HAVERM!D88</f>
        <v>95</v>
      </c>
      <c r="V83" s="6">
        <f>HAVERM!E88</f>
        <v>82.9</v>
      </c>
      <c r="W83" s="6">
        <f>HAVERM!F88</f>
        <v>91.8</v>
      </c>
      <c r="X83" s="6">
        <f>HAVERM!G88</f>
        <v>92.4</v>
      </c>
      <c r="Z83" s="6">
        <f t="shared" si="14"/>
        <v>98.817891373801928</v>
      </c>
      <c r="AA83" s="6">
        <f t="shared" si="15"/>
        <v>55.696202531645568</v>
      </c>
      <c r="AB83" s="6">
        <f t="shared" si="16"/>
        <v>90.476190476190482</v>
      </c>
      <c r="AC83" s="6">
        <f t="shared" si="17"/>
        <v>90.52689052689054</v>
      </c>
      <c r="AD83" s="6">
        <f t="shared" si="18"/>
        <v>96.050222338477624</v>
      </c>
      <c r="AE83" s="6">
        <f t="shared" si="18"/>
        <v>94.510739856801919</v>
      </c>
      <c r="AF83" s="6"/>
      <c r="AG83" s="6">
        <f t="shared" si="19"/>
        <v>79.205113860292869</v>
      </c>
      <c r="AH83" s="6">
        <f t="shared" si="13"/>
        <v>94.510739856801919</v>
      </c>
      <c r="AI83" s="6"/>
    </row>
    <row r="84" spans="18:35">
      <c r="R84" s="320">
        <f>DATE(LEFT(HAVERM!A89,4)*1,RIGHT(HAVERM!A89,2)*1,1)</f>
        <v>42614</v>
      </c>
      <c r="S84" s="6">
        <f>HAVERM!B89</f>
        <v>101</v>
      </c>
      <c r="T84" s="6">
        <f>HAVERM!C89</f>
        <v>42.5</v>
      </c>
      <c r="U84" s="6">
        <f>HAVERM!D89</f>
        <v>94.6</v>
      </c>
      <c r="V84" s="6">
        <f>HAVERM!E89</f>
        <v>81.7</v>
      </c>
      <c r="W84" s="6">
        <f>HAVERM!F89</f>
        <v>92.1</v>
      </c>
      <c r="X84" s="6">
        <f>HAVERM!G89</f>
        <v>92.9</v>
      </c>
      <c r="Z84" s="6">
        <f t="shared" si="14"/>
        <v>96.805111821086271</v>
      </c>
      <c r="AA84" s="6">
        <f t="shared" si="15"/>
        <v>56.628914057295141</v>
      </c>
      <c r="AB84" s="6">
        <f t="shared" si="16"/>
        <v>90.095238095238102</v>
      </c>
      <c r="AC84" s="6">
        <f t="shared" si="17"/>
        <v>89.216489216489208</v>
      </c>
      <c r="AD84" s="6">
        <f t="shared" si="18"/>
        <v>96.364111953962848</v>
      </c>
      <c r="AE84" s="6">
        <f t="shared" si="18"/>
        <v>95.022161609273795</v>
      </c>
      <c r="AF84" s="6"/>
      <c r="AG84" s="6">
        <f t="shared" si="19"/>
        <v>79.080474397476451</v>
      </c>
      <c r="AH84" s="6">
        <f t="shared" si="13"/>
        <v>95.022161609273795</v>
      </c>
      <c r="AI84" s="6"/>
    </row>
    <row r="85" spans="18:35">
      <c r="R85" s="320">
        <f>DATE(LEFT(HAVERM!A90,4)*1,RIGHT(HAVERM!A90,2)*1,1)</f>
        <v>42644</v>
      </c>
      <c r="S85" s="6">
        <f>HAVERM!B90</f>
        <v>99.2</v>
      </c>
      <c r="T85" s="6">
        <f>HAVERM!C90</f>
        <v>42.3</v>
      </c>
      <c r="U85" s="6">
        <f>HAVERM!D90</f>
        <v>91</v>
      </c>
      <c r="V85" s="6">
        <f>HAVERM!E90</f>
        <v>82.9</v>
      </c>
      <c r="W85" s="6">
        <f>HAVERM!F90</f>
        <v>90.8</v>
      </c>
      <c r="X85" s="6">
        <f>HAVERM!G90</f>
        <v>92.7</v>
      </c>
      <c r="Z85" s="6">
        <f t="shared" si="14"/>
        <v>95.079872204472863</v>
      </c>
      <c r="AA85" s="6">
        <f t="shared" si="15"/>
        <v>56.362425049966689</v>
      </c>
      <c r="AB85" s="6">
        <f t="shared" si="16"/>
        <v>86.666666666666671</v>
      </c>
      <c r="AC85" s="6">
        <f t="shared" si="17"/>
        <v>90.52689052689054</v>
      </c>
      <c r="AD85" s="6">
        <f t="shared" si="18"/>
        <v>95.003923620193561</v>
      </c>
      <c r="AE85" s="6">
        <f t="shared" si="18"/>
        <v>94.817592908285036</v>
      </c>
      <c r="AF85" s="6"/>
      <c r="AG85" s="6">
        <f t="shared" si="19"/>
        <v>78.076185788133529</v>
      </c>
      <c r="AH85" s="6">
        <f t="shared" si="13"/>
        <v>94.817592908285036</v>
      </c>
      <c r="AI85" s="6"/>
    </row>
    <row r="86" spans="18:35">
      <c r="R86" s="320">
        <f>DATE(LEFT(HAVERM!A91,4)*1,RIGHT(HAVERM!A91,2)*1,1)</f>
        <v>42675</v>
      </c>
      <c r="S86" s="6">
        <f>HAVERM!B91</f>
        <v>101.9</v>
      </c>
      <c r="T86" s="6">
        <f>HAVERM!C91</f>
        <v>44.3</v>
      </c>
      <c r="U86" s="6">
        <f>HAVERM!D91</f>
        <v>91.5</v>
      </c>
      <c r="V86" s="6">
        <f>HAVERM!E91</f>
        <v>81.5</v>
      </c>
      <c r="W86" s="6">
        <f>HAVERM!F91</f>
        <v>91.2</v>
      </c>
      <c r="X86" s="6">
        <f>HAVERM!G91</f>
        <v>93.1</v>
      </c>
      <c r="Z86" s="6">
        <f t="shared" si="14"/>
        <v>97.667731629392989</v>
      </c>
      <c r="AA86" s="6">
        <f t="shared" si="15"/>
        <v>59.027315123251171</v>
      </c>
      <c r="AB86" s="6">
        <f t="shared" si="16"/>
        <v>87.142857142857139</v>
      </c>
      <c r="AC86" s="6">
        <f t="shared" si="17"/>
        <v>88.998088998089003</v>
      </c>
      <c r="AD86" s="6">
        <f t="shared" si="18"/>
        <v>95.422443107507192</v>
      </c>
      <c r="AE86" s="6">
        <f t="shared" si="18"/>
        <v>95.226730310262525</v>
      </c>
      <c r="AF86" s="6"/>
      <c r="AG86" s="6">
        <f t="shared" si="19"/>
        <v>79.373173793583206</v>
      </c>
      <c r="AH86" s="6">
        <f t="shared" si="13"/>
        <v>95.226730310262525</v>
      </c>
      <c r="AI86" s="6"/>
    </row>
    <row r="87" spans="18:35">
      <c r="R87" s="320">
        <f>DATE(LEFT(HAVERM!A92,4)*1,RIGHT(HAVERM!A92,2)*1,1)</f>
        <v>42705</v>
      </c>
      <c r="S87" s="6">
        <f>HAVERM!B92</f>
        <v>106</v>
      </c>
      <c r="T87" s="6">
        <f>HAVERM!C92</f>
        <v>46.4</v>
      </c>
      <c r="U87" s="6">
        <f>HAVERM!D92</f>
        <v>91.1</v>
      </c>
      <c r="V87" s="6">
        <f>HAVERM!E92</f>
        <v>80.400000000000006</v>
      </c>
      <c r="W87" s="6">
        <f>HAVERM!F92</f>
        <v>94.4</v>
      </c>
      <c r="X87" s="6">
        <f>HAVERM!G92</f>
        <v>93.7</v>
      </c>
      <c r="Z87" s="6">
        <f t="shared" si="14"/>
        <v>101.59744408945687</v>
      </c>
      <c r="AA87" s="6">
        <f t="shared" si="15"/>
        <v>61.825449700199862</v>
      </c>
      <c r="AB87" s="6">
        <f t="shared" si="16"/>
        <v>86.761904761904745</v>
      </c>
      <c r="AC87" s="6">
        <f t="shared" si="17"/>
        <v>87.796887796887802</v>
      </c>
      <c r="AD87" s="6">
        <f t="shared" si="18"/>
        <v>98.770599006016226</v>
      </c>
      <c r="AE87" s="6">
        <f t="shared" si="18"/>
        <v>95.840436413228787</v>
      </c>
      <c r="AF87" s="6"/>
      <c r="AG87" s="6">
        <f t="shared" si="19"/>
        <v>81.232799709656561</v>
      </c>
      <c r="AH87" s="6">
        <f t="shared" si="13"/>
        <v>95.840436413228787</v>
      </c>
      <c r="AI87" s="6"/>
    </row>
    <row r="88" spans="18:35">
      <c r="R88" s="320">
        <f>DATE(LEFT(HAVERM!A93,4)*1,RIGHT(HAVERM!A93,2)*1,1)</f>
        <v>42736</v>
      </c>
      <c r="S88" s="6">
        <f>HAVERM!B93</f>
        <v>100.7</v>
      </c>
      <c r="T88" s="6">
        <f>HAVERM!C93</f>
        <v>48.3</v>
      </c>
      <c r="U88" s="6">
        <f>HAVERM!D93</f>
        <v>92.5</v>
      </c>
      <c r="V88" s="6">
        <f>HAVERM!E93</f>
        <v>78.2</v>
      </c>
      <c r="W88" s="6">
        <f>HAVERM!F93</f>
        <v>95.6</v>
      </c>
      <c r="X88" s="6">
        <f>HAVERM!G93</f>
        <v>93.9</v>
      </c>
      <c r="Z88" s="6">
        <f t="shared" si="14"/>
        <v>96.517571884984051</v>
      </c>
      <c r="AA88" s="6">
        <f t="shared" si="15"/>
        <v>64.357095269820121</v>
      </c>
      <c r="AB88" s="6">
        <f t="shared" si="16"/>
        <v>88.095238095238088</v>
      </c>
      <c r="AC88" s="6">
        <f t="shared" si="17"/>
        <v>85.3944853944854</v>
      </c>
      <c r="AD88" s="6">
        <f t="shared" si="18"/>
        <v>100.02615746795709</v>
      </c>
      <c r="AE88" s="6">
        <f t="shared" si="18"/>
        <v>96.045005114217531</v>
      </c>
      <c r="AF88" s="6"/>
      <c r="AG88" s="6">
        <f t="shared" si="19"/>
        <v>81.621570521083314</v>
      </c>
      <c r="AH88" s="6">
        <f t="shared" si="13"/>
        <v>96.045005114217531</v>
      </c>
      <c r="AI88" s="6"/>
    </row>
    <row r="89" spans="18:35">
      <c r="R89" s="320">
        <f>DATE(LEFT(HAVERM!A94,4)*1,RIGHT(HAVERM!A94,2)*1,1)</f>
        <v>42767</v>
      </c>
      <c r="S89" s="6">
        <f>HAVERM!B94</f>
        <v>97.9</v>
      </c>
      <c r="T89" s="6">
        <f>HAVERM!C94</f>
        <v>50.7</v>
      </c>
      <c r="U89" s="6">
        <f>HAVERM!D94</f>
        <v>94.7</v>
      </c>
      <c r="V89" s="6">
        <f>HAVERM!E94</f>
        <v>80.400000000000006</v>
      </c>
      <c r="W89" s="6">
        <f>HAVERM!F94</f>
        <v>96</v>
      </c>
      <c r="X89" s="6">
        <f>HAVERM!G94</f>
        <v>94</v>
      </c>
      <c r="Z89" s="6">
        <f t="shared" si="14"/>
        <v>93.833865814696509</v>
      </c>
      <c r="AA89" s="6">
        <f t="shared" si="15"/>
        <v>67.554963357761494</v>
      </c>
      <c r="AB89" s="6">
        <f t="shared" si="16"/>
        <v>90.190476190476204</v>
      </c>
      <c r="AC89" s="6">
        <f t="shared" si="17"/>
        <v>87.796887796887802</v>
      </c>
      <c r="AD89" s="6">
        <f t="shared" si="18"/>
        <v>100.44467695527072</v>
      </c>
      <c r="AE89" s="6">
        <f t="shared" si="18"/>
        <v>96.147289464711903</v>
      </c>
      <c r="AF89" s="6"/>
      <c r="AG89" s="6">
        <f t="shared" si="19"/>
        <v>83.285599185700931</v>
      </c>
      <c r="AH89" s="6">
        <f t="shared" si="13"/>
        <v>96.147289464711903</v>
      </c>
      <c r="AI89" s="6"/>
    </row>
    <row r="90" spans="18:35">
      <c r="R90" s="320">
        <f>DATE(LEFT(HAVERM!A95,4)*1,RIGHT(HAVERM!A95,2)*1,1)</f>
        <v>42795</v>
      </c>
      <c r="S90" s="6">
        <f>HAVERM!B95</f>
        <v>98.2</v>
      </c>
      <c r="T90" s="6">
        <f>HAVERM!C95</f>
        <v>52.8</v>
      </c>
      <c r="U90" s="6">
        <f>HAVERM!D95</f>
        <v>96.4</v>
      </c>
      <c r="V90" s="6">
        <f>HAVERM!E95</f>
        <v>82.5</v>
      </c>
      <c r="W90" s="6">
        <f>HAVERM!F95</f>
        <v>96.6</v>
      </c>
      <c r="X90" s="6">
        <f>HAVERM!G95</f>
        <v>94.1</v>
      </c>
      <c r="Z90" s="6">
        <f t="shared" si="14"/>
        <v>94.121405750798743</v>
      </c>
      <c r="AA90" s="6">
        <f t="shared" si="15"/>
        <v>70.353097934710192</v>
      </c>
      <c r="AB90" s="6">
        <f t="shared" si="16"/>
        <v>91.809523809523824</v>
      </c>
      <c r="AC90" s="6">
        <f t="shared" si="17"/>
        <v>90.090090090090087</v>
      </c>
      <c r="AD90" s="6">
        <f t="shared" si="18"/>
        <v>101.07245618624117</v>
      </c>
      <c r="AE90" s="6">
        <f t="shared" si="18"/>
        <v>96.249573815206276</v>
      </c>
      <c r="AF90" s="6"/>
      <c r="AG90" s="6">
        <f t="shared" si="19"/>
        <v>85.120203970711344</v>
      </c>
      <c r="AH90" s="6">
        <f t="shared" si="13"/>
        <v>96.249573815206276</v>
      </c>
      <c r="AI90" s="6"/>
    </row>
    <row r="91" spans="18:35">
      <c r="R91" s="320">
        <f>DATE(LEFT(HAVERM!A96,4)*1,RIGHT(HAVERM!A96,2)*1,1)</f>
        <v>42826</v>
      </c>
      <c r="S91" s="6">
        <f>HAVERM!B96</f>
        <v>98.2</v>
      </c>
      <c r="T91" s="6">
        <f>HAVERM!C96</f>
        <v>55.3</v>
      </c>
      <c r="U91" s="6">
        <f>HAVERM!D96</f>
        <v>97.8</v>
      </c>
      <c r="V91" s="6">
        <f>HAVERM!E96</f>
        <v>82.3</v>
      </c>
      <c r="W91" s="6">
        <f>HAVERM!F96</f>
        <v>97.2</v>
      </c>
      <c r="X91" s="6">
        <f>HAVERM!G96</f>
        <v>94.4</v>
      </c>
      <c r="Z91" s="6">
        <f t="shared" si="14"/>
        <v>94.121405750798743</v>
      </c>
      <c r="AA91" s="6">
        <f t="shared" si="15"/>
        <v>73.68421052631578</v>
      </c>
      <c r="AB91" s="6">
        <f t="shared" si="16"/>
        <v>93.142857142857139</v>
      </c>
      <c r="AC91" s="6">
        <f t="shared" si="17"/>
        <v>89.871689871689867</v>
      </c>
      <c r="AD91" s="6">
        <f t="shared" si="18"/>
        <v>101.7002354172116</v>
      </c>
      <c r="AE91" s="6">
        <f t="shared" si="18"/>
        <v>96.556426866689407</v>
      </c>
      <c r="AF91" s="6"/>
      <c r="AG91" s="6">
        <f t="shared" si="19"/>
        <v>86.707016149247806</v>
      </c>
      <c r="AH91" s="6">
        <f t="shared" si="13"/>
        <v>96.556426866689407</v>
      </c>
      <c r="AI91" s="6"/>
    </row>
    <row r="92" spans="18:35">
      <c r="R92" s="320">
        <f>DATE(LEFT(HAVERM!A97,4)*1,RIGHT(HAVERM!A97,2)*1,1)</f>
        <v>42856</v>
      </c>
      <c r="S92" s="6">
        <f>HAVERM!B97</f>
        <v>98.3</v>
      </c>
      <c r="T92" s="6">
        <f>HAVERM!C97</f>
        <v>57.4</v>
      </c>
      <c r="U92" s="6">
        <f>HAVERM!D97</f>
        <v>97.6</v>
      </c>
      <c r="V92" s="6">
        <f>HAVERM!E97</f>
        <v>82.3</v>
      </c>
      <c r="W92" s="6">
        <f>HAVERM!F97</f>
        <v>96.2</v>
      </c>
      <c r="X92" s="6">
        <f>HAVERM!G97</f>
        <v>94.6</v>
      </c>
      <c r="Z92" s="6">
        <f t="shared" si="14"/>
        <v>94.217252396166145</v>
      </c>
      <c r="AA92" s="6">
        <f t="shared" si="15"/>
        <v>76.482345103264493</v>
      </c>
      <c r="AB92" s="6">
        <f t="shared" si="16"/>
        <v>92.952380952380935</v>
      </c>
      <c r="AC92" s="6">
        <f t="shared" si="17"/>
        <v>89.871689871689867</v>
      </c>
      <c r="AD92" s="6">
        <f t="shared" si="18"/>
        <v>100.65393669892755</v>
      </c>
      <c r="AE92" s="6">
        <f t="shared" si="18"/>
        <v>96.760995567678137</v>
      </c>
      <c r="AF92" s="6"/>
      <c r="AG92" s="6">
        <f t="shared" si="19"/>
        <v>87.589054318089794</v>
      </c>
      <c r="AH92" s="6">
        <f t="shared" si="13"/>
        <v>96.760995567678137</v>
      </c>
      <c r="AI92" s="6"/>
    </row>
    <row r="93" spans="18:35">
      <c r="R93" s="320">
        <f>DATE(LEFT(HAVERM!A98,4)*1,RIGHT(HAVERM!A98,2)*1,1)</f>
        <v>42887</v>
      </c>
      <c r="S93" s="6">
        <f>HAVERM!B98</f>
        <v>100.5</v>
      </c>
      <c r="T93" s="6">
        <f>HAVERM!C98</f>
        <v>58.9</v>
      </c>
      <c r="U93" s="6">
        <f>HAVERM!D98</f>
        <v>95.4</v>
      </c>
      <c r="V93" s="6">
        <f>HAVERM!E98</f>
        <v>84</v>
      </c>
      <c r="W93" s="6">
        <f>HAVERM!F98</f>
        <v>96.5</v>
      </c>
      <c r="X93" s="6">
        <f>HAVERM!G98</f>
        <v>94.6</v>
      </c>
      <c r="Z93" s="6">
        <f t="shared" si="14"/>
        <v>96.325878594249218</v>
      </c>
      <c r="AA93" s="6">
        <f t="shared" si="15"/>
        <v>78.48101265822784</v>
      </c>
      <c r="AB93" s="6">
        <f t="shared" si="16"/>
        <v>90.857142857142861</v>
      </c>
      <c r="AC93" s="6">
        <f t="shared" si="17"/>
        <v>91.728091728091727</v>
      </c>
      <c r="AD93" s="6">
        <f t="shared" si="18"/>
        <v>100.96782631441276</v>
      </c>
      <c r="AE93" s="6">
        <f t="shared" si="18"/>
        <v>96.760995567678137</v>
      </c>
      <c r="AF93" s="6"/>
      <c r="AG93" s="6">
        <f t="shared" si="19"/>
        <v>88.546796064907241</v>
      </c>
      <c r="AH93" s="6">
        <f t="shared" si="13"/>
        <v>96.760995567678137</v>
      </c>
      <c r="AI93" s="6"/>
    </row>
    <row r="94" spans="18:35">
      <c r="R94" s="320">
        <f>DATE(LEFT(HAVERM!A99,4)*1,RIGHT(HAVERM!A99,2)*1,1)</f>
        <v>42917</v>
      </c>
      <c r="S94" s="6">
        <f>HAVERM!B99</f>
        <v>99.3</v>
      </c>
      <c r="T94" s="6">
        <f>HAVERM!C99</f>
        <v>60.4</v>
      </c>
      <c r="U94" s="6">
        <f>HAVERM!D99</f>
        <v>93.2</v>
      </c>
      <c r="V94" s="6">
        <f>HAVERM!E99</f>
        <v>82</v>
      </c>
      <c r="W94" s="6">
        <f>HAVERM!F99</f>
        <v>95.7</v>
      </c>
      <c r="X94" s="6">
        <f>HAVERM!G99</f>
        <v>94.8</v>
      </c>
      <c r="Z94" s="6">
        <f t="shared" si="14"/>
        <v>95.17571884984028</v>
      </c>
      <c r="AA94" s="6">
        <f t="shared" si="15"/>
        <v>80.479680213191202</v>
      </c>
      <c r="AB94" s="6">
        <f t="shared" si="16"/>
        <v>88.761904761904759</v>
      </c>
      <c r="AC94" s="6">
        <f t="shared" si="17"/>
        <v>89.544089544089545</v>
      </c>
      <c r="AD94" s="6">
        <f t="shared" si="18"/>
        <v>100.13078733978551</v>
      </c>
      <c r="AE94" s="6">
        <f t="shared" si="18"/>
        <v>96.965564268666895</v>
      </c>
      <c r="AF94" s="6"/>
      <c r="AG94" s="6">
        <f t="shared" si="19"/>
        <v>88.316977237056378</v>
      </c>
      <c r="AH94" s="6">
        <f t="shared" si="13"/>
        <v>96.965564268666895</v>
      </c>
      <c r="AI94" s="6"/>
    </row>
    <row r="95" spans="18:35">
      <c r="R95" s="320">
        <f>DATE(LEFT(HAVERM!A100,4)*1,RIGHT(HAVERM!A100,2)*1,1)</f>
        <v>42948</v>
      </c>
      <c r="S95" s="6">
        <f>HAVERM!B100</f>
        <v>100.9</v>
      </c>
      <c r="T95" s="6">
        <f>HAVERM!C100</f>
        <v>61.1</v>
      </c>
      <c r="U95" s="6">
        <f>HAVERM!D100</f>
        <v>92.2</v>
      </c>
      <c r="V95" s="6">
        <f>HAVERM!E100</f>
        <v>82.4</v>
      </c>
      <c r="W95" s="6">
        <f>HAVERM!F100</f>
        <v>97.4</v>
      </c>
      <c r="X95" s="6">
        <f>HAVERM!G100</f>
        <v>95</v>
      </c>
      <c r="Z95" s="6">
        <f t="shared" si="14"/>
        <v>96.709265175718869</v>
      </c>
      <c r="AA95" s="6">
        <f t="shared" si="15"/>
        <v>81.412391738840768</v>
      </c>
      <c r="AB95" s="6">
        <f t="shared" si="16"/>
        <v>87.80952380952381</v>
      </c>
      <c r="AC95" s="6">
        <f t="shared" si="17"/>
        <v>89.980889980889984</v>
      </c>
      <c r="AD95" s="6">
        <f t="shared" si="18"/>
        <v>101.90949516086843</v>
      </c>
      <c r="AE95" s="6">
        <f t="shared" si="18"/>
        <v>97.17013296965564</v>
      </c>
      <c r="AF95" s="6"/>
      <c r="AG95" s="6">
        <f t="shared" si="19"/>
        <v>89.030886606346996</v>
      </c>
      <c r="AH95" s="6">
        <f t="shared" si="13"/>
        <v>97.17013296965564</v>
      </c>
      <c r="AI95" s="6"/>
    </row>
    <row r="96" spans="18:35">
      <c r="R96" s="320">
        <f>DATE(LEFT(HAVERM!A101,4)*1,RIGHT(HAVERM!A101,2)*1,1)</f>
        <v>42979</v>
      </c>
      <c r="S96" s="6">
        <f>HAVERM!B101</f>
        <v>102.2</v>
      </c>
      <c r="T96" s="6">
        <f>HAVERM!C101</f>
        <v>62.1</v>
      </c>
      <c r="U96" s="6">
        <f>HAVERM!D101</f>
        <v>94.1</v>
      </c>
      <c r="V96" s="6">
        <f>HAVERM!E101</f>
        <v>84.1</v>
      </c>
      <c r="W96" s="6">
        <f>HAVERM!F101</f>
        <v>96.2</v>
      </c>
      <c r="X96" s="6">
        <f>HAVERM!G101</f>
        <v>95.4</v>
      </c>
      <c r="Z96" s="6">
        <f t="shared" si="14"/>
        <v>97.955271565495224</v>
      </c>
      <c r="AA96" s="6">
        <f t="shared" si="15"/>
        <v>82.744836775483023</v>
      </c>
      <c r="AB96" s="6">
        <f t="shared" si="16"/>
        <v>89.619047619047606</v>
      </c>
      <c r="AC96" s="6">
        <f t="shared" si="17"/>
        <v>91.837291837291829</v>
      </c>
      <c r="AD96" s="6">
        <f t="shared" si="18"/>
        <v>100.65393669892755</v>
      </c>
      <c r="AE96" s="6">
        <f t="shared" si="18"/>
        <v>97.579270371633143</v>
      </c>
      <c r="AF96" s="6"/>
      <c r="AG96" s="6">
        <f t="shared" si="19"/>
        <v>90.120668327825172</v>
      </c>
      <c r="AH96" s="6">
        <f t="shared" si="13"/>
        <v>97.579270371633143</v>
      </c>
      <c r="AI96" s="6"/>
    </row>
    <row r="97" spans="18:35">
      <c r="R97" s="320">
        <f>DATE(LEFT(HAVERM!A102,4)*1,RIGHT(HAVERM!A102,2)*1,1)</f>
        <v>43009</v>
      </c>
      <c r="S97" s="6">
        <f>HAVERM!B102</f>
        <v>105.8</v>
      </c>
      <c r="T97" s="6">
        <f>HAVERM!C102</f>
        <v>62.7</v>
      </c>
      <c r="U97" s="6">
        <f>HAVERM!D102</f>
        <v>97.6</v>
      </c>
      <c r="V97" s="6">
        <f>HAVERM!E102</f>
        <v>83.2</v>
      </c>
      <c r="W97" s="6">
        <f>HAVERM!F102</f>
        <v>95.4</v>
      </c>
      <c r="X97" s="6">
        <f>HAVERM!G102</f>
        <v>95.4</v>
      </c>
      <c r="Z97" s="6">
        <f t="shared" si="14"/>
        <v>101.40575079872205</v>
      </c>
      <c r="AA97" s="6">
        <f t="shared" si="15"/>
        <v>83.544303797468373</v>
      </c>
      <c r="AB97" s="6">
        <f t="shared" si="16"/>
        <v>92.952380952380935</v>
      </c>
      <c r="AC97" s="6">
        <f t="shared" si="17"/>
        <v>90.854490854490848</v>
      </c>
      <c r="AD97" s="6">
        <f t="shared" si="18"/>
        <v>99.81689772430029</v>
      </c>
      <c r="AE97" s="6">
        <f t="shared" si="18"/>
        <v>97.579270371633143</v>
      </c>
      <c r="AF97" s="6"/>
      <c r="AG97" s="6">
        <f t="shared" si="19"/>
        <v>91.250383959078789</v>
      </c>
      <c r="AH97" s="6">
        <f t="shared" si="13"/>
        <v>97.579270371633143</v>
      </c>
      <c r="AI97" s="6"/>
    </row>
    <row r="98" spans="18:35">
      <c r="R98" s="320">
        <f>DATE(LEFT(HAVERM!A103,4)*1,RIGHT(HAVERM!A103,2)*1,1)</f>
        <v>43040</v>
      </c>
      <c r="S98" s="6">
        <f>HAVERM!B103</f>
        <v>105.5</v>
      </c>
      <c r="T98" s="6">
        <f>HAVERM!C103</f>
        <v>63</v>
      </c>
      <c r="U98" s="6">
        <f>HAVERM!D103</f>
        <v>101</v>
      </c>
      <c r="V98" s="6">
        <f>HAVERM!E103</f>
        <v>83.9</v>
      </c>
      <c r="W98" s="6">
        <f>HAVERM!F103</f>
        <v>97.2</v>
      </c>
      <c r="X98" s="6">
        <f>HAVERM!G103</f>
        <v>95.6</v>
      </c>
      <c r="Z98" s="6">
        <f t="shared" si="14"/>
        <v>101.11821086261983</v>
      </c>
      <c r="AA98" s="6">
        <f t="shared" si="15"/>
        <v>83.944037308461034</v>
      </c>
      <c r="AB98" s="6">
        <f t="shared" si="16"/>
        <v>96.19047619047619</v>
      </c>
      <c r="AC98" s="6">
        <f t="shared" si="17"/>
        <v>91.618891618891624</v>
      </c>
      <c r="AD98" s="6">
        <f t="shared" si="18"/>
        <v>101.7002354172116</v>
      </c>
      <c r="AE98" s="6">
        <f t="shared" si="18"/>
        <v>97.783839072621888</v>
      </c>
      <c r="AF98" s="6"/>
      <c r="AG98" s="6">
        <f t="shared" si="19"/>
        <v>92.376479965595649</v>
      </c>
      <c r="AH98" s="6">
        <f t="shared" si="13"/>
        <v>97.783839072621888</v>
      </c>
      <c r="AI98" s="6"/>
    </row>
    <row r="99" spans="18:35">
      <c r="R99" s="320">
        <f>DATE(LEFT(HAVERM!A104,4)*1,RIGHT(HAVERM!A104,2)*1,1)</f>
        <v>43070</v>
      </c>
      <c r="S99" s="6">
        <f>HAVERM!B104</f>
        <v>110.2</v>
      </c>
      <c r="T99" s="6">
        <f>HAVERM!C104</f>
        <v>63.2</v>
      </c>
      <c r="U99" s="6">
        <f>HAVERM!D104</f>
        <v>103.8</v>
      </c>
      <c r="V99" s="6">
        <f>HAVERM!E104</f>
        <v>82.2</v>
      </c>
      <c r="W99" s="6">
        <f>HAVERM!F104</f>
        <v>100</v>
      </c>
      <c r="X99" s="6">
        <f>HAVERM!G104</f>
        <v>95.9</v>
      </c>
      <c r="Z99" s="6">
        <f t="shared" si="14"/>
        <v>105.6230031948882</v>
      </c>
      <c r="AA99" s="6">
        <f t="shared" si="15"/>
        <v>84.21052631578948</v>
      </c>
      <c r="AB99" s="6">
        <f t="shared" si="16"/>
        <v>98.857142857142861</v>
      </c>
      <c r="AC99" s="6">
        <f t="shared" si="17"/>
        <v>89.762489762489764</v>
      </c>
      <c r="AD99" s="6">
        <f t="shared" si="18"/>
        <v>104.62987182840702</v>
      </c>
      <c r="AE99" s="6">
        <f t="shared" si="18"/>
        <v>98.090692124105018</v>
      </c>
      <c r="AF99" s="6"/>
      <c r="AG99" s="6">
        <f t="shared" si="19"/>
        <v>93.769800467839261</v>
      </c>
      <c r="AH99" s="6">
        <f t="shared" si="13"/>
        <v>98.090692124105018</v>
      </c>
      <c r="AI99" s="6"/>
    </row>
    <row r="100" spans="18:35">
      <c r="R100" s="320">
        <f>DATE(LEFT(HAVERM!A105,4)*1,RIGHT(HAVERM!A105,2)*1,1)</f>
        <v>43101</v>
      </c>
      <c r="S100" s="6">
        <f>HAVERM!B105</f>
        <v>104.9</v>
      </c>
      <c r="T100" s="6">
        <f>HAVERM!C105</f>
        <v>63.4</v>
      </c>
      <c r="U100" s="6">
        <f>HAVERM!D105</f>
        <v>105.1</v>
      </c>
      <c r="V100" s="6">
        <f>HAVERM!E105</f>
        <v>82.6</v>
      </c>
      <c r="W100" s="6">
        <f>HAVERM!F105</f>
        <v>96.5</v>
      </c>
      <c r="X100" s="6">
        <f>HAVERM!G105</f>
        <v>95.7</v>
      </c>
      <c r="Z100" s="6">
        <f t="shared" si="14"/>
        <v>100.54313099041536</v>
      </c>
      <c r="AA100" s="6">
        <f t="shared" si="15"/>
        <v>84.477015323117925</v>
      </c>
      <c r="AB100" s="6">
        <f t="shared" si="16"/>
        <v>100.09523809523809</v>
      </c>
      <c r="AC100" s="6">
        <f t="shared" si="17"/>
        <v>90.199290199290189</v>
      </c>
      <c r="AD100" s="6">
        <f t="shared" si="18"/>
        <v>100.96782631441276</v>
      </c>
      <c r="AE100" s="6">
        <f t="shared" si="18"/>
        <v>97.88612342311626</v>
      </c>
      <c r="AF100" s="6"/>
      <c r="AG100" s="6">
        <f t="shared" si="19"/>
        <v>92.929414921138644</v>
      </c>
      <c r="AH100" s="6">
        <f t="shared" si="13"/>
        <v>97.88612342311626</v>
      </c>
      <c r="AI100" s="6"/>
    </row>
    <row r="101" spans="18:35">
      <c r="R101" s="320">
        <f>DATE(LEFT(HAVERM!A106,4)*1,RIGHT(HAVERM!A106,2)*1,1)</f>
        <v>43132</v>
      </c>
      <c r="S101" s="6">
        <f>HAVERM!B106</f>
        <v>106.5</v>
      </c>
      <c r="T101" s="6">
        <f>HAVERM!C106</f>
        <v>63.3</v>
      </c>
      <c r="U101" s="6">
        <f>HAVERM!D106</f>
        <v>105</v>
      </c>
      <c r="V101" s="6">
        <f>HAVERM!E106</f>
        <v>80.400000000000006</v>
      </c>
      <c r="W101" s="6">
        <f>HAVERM!F106</f>
        <v>96.3</v>
      </c>
      <c r="X101" s="6">
        <f>HAVERM!G106</f>
        <v>95.8</v>
      </c>
      <c r="Z101" s="6">
        <f t="shared" si="14"/>
        <v>102.07667731629395</v>
      </c>
      <c r="AA101" s="6">
        <f t="shared" si="15"/>
        <v>84.343770819453695</v>
      </c>
      <c r="AB101" s="6">
        <f t="shared" si="16"/>
        <v>100</v>
      </c>
      <c r="AC101" s="6">
        <f t="shared" si="17"/>
        <v>87.796887796887802</v>
      </c>
      <c r="AD101" s="6">
        <f t="shared" si="18"/>
        <v>100.75856657075595</v>
      </c>
      <c r="AE101" s="6">
        <f t="shared" si="18"/>
        <v>97.988407773610632</v>
      </c>
      <c r="AF101" s="6"/>
      <c r="AG101" s="6">
        <f t="shared" si="19"/>
        <v>92.690737601511856</v>
      </c>
      <c r="AH101" s="6">
        <f t="shared" si="13"/>
        <v>97.988407773610632</v>
      </c>
      <c r="AI101" s="6"/>
    </row>
    <row r="102" spans="18:35">
      <c r="R102" s="320">
        <f>DATE(LEFT(HAVERM!A107,4)*1,RIGHT(HAVERM!A107,2)*1,1)</f>
        <v>43160</v>
      </c>
      <c r="S102" s="6">
        <f>HAVERM!B107</f>
        <v>105.2</v>
      </c>
      <c r="T102" s="6">
        <f>HAVERM!C107</f>
        <v>63</v>
      </c>
      <c r="U102" s="6">
        <f>HAVERM!D107</f>
        <v>103</v>
      </c>
      <c r="V102" s="6">
        <f>HAVERM!E107</f>
        <v>82.4</v>
      </c>
      <c r="W102" s="6">
        <f>HAVERM!F107</f>
        <v>94.6</v>
      </c>
      <c r="X102" s="6">
        <f>HAVERM!G107</f>
        <v>95.7</v>
      </c>
      <c r="Z102" s="6">
        <f t="shared" si="14"/>
        <v>100.83067092651758</v>
      </c>
      <c r="AA102" s="6">
        <f t="shared" si="15"/>
        <v>83.944037308461034</v>
      </c>
      <c r="AB102" s="6">
        <f t="shared" si="16"/>
        <v>98.095238095238088</v>
      </c>
      <c r="AC102" s="6">
        <f t="shared" si="17"/>
        <v>89.980889980889984</v>
      </c>
      <c r="AD102" s="6">
        <f t="shared" si="18"/>
        <v>98.979858749673028</v>
      </c>
      <c r="AE102" s="6">
        <f t="shared" si="18"/>
        <v>97.88612342311626</v>
      </c>
      <c r="AF102" s="6"/>
      <c r="AG102" s="6">
        <f t="shared" si="19"/>
        <v>92.049464520035968</v>
      </c>
      <c r="AH102" s="6">
        <f t="shared" si="13"/>
        <v>97.88612342311626</v>
      </c>
      <c r="AI102" s="6"/>
    </row>
    <row r="103" spans="18:35">
      <c r="R103" s="320">
        <f>DATE(LEFT(HAVERM!A108,4)*1,RIGHT(HAVERM!A108,2)*1,1)</f>
        <v>43191</v>
      </c>
      <c r="S103" s="6">
        <f>HAVERM!B108</f>
        <v>103.2</v>
      </c>
      <c r="T103" s="6">
        <f>HAVERM!C108</f>
        <v>62.3</v>
      </c>
      <c r="U103" s="6">
        <f>HAVERM!D108</f>
        <v>100.9</v>
      </c>
      <c r="V103" s="6">
        <f>HAVERM!E108</f>
        <v>82.4</v>
      </c>
      <c r="W103" s="6">
        <f>HAVERM!F108</f>
        <v>93.5</v>
      </c>
      <c r="X103" s="6">
        <f>HAVERM!G108</f>
        <v>95.7</v>
      </c>
      <c r="Z103" s="6">
        <f t="shared" si="14"/>
        <v>98.913738019169344</v>
      </c>
      <c r="AA103" s="6">
        <f t="shared" si="15"/>
        <v>83.011325782811468</v>
      </c>
      <c r="AB103" s="6">
        <f t="shared" si="16"/>
        <v>96.095238095238102</v>
      </c>
      <c r="AC103" s="6">
        <f t="shared" si="17"/>
        <v>89.980889980889984</v>
      </c>
      <c r="AD103" s="6">
        <f t="shared" si="18"/>
        <v>97.828930159560556</v>
      </c>
      <c r="AE103" s="6">
        <f t="shared" si="18"/>
        <v>97.88612342311626</v>
      </c>
      <c r="AF103" s="6"/>
      <c r="AG103" s="6">
        <f t="shared" si="19"/>
        <v>90.882273323150855</v>
      </c>
      <c r="AH103" s="6">
        <f t="shared" si="13"/>
        <v>97.88612342311626</v>
      </c>
      <c r="AI103" s="6"/>
    </row>
    <row r="104" spans="18:35">
      <c r="R104" s="320">
        <f>DATE(LEFT(HAVERM!A109,4)*1,RIGHT(HAVERM!A109,2)*1,1)</f>
        <v>43221</v>
      </c>
      <c r="S104" s="6">
        <f>HAVERM!B109</f>
        <v>99</v>
      </c>
      <c r="T104" s="6">
        <f>HAVERM!C109</f>
        <v>61.5</v>
      </c>
      <c r="U104" s="6">
        <f>HAVERM!D109</f>
        <v>96.1</v>
      </c>
      <c r="V104" s="6">
        <f>HAVERM!E109</f>
        <v>82.8</v>
      </c>
      <c r="W104" s="6">
        <f>HAVERM!F109</f>
        <v>95.1</v>
      </c>
      <c r="X104" s="6">
        <f>HAVERM!G109</f>
        <v>95.9</v>
      </c>
      <c r="Z104" s="6">
        <f t="shared" si="14"/>
        <v>94.888178913738045</v>
      </c>
      <c r="AA104" s="6">
        <f t="shared" si="15"/>
        <v>81.945369753497673</v>
      </c>
      <c r="AB104" s="6">
        <f t="shared" si="16"/>
        <v>91.523809523809518</v>
      </c>
      <c r="AC104" s="6">
        <f t="shared" si="17"/>
        <v>90.417690417690409</v>
      </c>
      <c r="AD104" s="6">
        <f t="shared" si="18"/>
        <v>99.503008108815067</v>
      </c>
      <c r="AE104" s="6">
        <f t="shared" si="18"/>
        <v>98.090692124105018</v>
      </c>
      <c r="AF104" s="6"/>
      <c r="AG104" s="6">
        <f t="shared" si="19"/>
        <v>89.389570232609401</v>
      </c>
      <c r="AH104" s="6">
        <f t="shared" si="13"/>
        <v>98.090692124105018</v>
      </c>
      <c r="AI104" s="6"/>
    </row>
    <row r="105" spans="18:35">
      <c r="R105" s="320">
        <f>DATE(LEFT(HAVERM!A110,4)*1,RIGHT(HAVERM!A110,2)*1,1)</f>
        <v>43252</v>
      </c>
      <c r="S105" s="6">
        <f>HAVERM!B110</f>
        <v>104.2</v>
      </c>
      <c r="T105" s="6">
        <f>HAVERM!C110</f>
        <v>61.2</v>
      </c>
      <c r="U105" s="6">
        <f>HAVERM!D110</f>
        <v>100.3</v>
      </c>
      <c r="V105" s="6">
        <f>HAVERM!E110</f>
        <v>85.3</v>
      </c>
      <c r="W105" s="6">
        <f>HAVERM!F110</f>
        <v>95.7</v>
      </c>
      <c r="X105" s="6">
        <f>HAVERM!G110</f>
        <v>96.2</v>
      </c>
      <c r="Z105" s="6">
        <f t="shared" si="14"/>
        <v>99.872204472843478</v>
      </c>
      <c r="AA105" s="6">
        <f t="shared" si="15"/>
        <v>81.545636242504997</v>
      </c>
      <c r="AB105" s="6">
        <f t="shared" si="16"/>
        <v>95.523809523809518</v>
      </c>
      <c r="AC105" s="6">
        <f t="shared" si="17"/>
        <v>93.147693147693147</v>
      </c>
      <c r="AD105" s="6">
        <f t="shared" si="18"/>
        <v>100.13078733978551</v>
      </c>
      <c r="AE105" s="6">
        <f t="shared" si="18"/>
        <v>98.397545175588135</v>
      </c>
      <c r="AF105" s="6"/>
      <c r="AG105" s="6">
        <f t="shared" si="19"/>
        <v>91.147703425148975</v>
      </c>
      <c r="AH105" s="6">
        <f t="shared" si="13"/>
        <v>98.397545175588135</v>
      </c>
      <c r="AI105" s="6"/>
    </row>
    <row r="106" spans="18:35">
      <c r="R106" s="320">
        <f>DATE(LEFT(HAVERM!A111,4)*1,RIGHT(HAVERM!A111,2)*1,1)</f>
        <v>43282</v>
      </c>
      <c r="S106" s="6">
        <f>HAVERM!B111</f>
        <v>105.4</v>
      </c>
      <c r="T106" s="6">
        <f>HAVERM!C111</f>
        <v>61</v>
      </c>
      <c r="U106" s="6">
        <f>HAVERM!D111</f>
        <v>101.9</v>
      </c>
      <c r="V106" s="6">
        <f>HAVERM!E111</f>
        <v>82.1</v>
      </c>
      <c r="W106" s="6">
        <f>HAVERM!F111</f>
        <v>95.3</v>
      </c>
      <c r="X106" s="6">
        <f>HAVERM!G111</f>
        <v>96</v>
      </c>
      <c r="Z106" s="6">
        <f t="shared" si="14"/>
        <v>101.02236421725242</v>
      </c>
      <c r="AA106" s="6">
        <f t="shared" si="15"/>
        <v>81.279147235176552</v>
      </c>
      <c r="AB106" s="6">
        <f t="shared" si="16"/>
        <v>97.047619047619051</v>
      </c>
      <c r="AC106" s="6">
        <f t="shared" si="17"/>
        <v>89.653289653289647</v>
      </c>
      <c r="AD106" s="6">
        <f t="shared" si="18"/>
        <v>99.712267852471868</v>
      </c>
      <c r="AE106" s="6">
        <f t="shared" si="18"/>
        <v>98.192976474599391</v>
      </c>
      <c r="AF106" s="6"/>
      <c r="AG106" s="6">
        <f t="shared" si="19"/>
        <v>90.926711722051152</v>
      </c>
      <c r="AH106" s="6">
        <f t="shared" si="13"/>
        <v>98.192976474599391</v>
      </c>
      <c r="AI106" s="6"/>
    </row>
    <row r="107" spans="18:35">
      <c r="R107" s="320">
        <f>DATE(LEFT(HAVERM!A112,4)*1,RIGHT(HAVERM!A112,2)*1,1)</f>
        <v>43313</v>
      </c>
      <c r="S107" s="6">
        <f>HAVERM!B112</f>
        <v>105.3</v>
      </c>
      <c r="T107" s="6">
        <f>HAVERM!C112</f>
        <v>61</v>
      </c>
      <c r="U107" s="6">
        <f>HAVERM!D112</f>
        <v>102.6</v>
      </c>
      <c r="V107" s="6">
        <f>HAVERM!E112</f>
        <v>87.3</v>
      </c>
      <c r="W107" s="6">
        <f>HAVERM!F112</f>
        <v>94.5</v>
      </c>
      <c r="X107" s="6">
        <f>HAVERM!G112</f>
        <v>96.3</v>
      </c>
      <c r="Z107" s="6">
        <f t="shared" si="14"/>
        <v>100.926517571885</v>
      </c>
      <c r="AA107" s="6">
        <f t="shared" si="15"/>
        <v>81.279147235176552</v>
      </c>
      <c r="AB107" s="6">
        <f t="shared" si="16"/>
        <v>97.714285714285708</v>
      </c>
      <c r="AC107" s="6">
        <f t="shared" si="17"/>
        <v>95.331695331695315</v>
      </c>
      <c r="AD107" s="6">
        <f t="shared" si="18"/>
        <v>98.87522887784462</v>
      </c>
      <c r="AE107" s="6">
        <f t="shared" si="18"/>
        <v>98.499829526082507</v>
      </c>
      <c r="AF107" s="6"/>
      <c r="AG107" s="6">
        <f t="shared" si="19"/>
        <v>91.721976315823568</v>
      </c>
      <c r="AH107" s="6">
        <f t="shared" si="13"/>
        <v>98.499829526082507</v>
      </c>
      <c r="AI107" s="6"/>
    </row>
    <row r="108" spans="18:35">
      <c r="R108" s="320">
        <f>DATE(LEFT(HAVERM!A113,4)*1,RIGHT(HAVERM!A113,2)*1,1)</f>
        <v>43344</v>
      </c>
      <c r="S108" s="6">
        <f>HAVERM!B113</f>
        <v>103.8</v>
      </c>
      <c r="T108" s="6">
        <f>HAVERM!C113</f>
        <v>61.6</v>
      </c>
      <c r="U108" s="6">
        <f>HAVERM!D113</f>
        <v>102.4</v>
      </c>
      <c r="V108" s="6">
        <f>HAVERM!E113</f>
        <v>88.2</v>
      </c>
      <c r="W108" s="6">
        <f>HAVERM!F113</f>
        <v>95</v>
      </c>
      <c r="X108" s="6">
        <f>HAVERM!G113</f>
        <v>96.5</v>
      </c>
      <c r="Z108" s="6">
        <f t="shared" si="14"/>
        <v>99.488817891373813</v>
      </c>
      <c r="AA108" s="6">
        <f t="shared" si="15"/>
        <v>82.078614257161902</v>
      </c>
      <c r="AB108" s="6">
        <f t="shared" si="16"/>
        <v>97.523809523809518</v>
      </c>
      <c r="AC108" s="6">
        <f t="shared" si="17"/>
        <v>96.31449631449631</v>
      </c>
      <c r="AD108" s="6">
        <f t="shared" si="18"/>
        <v>99.398378236986659</v>
      </c>
      <c r="AE108" s="6">
        <f t="shared" si="18"/>
        <v>98.704398227071252</v>
      </c>
      <c r="AF108" s="6"/>
      <c r="AG108" s="6">
        <f t="shared" si="19"/>
        <v>92.018590795820799</v>
      </c>
      <c r="AH108" s="6">
        <f t="shared" si="13"/>
        <v>98.704398227071252</v>
      </c>
      <c r="AI108" s="6"/>
    </row>
    <row r="109" spans="18:35">
      <c r="R109" s="320">
        <f>DATE(LEFT(HAVERM!A114,4)*1,RIGHT(HAVERM!A114,2)*1,1)</f>
        <v>43374</v>
      </c>
      <c r="S109" s="6">
        <f>HAVERM!B114</f>
        <v>103.5</v>
      </c>
      <c r="T109" s="6">
        <f>HAVERM!C114</f>
        <v>62.5</v>
      </c>
      <c r="U109" s="6">
        <f>HAVERM!D114</f>
        <v>101</v>
      </c>
      <c r="V109" s="6">
        <f>HAVERM!E114</f>
        <v>87.8</v>
      </c>
      <c r="W109" s="6">
        <f>HAVERM!F114</f>
        <v>95.1</v>
      </c>
      <c r="X109" s="6">
        <f>HAVERM!G114</f>
        <v>96.4</v>
      </c>
      <c r="Z109" s="6">
        <f t="shared" si="14"/>
        <v>99.201277955271578</v>
      </c>
      <c r="AA109" s="6">
        <f t="shared" si="15"/>
        <v>83.277814790139914</v>
      </c>
      <c r="AB109" s="6">
        <f t="shared" si="16"/>
        <v>96.19047619047619</v>
      </c>
      <c r="AC109" s="6">
        <f t="shared" si="17"/>
        <v>95.877695877695871</v>
      </c>
      <c r="AD109" s="6">
        <f t="shared" si="18"/>
        <v>99.503008108815067</v>
      </c>
      <c r="AE109" s="6">
        <f t="shared" si="18"/>
        <v>98.602113876576894</v>
      </c>
      <c r="AF109" s="6"/>
      <c r="AG109" s="6">
        <f t="shared" si="19"/>
        <v>92.137509055807655</v>
      </c>
      <c r="AH109" s="6">
        <f t="shared" si="13"/>
        <v>98.602113876576894</v>
      </c>
      <c r="AI109" s="6"/>
    </row>
    <row r="110" spans="18:35">
      <c r="R110" s="320">
        <f>DATE(LEFT(HAVERM!A115,4)*1,RIGHT(HAVERM!A115,2)*1,1)</f>
        <v>43405</v>
      </c>
      <c r="S110" s="6">
        <f>HAVERM!B115</f>
        <v>91.2</v>
      </c>
      <c r="T110" s="6">
        <f>HAVERM!C115</f>
        <v>63.8</v>
      </c>
      <c r="U110" s="6">
        <f>HAVERM!D115</f>
        <v>99.7</v>
      </c>
      <c r="V110" s="6">
        <f>HAVERM!E115</f>
        <v>87.7</v>
      </c>
      <c r="W110" s="6">
        <f>HAVERM!F115</f>
        <v>94.9</v>
      </c>
      <c r="X110" s="6">
        <f>HAVERM!G115</f>
        <v>96.5</v>
      </c>
      <c r="Z110" s="6">
        <f t="shared" si="14"/>
        <v>87.412140575079889</v>
      </c>
      <c r="AA110" s="6">
        <f t="shared" si="15"/>
        <v>85.009993337774816</v>
      </c>
      <c r="AB110" s="6">
        <f t="shared" si="16"/>
        <v>94.952380952380949</v>
      </c>
      <c r="AC110" s="6">
        <f t="shared" si="17"/>
        <v>95.768495768495768</v>
      </c>
      <c r="AD110" s="6">
        <f t="shared" si="18"/>
        <v>99.293748365158251</v>
      </c>
      <c r="AE110" s="6">
        <f t="shared" si="18"/>
        <v>98.704398227071252</v>
      </c>
      <c r="AF110" s="6"/>
      <c r="AG110" s="6">
        <f t="shared" si="19"/>
        <v>90.940355174527056</v>
      </c>
      <c r="AH110" s="6">
        <f t="shared" si="13"/>
        <v>98.704398227071252</v>
      </c>
      <c r="AI110" s="6"/>
    </row>
    <row r="111" spans="18:35">
      <c r="R111" s="320">
        <f>DATE(LEFT(HAVERM!A116,4)*1,RIGHT(HAVERM!A116,2)*1,1)</f>
        <v>43435</v>
      </c>
      <c r="S111" s="6">
        <f>HAVERM!B116</f>
        <v>95.3</v>
      </c>
      <c r="T111" s="6">
        <f>HAVERM!C116</f>
        <v>65.3</v>
      </c>
      <c r="U111" s="6">
        <f>HAVERM!D116</f>
        <v>98.9</v>
      </c>
      <c r="V111" s="6">
        <f>HAVERM!E116</f>
        <v>88.7</v>
      </c>
      <c r="W111" s="6">
        <f>HAVERM!F116</f>
        <v>92.6</v>
      </c>
      <c r="X111" s="6">
        <f>HAVERM!G116</f>
        <v>96.2</v>
      </c>
      <c r="Z111" s="6">
        <f t="shared" si="14"/>
        <v>91.341853035143785</v>
      </c>
      <c r="AA111" s="6">
        <f t="shared" si="15"/>
        <v>87.008660892738177</v>
      </c>
      <c r="AB111" s="6">
        <f t="shared" si="16"/>
        <v>94.19047619047619</v>
      </c>
      <c r="AC111" s="6">
        <f t="shared" si="17"/>
        <v>96.860496860496852</v>
      </c>
      <c r="AD111" s="6">
        <f t="shared" si="18"/>
        <v>96.887261313104872</v>
      </c>
      <c r="AE111" s="6">
        <f t="shared" si="18"/>
        <v>98.397545175588135</v>
      </c>
      <c r="AF111" s="6"/>
      <c r="AG111" s="6">
        <f t="shared" si="19"/>
        <v>91.868719120385194</v>
      </c>
      <c r="AH111" s="6">
        <f t="shared" si="13"/>
        <v>98.397545175588135</v>
      </c>
      <c r="AI111" s="6"/>
    </row>
    <row r="112" spans="18:35">
      <c r="R112" s="320">
        <f>DATE(LEFT(HAVERM!A117,4)*1,RIGHT(HAVERM!A117,2)*1,1)</f>
        <v>43466</v>
      </c>
      <c r="S112" s="6">
        <f>HAVERM!B117</f>
        <v>102</v>
      </c>
      <c r="T112" s="6">
        <f>HAVERM!C117</f>
        <v>67.3</v>
      </c>
      <c r="U112" s="6">
        <f>HAVERM!D117</f>
        <v>99.5</v>
      </c>
      <c r="V112" s="6">
        <f>HAVERM!E117</f>
        <v>87.5</v>
      </c>
      <c r="W112" s="6">
        <f>HAVERM!F117</f>
        <v>94.6</v>
      </c>
      <c r="X112" s="6">
        <f>HAVERM!G117</f>
        <v>96.7</v>
      </c>
      <c r="Z112" s="6">
        <f t="shared" si="14"/>
        <v>97.763578274760405</v>
      </c>
      <c r="AA112" s="6">
        <f t="shared" si="15"/>
        <v>89.673550966022646</v>
      </c>
      <c r="AB112" s="6">
        <f t="shared" si="16"/>
        <v>94.761904761904759</v>
      </c>
      <c r="AC112" s="6">
        <f t="shared" si="17"/>
        <v>95.550095550095548</v>
      </c>
      <c r="AD112" s="6">
        <f t="shared" si="18"/>
        <v>98.979858749673028</v>
      </c>
      <c r="AE112" s="6">
        <f t="shared" si="18"/>
        <v>98.908966928060011</v>
      </c>
      <c r="AF112" s="6"/>
      <c r="AG112" s="6">
        <f t="shared" si="19"/>
        <v>93.983278299913479</v>
      </c>
      <c r="AH112" s="6">
        <f>X112/AVERAGE(X$112:X$123)*100</f>
        <v>98.908966928060011</v>
      </c>
      <c r="AI112" s="6"/>
    </row>
    <row r="113" spans="18:35">
      <c r="R113" s="320">
        <f>DATE(LEFT(HAVERM!A118,4)*1,RIGHT(HAVERM!A118,2)*1,1)</f>
        <v>43497</v>
      </c>
      <c r="S113" s="6">
        <f>HAVERM!B118</f>
        <v>101.2</v>
      </c>
      <c r="T113" s="6">
        <f>HAVERM!C118</f>
        <v>69.3</v>
      </c>
      <c r="U113" s="6">
        <f>HAVERM!D118</f>
        <v>103.4</v>
      </c>
      <c r="V113" s="6">
        <f>HAVERM!E118</f>
        <v>89.4</v>
      </c>
      <c r="W113" s="6">
        <f>HAVERM!F118</f>
        <v>96.7</v>
      </c>
      <c r="X113" s="6">
        <f>HAVERM!G118</f>
        <v>97.3</v>
      </c>
      <c r="Z113" s="6">
        <f t="shared" si="14"/>
        <v>96.996805111821104</v>
      </c>
      <c r="AA113" s="6">
        <f t="shared" si="15"/>
        <v>92.338441039307128</v>
      </c>
      <c r="AB113" s="6">
        <f t="shared" si="16"/>
        <v>98.476190476190482</v>
      </c>
      <c r="AC113" s="6">
        <f t="shared" si="17"/>
        <v>97.624897624897628</v>
      </c>
      <c r="AD113" s="6">
        <f t="shared" si="18"/>
        <v>101.17708605806959</v>
      </c>
      <c r="AE113" s="6">
        <f t="shared" si="18"/>
        <v>99.522673031026258</v>
      </c>
      <c r="AF113" s="6"/>
      <c r="AG113" s="6">
        <f t="shared" si="19"/>
        <v>96.233409413099452</v>
      </c>
      <c r="AH113" s="6">
        <f t="shared" ref="AH113:AH176" si="20">X113/AVERAGE(X$112:X$123)*100</f>
        <v>99.522673031026258</v>
      </c>
      <c r="AI113" s="6"/>
    </row>
    <row r="114" spans="18:35">
      <c r="R114" s="320">
        <f>DATE(LEFT(HAVERM!A119,4)*1,RIGHT(HAVERM!A119,2)*1,1)</f>
        <v>43525</v>
      </c>
      <c r="S114" s="6">
        <f>HAVERM!B119</f>
        <v>101.1</v>
      </c>
      <c r="T114" s="6">
        <f>HAVERM!C119</f>
        <v>71.2</v>
      </c>
      <c r="U114" s="6">
        <f>HAVERM!D119</f>
        <v>106.7</v>
      </c>
      <c r="V114" s="6">
        <f>HAVERM!E119</f>
        <v>89.2</v>
      </c>
      <c r="W114" s="6">
        <f>HAVERM!F119</f>
        <v>95</v>
      </c>
      <c r="X114" s="6">
        <f>HAVERM!G119</f>
        <v>97.3</v>
      </c>
      <c r="Z114" s="6">
        <f t="shared" si="14"/>
        <v>96.900958466453687</v>
      </c>
      <c r="AA114" s="6">
        <f t="shared" si="15"/>
        <v>94.87008660892738</v>
      </c>
      <c r="AB114" s="6">
        <f t="shared" si="16"/>
        <v>101.61904761904763</v>
      </c>
      <c r="AC114" s="6">
        <f t="shared" si="17"/>
        <v>97.406497406497408</v>
      </c>
      <c r="AD114" s="6">
        <f t="shared" si="18"/>
        <v>99.398378236986659</v>
      </c>
      <c r="AE114" s="6">
        <f t="shared" si="18"/>
        <v>99.522673031026258</v>
      </c>
      <c r="AF114" s="6"/>
      <c r="AG114" s="6">
        <f t="shared" si="19"/>
        <v>97.477891388004807</v>
      </c>
      <c r="AH114" s="6">
        <f t="shared" si="20"/>
        <v>99.522673031026258</v>
      </c>
      <c r="AI114" s="6"/>
    </row>
    <row r="115" spans="18:35">
      <c r="R115" s="320">
        <f>DATE(LEFT(HAVERM!A120,4)*1,RIGHT(HAVERM!A120,2)*1,1)</f>
        <v>43556</v>
      </c>
      <c r="S115" s="6">
        <f>HAVERM!B120</f>
        <v>99.8</v>
      </c>
      <c r="T115" s="6">
        <f>HAVERM!C120</f>
        <v>72.900000000000006</v>
      </c>
      <c r="U115" s="6">
        <f>HAVERM!D120</f>
        <v>108.3</v>
      </c>
      <c r="V115" s="6">
        <f>HAVERM!E120</f>
        <v>89.6</v>
      </c>
      <c r="W115" s="6">
        <f>HAVERM!F120</f>
        <v>95.5</v>
      </c>
      <c r="X115" s="6">
        <f>HAVERM!G120</f>
        <v>97</v>
      </c>
      <c r="Z115" s="6">
        <f t="shared" si="14"/>
        <v>95.654952076677333</v>
      </c>
      <c r="AA115" s="6">
        <f t="shared" si="15"/>
        <v>97.135243171219201</v>
      </c>
      <c r="AB115" s="6">
        <f t="shared" si="16"/>
        <v>103.14285714285714</v>
      </c>
      <c r="AC115" s="6">
        <f t="shared" si="17"/>
        <v>97.843297843297833</v>
      </c>
      <c r="AD115" s="6">
        <f t="shared" si="18"/>
        <v>99.921527596128684</v>
      </c>
      <c r="AE115" s="6">
        <f t="shared" si="18"/>
        <v>99.215819979543127</v>
      </c>
      <c r="AF115" s="6"/>
      <c r="AG115" s="6">
        <f t="shared" si="19"/>
        <v>98.605923685719915</v>
      </c>
      <c r="AH115" s="6">
        <f t="shared" si="20"/>
        <v>99.215819979543127</v>
      </c>
      <c r="AI115" s="6"/>
    </row>
    <row r="116" spans="18:35">
      <c r="R116" s="320">
        <f>DATE(LEFT(HAVERM!A121,4)*1,RIGHT(HAVERM!A121,2)*1,1)</f>
        <v>43586</v>
      </c>
      <c r="S116" s="6">
        <f>HAVERM!B121</f>
        <v>102.1</v>
      </c>
      <c r="T116" s="6">
        <f>HAVERM!C121</f>
        <v>74.099999999999994</v>
      </c>
      <c r="U116" s="6">
        <f>HAVERM!D121</f>
        <v>108</v>
      </c>
      <c r="V116" s="6">
        <f>HAVERM!E121</f>
        <v>90.7</v>
      </c>
      <c r="W116" s="6">
        <f>HAVERM!F121</f>
        <v>95</v>
      </c>
      <c r="X116" s="6">
        <f>HAVERM!G121</f>
        <v>97.4</v>
      </c>
      <c r="Z116" s="6">
        <f t="shared" si="14"/>
        <v>97.859424920127807</v>
      </c>
      <c r="AA116" s="6">
        <f t="shared" si="15"/>
        <v>98.734177215189874</v>
      </c>
      <c r="AB116" s="6">
        <f t="shared" si="16"/>
        <v>102.85714285714285</v>
      </c>
      <c r="AC116" s="6">
        <f t="shared" si="17"/>
        <v>99.044499044499048</v>
      </c>
      <c r="AD116" s="6">
        <f t="shared" si="18"/>
        <v>99.398378236986659</v>
      </c>
      <c r="AE116" s="6">
        <f t="shared" si="18"/>
        <v>99.62495738152063</v>
      </c>
      <c r="AF116" s="6"/>
      <c r="AG116" s="6">
        <f t="shared" si="19"/>
        <v>99.546138997423398</v>
      </c>
      <c r="AH116" s="6">
        <f t="shared" si="20"/>
        <v>99.62495738152063</v>
      </c>
      <c r="AI116" s="6"/>
    </row>
    <row r="117" spans="18:35">
      <c r="R117" s="320">
        <f>DATE(LEFT(HAVERM!A122,4)*1,RIGHT(HAVERM!A122,2)*1,1)</f>
        <v>43617</v>
      </c>
      <c r="S117" s="6">
        <f>HAVERM!B122</f>
        <v>102</v>
      </c>
      <c r="T117" s="6">
        <f>HAVERM!C122</f>
        <v>75.3</v>
      </c>
      <c r="U117" s="6">
        <f>HAVERM!D122</f>
        <v>106.2</v>
      </c>
      <c r="V117" s="6">
        <f>HAVERM!E122</f>
        <v>93.6</v>
      </c>
      <c r="W117" s="6">
        <f>HAVERM!F122</f>
        <v>95</v>
      </c>
      <c r="X117" s="6">
        <f>HAVERM!G122</f>
        <v>97.9</v>
      </c>
      <c r="Z117" s="6">
        <f t="shared" si="14"/>
        <v>97.763578274760405</v>
      </c>
      <c r="AA117" s="6">
        <f t="shared" si="15"/>
        <v>100.33311125916056</v>
      </c>
      <c r="AB117" s="6">
        <f t="shared" si="16"/>
        <v>101.14285714285715</v>
      </c>
      <c r="AC117" s="6">
        <f t="shared" si="17"/>
        <v>102.21130221130221</v>
      </c>
      <c r="AD117" s="6">
        <f t="shared" si="18"/>
        <v>99.398378236986659</v>
      </c>
      <c r="AE117" s="6">
        <f t="shared" si="18"/>
        <v>100.13637913399252</v>
      </c>
      <c r="AF117" s="6"/>
      <c r="AG117" s="6">
        <f t="shared" si="19"/>
        <v>100.26838797301198</v>
      </c>
      <c r="AH117" s="6">
        <f t="shared" si="20"/>
        <v>100.13637913399252</v>
      </c>
      <c r="AI117" s="6"/>
    </row>
    <row r="118" spans="18:35">
      <c r="R118" s="320">
        <f>DATE(LEFT(HAVERM!A123,4)*1,RIGHT(HAVERM!A123,2)*1,1)</f>
        <v>43647</v>
      </c>
      <c r="S118" s="6">
        <f>HAVERM!B123</f>
        <v>103.4</v>
      </c>
      <c r="T118" s="6">
        <f>HAVERM!C123</f>
        <v>76.099999999999994</v>
      </c>
      <c r="U118" s="6">
        <f>HAVERM!D123</f>
        <v>102.9</v>
      </c>
      <c r="V118" s="6">
        <f>HAVERM!E123</f>
        <v>91.8</v>
      </c>
      <c r="W118" s="6">
        <f>HAVERM!F123</f>
        <v>95.7</v>
      </c>
      <c r="X118" s="6">
        <f>HAVERM!G123</f>
        <v>98.2</v>
      </c>
      <c r="Z118" s="6">
        <f t="shared" si="14"/>
        <v>99.105431309904176</v>
      </c>
      <c r="AA118" s="6">
        <f t="shared" si="15"/>
        <v>101.39906728847434</v>
      </c>
      <c r="AB118" s="6">
        <f t="shared" si="16"/>
        <v>98.000000000000014</v>
      </c>
      <c r="AC118" s="6">
        <f t="shared" si="17"/>
        <v>100.24570024570023</v>
      </c>
      <c r="AD118" s="6">
        <f t="shared" si="18"/>
        <v>100.13078733978551</v>
      </c>
      <c r="AE118" s="6">
        <f t="shared" si="18"/>
        <v>100.44323218547562</v>
      </c>
      <c r="AF118" s="6"/>
      <c r="AG118" s="6">
        <f t="shared" si="19"/>
        <v>100.08873739682164</v>
      </c>
      <c r="AH118" s="6">
        <f t="shared" si="20"/>
        <v>100.44323218547562</v>
      </c>
      <c r="AI118" s="6"/>
    </row>
    <row r="119" spans="18:35">
      <c r="R119" s="320">
        <f>DATE(LEFT(HAVERM!A124,4)*1,RIGHT(HAVERM!A124,2)*1,1)</f>
        <v>43678</v>
      </c>
      <c r="S119" s="6">
        <f>HAVERM!B124</f>
        <v>104.9</v>
      </c>
      <c r="T119" s="6">
        <f>HAVERM!C124</f>
        <v>76.400000000000006</v>
      </c>
      <c r="U119" s="6">
        <f>HAVERM!D124</f>
        <v>99.8</v>
      </c>
      <c r="V119" s="6">
        <f>HAVERM!E124</f>
        <v>93.1</v>
      </c>
      <c r="W119" s="6">
        <f>HAVERM!F124</f>
        <v>96.2</v>
      </c>
      <c r="X119" s="6">
        <f>HAVERM!G124</f>
        <v>98</v>
      </c>
      <c r="Z119" s="6">
        <f t="shared" si="14"/>
        <v>100.54313099041536</v>
      </c>
      <c r="AA119" s="6">
        <f t="shared" si="15"/>
        <v>101.79880079946703</v>
      </c>
      <c r="AB119" s="6">
        <f t="shared" si="16"/>
        <v>95.047619047619051</v>
      </c>
      <c r="AC119" s="6">
        <f t="shared" si="17"/>
        <v>101.66530166530166</v>
      </c>
      <c r="AD119" s="6">
        <f t="shared" si="18"/>
        <v>100.65393669892755</v>
      </c>
      <c r="AE119" s="6">
        <f t="shared" si="18"/>
        <v>100.23866348448686</v>
      </c>
      <c r="AF119" s="6"/>
      <c r="AG119" s="6">
        <f t="shared" si="19"/>
        <v>100.15497214067065</v>
      </c>
      <c r="AH119" s="6">
        <f t="shared" si="20"/>
        <v>100.23866348448686</v>
      </c>
      <c r="AI119" s="6"/>
    </row>
    <row r="120" spans="18:35">
      <c r="R120" s="320">
        <f>DATE(LEFT(HAVERM!A125,4)*1,RIGHT(HAVERM!A125,2)*1,1)</f>
        <v>43709</v>
      </c>
      <c r="S120" s="6">
        <f>HAVERM!B125</f>
        <v>105.9</v>
      </c>
      <c r="T120" s="6">
        <f>HAVERM!C125</f>
        <v>76.900000000000006</v>
      </c>
      <c r="U120" s="6">
        <f>HAVERM!D125</f>
        <v>100.7</v>
      </c>
      <c r="V120" s="6">
        <f>HAVERM!E125</f>
        <v>96</v>
      </c>
      <c r="W120" s="6">
        <f>HAVERM!F125</f>
        <v>96</v>
      </c>
      <c r="X120" s="6">
        <f>HAVERM!G125</f>
        <v>98.5</v>
      </c>
      <c r="Z120" s="6">
        <f t="shared" si="14"/>
        <v>101.50159744408948</v>
      </c>
      <c r="AA120" s="6">
        <f t="shared" si="15"/>
        <v>102.46502331778815</v>
      </c>
      <c r="AB120" s="6">
        <f t="shared" si="16"/>
        <v>95.904761904761898</v>
      </c>
      <c r="AC120" s="6">
        <f t="shared" si="17"/>
        <v>104.83210483210483</v>
      </c>
      <c r="AD120" s="6">
        <f t="shared" si="18"/>
        <v>100.44467695527072</v>
      </c>
      <c r="AE120" s="6">
        <f t="shared" si="18"/>
        <v>100.75008523695874</v>
      </c>
      <c r="AF120" s="6"/>
      <c r="AG120" s="6">
        <f t="shared" si="19"/>
        <v>101.11893077845076</v>
      </c>
      <c r="AH120" s="6">
        <f t="shared" si="20"/>
        <v>100.75008523695874</v>
      </c>
      <c r="AI120" s="6"/>
    </row>
    <row r="121" spans="18:35">
      <c r="R121" s="320">
        <f>DATE(LEFT(HAVERM!A126,4)*1,RIGHT(HAVERM!A126,2)*1,1)</f>
        <v>43739</v>
      </c>
      <c r="S121" s="6">
        <f>HAVERM!B126</f>
        <v>106.8</v>
      </c>
      <c r="T121" s="6">
        <f>HAVERM!C126</f>
        <v>78.599999999999994</v>
      </c>
      <c r="U121" s="6">
        <f>HAVERM!D126</f>
        <v>101.7</v>
      </c>
      <c r="V121" s="6">
        <f>HAVERM!E126</f>
        <v>92.9</v>
      </c>
      <c r="W121" s="6">
        <f>HAVERM!F126</f>
        <v>94.5</v>
      </c>
      <c r="X121" s="6">
        <f>HAVERM!G126</f>
        <v>98.3</v>
      </c>
      <c r="Z121" s="6">
        <f t="shared" si="14"/>
        <v>102.36421725239617</v>
      </c>
      <c r="AA121" s="6">
        <f t="shared" si="15"/>
        <v>104.73017988007993</v>
      </c>
      <c r="AB121" s="6">
        <f t="shared" si="16"/>
        <v>96.857142857142861</v>
      </c>
      <c r="AC121" s="6">
        <f t="shared" si="17"/>
        <v>101.44690144690145</v>
      </c>
      <c r="AD121" s="6">
        <f t="shared" si="18"/>
        <v>98.87522887784462</v>
      </c>
      <c r="AE121" s="6">
        <f t="shared" si="18"/>
        <v>100.54551653596999</v>
      </c>
      <c r="AF121" s="6"/>
      <c r="AG121" s="6">
        <f t="shared" si="19"/>
        <v>101.55451060980636</v>
      </c>
      <c r="AH121" s="6">
        <f t="shared" si="20"/>
        <v>100.54551653596999</v>
      </c>
      <c r="AI121" s="6"/>
    </row>
    <row r="122" spans="18:35">
      <c r="R122" s="320">
        <f>DATE(LEFT(HAVERM!A127,4)*1,RIGHT(HAVERM!A127,2)*1,1)</f>
        <v>43770</v>
      </c>
      <c r="S122" s="6">
        <f>HAVERM!B127</f>
        <v>110</v>
      </c>
      <c r="T122" s="6">
        <f>HAVERM!C127</f>
        <v>81</v>
      </c>
      <c r="U122" s="6">
        <f>HAVERM!D127</f>
        <v>106.5</v>
      </c>
      <c r="V122" s="6">
        <f>HAVERM!E127</f>
        <v>92.1</v>
      </c>
      <c r="W122" s="6">
        <f>HAVERM!F127</f>
        <v>95.9</v>
      </c>
      <c r="X122" s="6">
        <f>HAVERM!G127</f>
        <v>98.1</v>
      </c>
      <c r="Z122" s="6">
        <f t="shared" si="14"/>
        <v>105.43130990415337</v>
      </c>
      <c r="AA122" s="6">
        <f t="shared" si="15"/>
        <v>107.92804796802132</v>
      </c>
      <c r="AB122" s="6">
        <f t="shared" si="16"/>
        <v>101.42857142857142</v>
      </c>
      <c r="AC122" s="6">
        <f t="shared" si="17"/>
        <v>100.57330057330056</v>
      </c>
      <c r="AD122" s="6">
        <f t="shared" si="18"/>
        <v>100.34004708344233</v>
      </c>
      <c r="AE122" s="6">
        <f t="shared" si="18"/>
        <v>100.34094783498124</v>
      </c>
      <c r="AF122" s="6"/>
      <c r="AG122" s="6">
        <f t="shared" si="19"/>
        <v>104.1496782105786</v>
      </c>
      <c r="AH122" s="6">
        <f t="shared" si="20"/>
        <v>100.34094783498124</v>
      </c>
      <c r="AI122" s="6"/>
    </row>
    <row r="123" spans="18:35">
      <c r="R123" s="320">
        <f>DATE(LEFT(HAVERM!A128,4)*1,RIGHT(HAVERM!A128,2)*1,1)</f>
        <v>43800</v>
      </c>
      <c r="S123" s="6">
        <f>HAVERM!B128</f>
        <v>112.8</v>
      </c>
      <c r="T123" s="6">
        <f>HAVERM!C128</f>
        <v>81.5</v>
      </c>
      <c r="U123" s="6">
        <f>HAVERM!D128</f>
        <v>116.3</v>
      </c>
      <c r="V123" s="6">
        <f>HAVERM!E128</f>
        <v>93</v>
      </c>
      <c r="W123" s="6">
        <f>HAVERM!F128</f>
        <v>96.8</v>
      </c>
      <c r="X123" s="6">
        <f>HAVERM!G128</f>
        <v>98.5</v>
      </c>
      <c r="Z123" s="6">
        <f t="shared" si="14"/>
        <v>108.11501597444091</v>
      </c>
      <c r="AA123" s="6">
        <f t="shared" si="15"/>
        <v>108.59427048634245</v>
      </c>
      <c r="AB123" s="6">
        <f t="shared" si="16"/>
        <v>110.76190476190474</v>
      </c>
      <c r="AC123" s="6">
        <f t="shared" si="17"/>
        <v>101.55610155610155</v>
      </c>
      <c r="AD123" s="6">
        <f t="shared" si="18"/>
        <v>101.28171592989798</v>
      </c>
      <c r="AE123" s="6">
        <f t="shared" si="18"/>
        <v>100.75008523695874</v>
      </c>
      <c r="AF123" s="6"/>
      <c r="AG123" s="6">
        <f t="shared" si="19"/>
        <v>106.81814110649901</v>
      </c>
      <c r="AH123" s="6">
        <f t="shared" si="20"/>
        <v>100.75008523695874</v>
      </c>
      <c r="AI123" s="6"/>
    </row>
    <row r="124" spans="18:35">
      <c r="R124" s="320">
        <f>DATE(LEFT(HAVERM!A129,4)*1,RIGHT(HAVERM!A129,2)*1,1)</f>
        <v>43831</v>
      </c>
      <c r="S124" s="6">
        <f>HAVERM!B129</f>
        <v>112.8</v>
      </c>
      <c r="T124" s="6">
        <f>HAVERM!C129</f>
        <v>80.5</v>
      </c>
      <c r="U124" s="6">
        <f>HAVERM!D129</f>
        <v>127.8</v>
      </c>
      <c r="V124" s="6">
        <f>HAVERM!E129</f>
        <v>92.5</v>
      </c>
      <c r="W124" s="6">
        <f>HAVERM!F129</f>
        <v>96.7</v>
      </c>
      <c r="X124" s="6">
        <f>HAVERM!G129</f>
        <v>98.6</v>
      </c>
      <c r="Z124" s="6">
        <f t="shared" si="14"/>
        <v>108.11501597444091</v>
      </c>
      <c r="AA124" s="6">
        <f t="shared" si="15"/>
        <v>107.2618254497002</v>
      </c>
      <c r="AB124" s="6">
        <f t="shared" si="16"/>
        <v>121.71428571428571</v>
      </c>
      <c r="AC124" s="6">
        <f t="shared" si="17"/>
        <v>101.01010101010101</v>
      </c>
      <c r="AD124" s="6">
        <f t="shared" si="18"/>
        <v>101.17708605806959</v>
      </c>
      <c r="AE124" s="6">
        <f t="shared" si="18"/>
        <v>100.85236958745311</v>
      </c>
      <c r="AF124" s="6"/>
      <c r="AG124" s="6">
        <f t="shared" si="19"/>
        <v>108.29619368069625</v>
      </c>
      <c r="AH124" s="6">
        <f t="shared" si="20"/>
        <v>100.85236958745311</v>
      </c>
      <c r="AI124" s="6"/>
    </row>
    <row r="125" spans="18:35">
      <c r="R125" s="320">
        <f>DATE(LEFT(HAVERM!A130,4)*1,RIGHT(HAVERM!A130,2)*1,1)</f>
        <v>43862</v>
      </c>
      <c r="S125" s="6">
        <f>HAVERM!B130</f>
        <v>117.6</v>
      </c>
      <c r="T125" s="6">
        <f>HAVERM!C130</f>
        <v>79.8</v>
      </c>
      <c r="U125" s="6">
        <f>HAVERM!D130</f>
        <v>127</v>
      </c>
      <c r="V125" s="6">
        <f>HAVERM!E130</f>
        <v>94.4</v>
      </c>
      <c r="W125" s="6">
        <f>HAVERM!F130</f>
        <v>97.1</v>
      </c>
      <c r="X125" s="6">
        <f>HAVERM!G130</f>
        <v>98.1</v>
      </c>
      <c r="Z125" s="6">
        <f t="shared" si="14"/>
        <v>112.71565495207669</v>
      </c>
      <c r="AA125" s="6">
        <f t="shared" si="15"/>
        <v>106.32911392405062</v>
      </c>
      <c r="AB125" s="6">
        <f t="shared" si="16"/>
        <v>120.95238095238095</v>
      </c>
      <c r="AC125" s="6">
        <f t="shared" si="17"/>
        <v>103.08490308490308</v>
      </c>
      <c r="AD125" s="6">
        <f t="shared" si="18"/>
        <v>101.59560554538321</v>
      </c>
      <c r="AE125" s="6">
        <f t="shared" si="18"/>
        <v>100.34094783498124</v>
      </c>
      <c r="AF125" s="6"/>
      <c r="AG125" s="6">
        <f t="shared" si="19"/>
        <v>108.77058491968089</v>
      </c>
      <c r="AH125" s="6">
        <f t="shared" si="20"/>
        <v>100.34094783498124</v>
      </c>
      <c r="AI125" s="6"/>
    </row>
    <row r="126" spans="18:35">
      <c r="R126" s="320">
        <f>DATE(LEFT(HAVERM!A131,4)*1,RIGHT(HAVERM!A131,2)*1,1)</f>
        <v>43891</v>
      </c>
      <c r="S126" s="6">
        <f>HAVERM!B131</f>
        <v>105.8</v>
      </c>
      <c r="T126" s="6">
        <f>HAVERM!C131</f>
        <v>59.4</v>
      </c>
      <c r="U126" s="6">
        <f>HAVERM!D131</f>
        <v>119.8</v>
      </c>
      <c r="V126" s="6">
        <f>HAVERM!E131</f>
        <v>95.1</v>
      </c>
      <c r="W126" s="6">
        <f>HAVERM!F131</f>
        <v>92.5</v>
      </c>
      <c r="X126" s="6">
        <f>HAVERM!G131</f>
        <v>91</v>
      </c>
      <c r="Z126" s="6">
        <f t="shared" si="14"/>
        <v>101.40575079872205</v>
      </c>
      <c r="AA126" s="6">
        <f t="shared" si="15"/>
        <v>79.147235176548975</v>
      </c>
      <c r="AB126" s="6">
        <f t="shared" si="16"/>
        <v>114.09523809523809</v>
      </c>
      <c r="AC126" s="6">
        <f t="shared" si="17"/>
        <v>103.84930384930384</v>
      </c>
      <c r="AD126" s="6">
        <f t="shared" si="18"/>
        <v>96.782631441276479</v>
      </c>
      <c r="AE126" s="6">
        <f t="shared" si="18"/>
        <v>93.078758949880665</v>
      </c>
      <c r="AF126" s="6"/>
      <c r="AG126" s="6">
        <f t="shared" si="19"/>
        <v>94.978107091310264</v>
      </c>
      <c r="AH126" s="6">
        <f t="shared" si="20"/>
        <v>93.078758949880665</v>
      </c>
      <c r="AI126" s="6"/>
    </row>
    <row r="127" spans="18:35">
      <c r="R127" s="320">
        <f>DATE(LEFT(HAVERM!A132,4)*1,RIGHT(HAVERM!A132,2)*1,1)</f>
        <v>43922</v>
      </c>
      <c r="S127" s="6">
        <f>HAVERM!B132</f>
        <v>79.3</v>
      </c>
      <c r="T127" s="6">
        <f>HAVERM!C132</f>
        <v>50</v>
      </c>
      <c r="U127" s="6">
        <f>HAVERM!D132</f>
        <v>98.5</v>
      </c>
      <c r="V127" s="6">
        <f>HAVERM!E132</f>
        <v>89.8</v>
      </c>
      <c r="W127" s="6">
        <f>HAVERM!F132</f>
        <v>54</v>
      </c>
      <c r="X127" s="6">
        <f>HAVERM!G132</f>
        <v>73.2</v>
      </c>
      <c r="Z127" s="6">
        <f t="shared" si="14"/>
        <v>76.006389776357835</v>
      </c>
      <c r="AA127" s="6">
        <f t="shared" si="15"/>
        <v>66.622251832111928</v>
      </c>
      <c r="AB127" s="6">
        <f t="shared" si="16"/>
        <v>93.80952380952381</v>
      </c>
      <c r="AC127" s="6">
        <f t="shared" si="17"/>
        <v>98.061698061698053</v>
      </c>
      <c r="AD127" s="6">
        <f t="shared" si="18"/>
        <v>56.500130787339785</v>
      </c>
      <c r="AE127" s="6">
        <f t="shared" si="18"/>
        <v>74.872144561882038</v>
      </c>
      <c r="AF127" s="6"/>
      <c r="AG127" s="6">
        <f t="shared" si="19"/>
        <v>75.969624875041873</v>
      </c>
      <c r="AH127" s="6">
        <f t="shared" si="20"/>
        <v>74.872144561882038</v>
      </c>
      <c r="AI127" s="6"/>
    </row>
    <row r="128" spans="18:35">
      <c r="R128" s="320">
        <f>DATE(LEFT(HAVERM!A133,4)*1,RIGHT(HAVERM!A133,2)*1,1)</f>
        <v>43952</v>
      </c>
      <c r="S128" s="6">
        <f>HAVERM!B133</f>
        <v>87.3</v>
      </c>
      <c r="T128" s="6">
        <f>HAVERM!C133</f>
        <v>59.1</v>
      </c>
      <c r="U128" s="6">
        <f>HAVERM!D133</f>
        <v>91.5</v>
      </c>
      <c r="V128" s="6">
        <f>HAVERM!E133</f>
        <v>88.4</v>
      </c>
      <c r="W128" s="6">
        <f>HAVERM!F133</f>
        <v>59.3</v>
      </c>
      <c r="X128" s="6">
        <f>HAVERM!G133</f>
        <v>74.7</v>
      </c>
      <c r="Z128" s="6">
        <f t="shared" si="14"/>
        <v>83.67412140575081</v>
      </c>
      <c r="AA128" s="6">
        <f t="shared" si="15"/>
        <v>78.7475016655563</v>
      </c>
      <c r="AB128" s="6">
        <f t="shared" si="16"/>
        <v>87.142857142857139</v>
      </c>
      <c r="AC128" s="6">
        <f t="shared" si="17"/>
        <v>96.532896532896544</v>
      </c>
      <c r="AD128" s="6">
        <f t="shared" si="18"/>
        <v>62.045513994245347</v>
      </c>
      <c r="AE128" s="6">
        <f t="shared" si="18"/>
        <v>76.40640981929765</v>
      </c>
      <c r="AF128" s="6"/>
      <c r="AG128" s="6">
        <f t="shared" si="19"/>
        <v>80.977051918738979</v>
      </c>
      <c r="AH128" s="6">
        <f t="shared" si="20"/>
        <v>76.40640981929765</v>
      </c>
      <c r="AI128" s="6"/>
    </row>
    <row r="129" spans="18:35">
      <c r="R129" s="320">
        <f>DATE(LEFT(HAVERM!A134,4)*1,RIGHT(HAVERM!A134,2)*1,1)</f>
        <v>43983</v>
      </c>
      <c r="S129" s="6">
        <f>HAVERM!B134</f>
        <v>102.9</v>
      </c>
      <c r="T129" s="6">
        <f>HAVERM!C134</f>
        <v>76.099999999999994</v>
      </c>
      <c r="U129" s="6">
        <f>HAVERM!D134</f>
        <v>99.2</v>
      </c>
      <c r="V129" s="6">
        <f>HAVERM!E134</f>
        <v>88.7</v>
      </c>
      <c r="W129" s="6">
        <f>HAVERM!F134</f>
        <v>72.7</v>
      </c>
      <c r="X129" s="6">
        <f>HAVERM!G134</f>
        <v>81.7</v>
      </c>
      <c r="Z129" s="6">
        <f t="shared" si="14"/>
        <v>98.626198083067123</v>
      </c>
      <c r="AA129" s="6">
        <f t="shared" si="15"/>
        <v>101.39906728847434</v>
      </c>
      <c r="AB129" s="6">
        <f t="shared" si="16"/>
        <v>94.476190476190482</v>
      </c>
      <c r="AC129" s="6">
        <f t="shared" si="17"/>
        <v>96.860496860496852</v>
      </c>
      <c r="AD129" s="6">
        <f t="shared" si="18"/>
        <v>76.065916819251896</v>
      </c>
      <c r="AE129" s="6">
        <f t="shared" si="18"/>
        <v>83.566314353903863</v>
      </c>
      <c r="AF129" s="6"/>
      <c r="AG129" s="6">
        <f t="shared" si="19"/>
        <v>95.186937323840382</v>
      </c>
      <c r="AH129" s="6">
        <f t="shared" si="20"/>
        <v>83.566314353903863</v>
      </c>
      <c r="AI129" s="6"/>
    </row>
    <row r="130" spans="18:35">
      <c r="R130" s="320">
        <f>DATE(LEFT(HAVERM!A135,4)*1,RIGHT(HAVERM!A135,2)*1,1)</f>
        <v>44013</v>
      </c>
      <c r="S130" s="6">
        <f>HAVERM!B135</f>
        <v>105.8</v>
      </c>
      <c r="T130" s="6">
        <f>HAVERM!C135</f>
        <v>69.7</v>
      </c>
      <c r="U130" s="6">
        <f>HAVERM!D135</f>
        <v>104.3</v>
      </c>
      <c r="V130" s="6">
        <f>HAVERM!E135</f>
        <v>93.1</v>
      </c>
      <c r="W130" s="6">
        <f>HAVERM!F135</f>
        <v>83.8</v>
      </c>
      <c r="X130" s="6">
        <f>HAVERM!G135</f>
        <v>87.1</v>
      </c>
      <c r="Z130" s="6">
        <f t="shared" si="14"/>
        <v>101.40575079872205</v>
      </c>
      <c r="AA130" s="6">
        <f t="shared" si="15"/>
        <v>92.871419053964033</v>
      </c>
      <c r="AB130" s="6">
        <f t="shared" si="16"/>
        <v>99.333333333333329</v>
      </c>
      <c r="AC130" s="6">
        <f t="shared" si="17"/>
        <v>101.66530166530166</v>
      </c>
      <c r="AD130" s="6">
        <f t="shared" si="18"/>
        <v>87.679832592205059</v>
      </c>
      <c r="AE130" s="6">
        <f t="shared" si="18"/>
        <v>89.089669280600063</v>
      </c>
      <c r="AF130" s="6"/>
      <c r="AG130" s="6">
        <f t="shared" si="19"/>
        <v>95.696566375820126</v>
      </c>
      <c r="AH130" s="6">
        <f t="shared" si="20"/>
        <v>89.089669280600063</v>
      </c>
      <c r="AI130" s="6"/>
    </row>
    <row r="131" spans="18:35">
      <c r="R131" s="320">
        <f>DATE(LEFT(HAVERM!A136,4)*1,RIGHT(HAVERM!A136,2)*1,1)</f>
        <v>44044</v>
      </c>
      <c r="S131" s="6">
        <f>HAVERM!B136</f>
        <v>109.1</v>
      </c>
      <c r="T131" s="6">
        <f>HAVERM!C136</f>
        <v>69.2</v>
      </c>
      <c r="U131" s="6">
        <f>HAVERM!D136</f>
        <v>118.4</v>
      </c>
      <c r="V131" s="6">
        <f>HAVERM!E136</f>
        <v>91.7</v>
      </c>
      <c r="W131" s="6">
        <f>HAVERM!F136</f>
        <v>86.3</v>
      </c>
      <c r="X131" s="6">
        <f>HAVERM!G136</f>
        <v>90</v>
      </c>
      <c r="Z131" s="6">
        <f t="shared" si="14"/>
        <v>104.56869009584666</v>
      </c>
      <c r="AA131" s="6">
        <f t="shared" si="15"/>
        <v>92.205196535642912</v>
      </c>
      <c r="AB131" s="6">
        <f t="shared" si="16"/>
        <v>112.76190476190477</v>
      </c>
      <c r="AC131" s="6">
        <f t="shared" si="17"/>
        <v>100.13650013650013</v>
      </c>
      <c r="AD131" s="6">
        <f t="shared" si="18"/>
        <v>90.295579387915254</v>
      </c>
      <c r="AE131" s="6">
        <f t="shared" si="18"/>
        <v>92.055915444936929</v>
      </c>
      <c r="AF131" s="6"/>
      <c r="AG131" s="6">
        <f t="shared" si="19"/>
        <v>98.597357556649968</v>
      </c>
      <c r="AH131" s="6">
        <f t="shared" si="20"/>
        <v>92.055915444936929</v>
      </c>
      <c r="AI131" s="6"/>
    </row>
    <row r="132" spans="18:35">
      <c r="R132" s="320">
        <f>DATE(LEFT(HAVERM!A137,4)*1,RIGHT(HAVERM!A137,2)*1,1)</f>
        <v>44075</v>
      </c>
      <c r="S132" s="6">
        <f>HAVERM!B137</f>
        <v>113.2</v>
      </c>
      <c r="T132" s="6">
        <f>HAVERM!C137</f>
        <v>86.2</v>
      </c>
      <c r="U132" s="6">
        <f>HAVERM!D137</f>
        <v>126.2</v>
      </c>
      <c r="V132" s="6">
        <f>HAVERM!E137</f>
        <v>92.7</v>
      </c>
      <c r="W132" s="6">
        <f>HAVERM!F137</f>
        <v>89</v>
      </c>
      <c r="X132" s="6">
        <f>HAVERM!G137</f>
        <v>91.3</v>
      </c>
      <c r="Z132" s="6">
        <f t="shared" si="14"/>
        <v>108.49840255591057</v>
      </c>
      <c r="AA132" s="6">
        <f t="shared" si="15"/>
        <v>114.85676215856098</v>
      </c>
      <c r="AB132" s="6">
        <f t="shared" si="16"/>
        <v>120.1904761904762</v>
      </c>
      <c r="AC132" s="6">
        <f t="shared" si="17"/>
        <v>101.22850122850122</v>
      </c>
      <c r="AD132" s="6">
        <f t="shared" si="18"/>
        <v>93.120585927282235</v>
      </c>
      <c r="AE132" s="6">
        <f t="shared" si="18"/>
        <v>93.385612001363796</v>
      </c>
      <c r="AF132" s="6"/>
      <c r="AG132" s="6">
        <f t="shared" si="19"/>
        <v>109.74771282186727</v>
      </c>
      <c r="AH132" s="6">
        <f t="shared" si="20"/>
        <v>93.385612001363796</v>
      </c>
      <c r="AI132" s="6"/>
    </row>
    <row r="133" spans="18:35">
      <c r="R133" s="320">
        <f>DATE(LEFT(HAVERM!A138,4)*1,RIGHT(HAVERM!A138,2)*1,1)</f>
        <v>44105</v>
      </c>
      <c r="S133" s="6">
        <f>HAVERM!B138</f>
        <v>114.2</v>
      </c>
      <c r="T133" s="6">
        <f>HAVERM!C138</f>
        <v>78.599999999999994</v>
      </c>
      <c r="U133" s="6">
        <f>HAVERM!D138</f>
        <v>122.3</v>
      </c>
      <c r="V133" s="6">
        <f>HAVERM!E138</f>
        <v>90.7</v>
      </c>
      <c r="W133" s="6">
        <f>HAVERM!F138</f>
        <v>89.1</v>
      </c>
      <c r="X133" s="6">
        <f>HAVERM!G138</f>
        <v>91.7</v>
      </c>
      <c r="Z133" s="6">
        <f t="shared" ref="Z133:Z183" si="21">S133/AVERAGE(S$112:S$123)*100</f>
        <v>109.45686900958469</v>
      </c>
      <c r="AA133" s="6">
        <f t="shared" ref="AA133:AA183" si="22">T133/AVERAGE(T$112:T$123)*100</f>
        <v>104.73017988007993</v>
      </c>
      <c r="AB133" s="6">
        <f t="shared" ref="AB133:AB183" si="23">U133/AVERAGE(U$112:U$123)*100</f>
        <v>116.47619047619047</v>
      </c>
      <c r="AC133" s="6">
        <f t="shared" ref="AC133:AC183" si="24">V133/AVERAGE(V$112:V$123)*100</f>
        <v>99.044499044499048</v>
      </c>
      <c r="AD133" s="6">
        <f t="shared" ref="AD133:AE183" si="25">W133/AVERAGE(W$112:W$123)*100</f>
        <v>93.225215799110643</v>
      </c>
      <c r="AE133" s="6">
        <f t="shared" si="25"/>
        <v>93.794749403341299</v>
      </c>
      <c r="AF133" s="6"/>
      <c r="AG133" s="6">
        <f t="shared" ref="AG133:AG183" si="26">SUMPRODUCT(Z133:AD133,$Z$2:$AD$2)/SUM($Z$2:$AD$2)</f>
        <v>105.01840744661548</v>
      </c>
      <c r="AH133" s="6">
        <f t="shared" si="20"/>
        <v>93.794749403341299</v>
      </c>
      <c r="AI133" s="6"/>
    </row>
    <row r="134" spans="18:35">
      <c r="R134" s="320">
        <f>DATE(LEFT(HAVERM!A139,4)*1,RIGHT(HAVERM!A139,2)*1,1)</f>
        <v>44136</v>
      </c>
      <c r="S134" s="6">
        <f>HAVERM!B139</f>
        <v>112.8</v>
      </c>
      <c r="T134" s="6">
        <f>HAVERM!C139</f>
        <v>79.7</v>
      </c>
      <c r="U134" s="6">
        <f>HAVERM!D139</f>
        <v>116.5</v>
      </c>
      <c r="V134" s="6">
        <f>HAVERM!E139</f>
        <v>89</v>
      </c>
      <c r="W134" s="6">
        <f>HAVERM!F139</f>
        <v>90.1</v>
      </c>
      <c r="X134" s="6">
        <f>HAVERM!G139</f>
        <v>89.7</v>
      </c>
      <c r="Z134" s="6">
        <f t="shared" si="21"/>
        <v>108.11501597444091</v>
      </c>
      <c r="AA134" s="6">
        <f t="shared" si="22"/>
        <v>106.19586942038642</v>
      </c>
      <c r="AB134" s="6">
        <f t="shared" si="23"/>
        <v>110.95238095238096</v>
      </c>
      <c r="AC134" s="6">
        <f t="shared" si="24"/>
        <v>97.188097188097188</v>
      </c>
      <c r="AD134" s="6">
        <f t="shared" si="25"/>
        <v>94.271514517394706</v>
      </c>
      <c r="AE134" s="6">
        <f t="shared" si="25"/>
        <v>91.749062393453812</v>
      </c>
      <c r="AF134" s="6"/>
      <c r="AG134" s="6">
        <f t="shared" si="26"/>
        <v>104.244256133714</v>
      </c>
      <c r="AH134" s="6">
        <f t="shared" si="20"/>
        <v>91.749062393453812</v>
      </c>
      <c r="AI134" s="6"/>
    </row>
    <row r="135" spans="18:35">
      <c r="R135" s="320">
        <f>DATE(LEFT(HAVERM!A140,4)*1,RIGHT(HAVERM!A140,2)*1,1)</f>
        <v>44166</v>
      </c>
      <c r="S135" s="6">
        <f>HAVERM!B140</f>
        <v>116.9</v>
      </c>
      <c r="T135" s="6">
        <f>HAVERM!C140</f>
        <v>80.2</v>
      </c>
      <c r="U135" s="6">
        <f>HAVERM!D140</f>
        <v>115.6</v>
      </c>
      <c r="V135" s="6">
        <f>HAVERM!E140</f>
        <v>89.4</v>
      </c>
      <c r="W135" s="6">
        <f>HAVERM!F140</f>
        <v>89.1</v>
      </c>
      <c r="X135" s="6">
        <f>HAVERM!G140</f>
        <v>91.1</v>
      </c>
      <c r="Z135" s="6">
        <f t="shared" si="21"/>
        <v>112.04472843450482</v>
      </c>
      <c r="AA135" s="6">
        <f t="shared" si="22"/>
        <v>106.86209193870752</v>
      </c>
      <c r="AB135" s="6">
        <f t="shared" si="23"/>
        <v>110.09523809523809</v>
      </c>
      <c r="AC135" s="6">
        <f t="shared" si="24"/>
        <v>97.624897624897628</v>
      </c>
      <c r="AD135" s="6">
        <f t="shared" si="25"/>
        <v>93.225215799110643</v>
      </c>
      <c r="AE135" s="6">
        <f t="shared" si="25"/>
        <v>93.181043300375038</v>
      </c>
      <c r="AF135" s="6"/>
      <c r="AG135" s="6">
        <f t="shared" si="26"/>
        <v>104.76199396162657</v>
      </c>
      <c r="AH135" s="6">
        <f t="shared" si="20"/>
        <v>93.181043300375038</v>
      </c>
      <c r="AI135" s="6"/>
    </row>
    <row r="136" spans="18:35">
      <c r="R136" s="320">
        <f>DATE(LEFT(HAVERM!A141,4)*1,RIGHT(HAVERM!A141,2)*1,1)</f>
        <v>44197</v>
      </c>
      <c r="S136" s="6">
        <f>HAVERM!B141</f>
        <v>107.5</v>
      </c>
      <c r="T136" s="6">
        <f>HAVERM!C141</f>
        <v>81.3</v>
      </c>
      <c r="U136" s="6">
        <f>HAVERM!D141</f>
        <v>118.8</v>
      </c>
      <c r="V136" s="6">
        <f>HAVERM!E141</f>
        <v>90.2</v>
      </c>
      <c r="W136" s="6">
        <f>HAVERM!F141</f>
        <v>87.9</v>
      </c>
      <c r="X136" s="6">
        <f>HAVERM!G141</f>
        <v>88.1</v>
      </c>
      <c r="Z136" s="6">
        <f t="shared" si="21"/>
        <v>103.03514376996807</v>
      </c>
      <c r="AA136" s="6">
        <f t="shared" si="22"/>
        <v>108.32778147901398</v>
      </c>
      <c r="AB136" s="6">
        <f t="shared" si="23"/>
        <v>113.14285714285714</v>
      </c>
      <c r="AC136" s="6">
        <f t="shared" si="24"/>
        <v>98.498498498498492</v>
      </c>
      <c r="AD136" s="6">
        <f t="shared" si="25"/>
        <v>91.969657337169764</v>
      </c>
      <c r="AE136" s="6">
        <f t="shared" si="25"/>
        <v>90.112512785543814</v>
      </c>
      <c r="AF136" s="6"/>
      <c r="AG136" s="6">
        <f t="shared" si="26"/>
        <v>104.6280460084659</v>
      </c>
      <c r="AH136" s="6">
        <f t="shared" si="20"/>
        <v>90.112512785543814</v>
      </c>
      <c r="AI136" s="6"/>
    </row>
    <row r="137" spans="18:35">
      <c r="R137" s="320">
        <f>DATE(LEFT(HAVERM!A142,4)*1,RIGHT(HAVERM!A142,2)*1,1)</f>
        <v>44228</v>
      </c>
      <c r="S137" s="6">
        <f>HAVERM!B142</f>
        <v>106.8</v>
      </c>
      <c r="T137" s="6">
        <f>HAVERM!C142</f>
        <v>80.900000000000006</v>
      </c>
      <c r="U137" s="6">
        <f>HAVERM!D142</f>
        <v>118.2</v>
      </c>
      <c r="V137" s="6">
        <f>HAVERM!E142</f>
        <v>89.5</v>
      </c>
      <c r="W137" s="6">
        <f>HAVERM!F142</f>
        <v>92</v>
      </c>
      <c r="X137" s="6">
        <f>HAVERM!G142</f>
        <v>89.4</v>
      </c>
      <c r="Z137" s="6">
        <f t="shared" si="21"/>
        <v>102.36421725239617</v>
      </c>
      <c r="AA137" s="6">
        <f t="shared" si="22"/>
        <v>107.7948034643571</v>
      </c>
      <c r="AB137" s="6">
        <f t="shared" si="23"/>
        <v>112.57142857142857</v>
      </c>
      <c r="AC137" s="6">
        <f t="shared" si="24"/>
        <v>97.73409773409773</v>
      </c>
      <c r="AD137" s="6">
        <f t="shared" si="25"/>
        <v>96.259482082134454</v>
      </c>
      <c r="AE137" s="6">
        <f t="shared" si="25"/>
        <v>91.442209341970681</v>
      </c>
      <c r="AF137" s="6"/>
      <c r="AG137" s="6">
        <f t="shared" si="26"/>
        <v>104.77507006910649</v>
      </c>
      <c r="AH137" s="6">
        <f t="shared" si="20"/>
        <v>91.442209341970681</v>
      </c>
      <c r="AI137" s="6"/>
    </row>
    <row r="138" spans="18:35">
      <c r="R138" s="320">
        <f>DATE(LEFT(HAVERM!A143,4)*1,RIGHT(HAVERM!A143,2)*1,1)</f>
        <v>44256</v>
      </c>
      <c r="S138" s="6">
        <f>HAVERM!B143</f>
        <v>108</v>
      </c>
      <c r="T138" s="6">
        <f>HAVERM!C143</f>
        <v>84.4</v>
      </c>
      <c r="U138" s="6">
        <f>HAVERM!D143</f>
        <v>120.1</v>
      </c>
      <c r="V138" s="6">
        <f>HAVERM!E143</f>
        <v>92.2</v>
      </c>
      <c r="W138" s="6">
        <f>HAVERM!F143</f>
        <v>95</v>
      </c>
      <c r="X138" s="6">
        <f>HAVERM!G143</f>
        <v>92</v>
      </c>
      <c r="Z138" s="6">
        <f t="shared" si="21"/>
        <v>103.51437699680513</v>
      </c>
      <c r="AA138" s="6">
        <f t="shared" si="22"/>
        <v>112.45836109260495</v>
      </c>
      <c r="AB138" s="6">
        <f t="shared" si="23"/>
        <v>114.38095238095238</v>
      </c>
      <c r="AC138" s="6">
        <f t="shared" si="24"/>
        <v>100.68250068250069</v>
      </c>
      <c r="AD138" s="6">
        <f t="shared" si="25"/>
        <v>99.398378236986659</v>
      </c>
      <c r="AE138" s="6">
        <f t="shared" si="25"/>
        <v>94.101602454824416</v>
      </c>
      <c r="AF138" s="6"/>
      <c r="AG138" s="6">
        <f t="shared" si="26"/>
        <v>107.94952794967193</v>
      </c>
      <c r="AH138" s="6">
        <f t="shared" si="20"/>
        <v>94.101602454824416</v>
      </c>
      <c r="AI138" s="6"/>
    </row>
    <row r="139" spans="18:35">
      <c r="R139" s="320">
        <f>DATE(LEFT(HAVERM!A144,4)*1,RIGHT(HAVERM!A144,2)*1,1)</f>
        <v>44287</v>
      </c>
      <c r="S139" s="6">
        <f>HAVERM!B144</f>
        <v>107.2</v>
      </c>
      <c r="T139" s="6">
        <f>HAVERM!C144</f>
        <v>84</v>
      </c>
      <c r="U139" s="6">
        <f>HAVERM!D144</f>
        <v>119.9</v>
      </c>
      <c r="V139" s="6">
        <f>HAVERM!E144</f>
        <v>92.6</v>
      </c>
      <c r="W139" s="6">
        <f>HAVERM!F144</f>
        <v>95.5</v>
      </c>
      <c r="X139" s="6">
        <f>HAVERM!G144</f>
        <v>95.1</v>
      </c>
      <c r="Z139" s="6">
        <f t="shared" si="21"/>
        <v>102.74760383386582</v>
      </c>
      <c r="AA139" s="6">
        <f t="shared" si="22"/>
        <v>111.92538307794804</v>
      </c>
      <c r="AB139" s="6">
        <f t="shared" si="23"/>
        <v>114.1904761904762</v>
      </c>
      <c r="AC139" s="6">
        <f t="shared" si="24"/>
        <v>101.11930111930111</v>
      </c>
      <c r="AD139" s="6">
        <f t="shared" si="25"/>
        <v>99.921527596128684</v>
      </c>
      <c r="AE139" s="6">
        <f t="shared" si="25"/>
        <v>97.272417320150012</v>
      </c>
      <c r="AF139" s="6"/>
      <c r="AG139" s="6">
        <f t="shared" si="26"/>
        <v>107.75041231901291</v>
      </c>
      <c r="AH139" s="6">
        <f t="shared" si="20"/>
        <v>97.272417320150012</v>
      </c>
      <c r="AI139" s="6"/>
    </row>
    <row r="140" spans="18:35">
      <c r="R140" s="320">
        <f>DATE(LEFT(HAVERM!A145,4)*1,RIGHT(HAVERM!A145,2)*1,1)</f>
        <v>44317</v>
      </c>
      <c r="S140" s="6">
        <f>HAVERM!B145</f>
        <v>106.9</v>
      </c>
      <c r="T140" s="6">
        <f>HAVERM!C145</f>
        <v>83.8</v>
      </c>
      <c r="U140" s="6">
        <f>HAVERM!D145</f>
        <v>118.8</v>
      </c>
      <c r="V140" s="6">
        <f>HAVERM!E145</f>
        <v>95.9</v>
      </c>
      <c r="W140" s="6">
        <f>HAVERM!F145</f>
        <v>94.2</v>
      </c>
      <c r="X140" s="6">
        <f>HAVERM!G145</f>
        <v>96.5</v>
      </c>
      <c r="Z140" s="6">
        <f t="shared" si="21"/>
        <v>102.4600638977636</v>
      </c>
      <c r="AA140" s="6">
        <f t="shared" si="22"/>
        <v>111.6588940706196</v>
      </c>
      <c r="AB140" s="6">
        <f t="shared" si="23"/>
        <v>113.14285714285714</v>
      </c>
      <c r="AC140" s="6">
        <f t="shared" si="24"/>
        <v>104.72290472290473</v>
      </c>
      <c r="AD140" s="6">
        <f t="shared" si="25"/>
        <v>98.561339262359411</v>
      </c>
      <c r="AE140" s="6">
        <f t="shared" si="25"/>
        <v>98.704398227071252</v>
      </c>
      <c r="AF140" s="6"/>
      <c r="AG140" s="6">
        <f t="shared" si="26"/>
        <v>107.71713297823032</v>
      </c>
      <c r="AH140" s="6">
        <f t="shared" si="20"/>
        <v>98.704398227071252</v>
      </c>
      <c r="AI140" s="6"/>
    </row>
    <row r="141" spans="18:35">
      <c r="R141" s="320">
        <f>DATE(LEFT(HAVERM!A146,4)*1,RIGHT(HAVERM!A146,2)*1,1)</f>
        <v>44348</v>
      </c>
      <c r="S141" s="6">
        <f>HAVERM!B146</f>
        <v>110.5</v>
      </c>
      <c r="T141" s="6">
        <f>HAVERM!C146</f>
        <v>84.2</v>
      </c>
      <c r="U141" s="6">
        <f>HAVERM!D146</f>
        <v>117.9</v>
      </c>
      <c r="V141" s="6">
        <f>HAVERM!E146</f>
        <v>93.9</v>
      </c>
      <c r="W141" s="6">
        <f>HAVERM!F146</f>
        <v>93.5</v>
      </c>
      <c r="X141" s="6">
        <f>HAVERM!G146</f>
        <v>97.3</v>
      </c>
      <c r="Z141" s="6">
        <f t="shared" si="21"/>
        <v>105.91054313099045</v>
      </c>
      <c r="AA141" s="6">
        <f t="shared" si="22"/>
        <v>112.1918720852765</v>
      </c>
      <c r="AB141" s="6">
        <f t="shared" si="23"/>
        <v>112.28571428571431</v>
      </c>
      <c r="AC141" s="6">
        <f t="shared" si="24"/>
        <v>102.53890253890255</v>
      </c>
      <c r="AD141" s="6">
        <f t="shared" si="25"/>
        <v>97.828930159560556</v>
      </c>
      <c r="AE141" s="6">
        <f t="shared" si="25"/>
        <v>99.522673031026258</v>
      </c>
      <c r="AF141" s="6"/>
      <c r="AG141" s="6">
        <f t="shared" si="26"/>
        <v>107.79450477366693</v>
      </c>
      <c r="AH141" s="6">
        <f t="shared" si="20"/>
        <v>99.522673031026258</v>
      </c>
      <c r="AI141" s="6"/>
    </row>
    <row r="142" spans="18:35">
      <c r="R142" s="320">
        <f>DATE(LEFT(HAVERM!A147,4)*1,RIGHT(HAVERM!A147,2)*1,1)</f>
        <v>44378</v>
      </c>
      <c r="S142" s="6">
        <f>HAVERM!B147</f>
        <v>102.4</v>
      </c>
      <c r="T142" s="6">
        <f>HAVERM!C147</f>
        <v>83.1</v>
      </c>
      <c r="U142" s="6">
        <f>HAVERM!D147</f>
        <v>115.3</v>
      </c>
      <c r="V142" s="6">
        <f>HAVERM!E147</f>
        <v>98.8</v>
      </c>
      <c r="W142" s="6">
        <f>HAVERM!F147</f>
        <v>92.5</v>
      </c>
      <c r="X142" s="6">
        <f>HAVERM!G147</f>
        <v>97</v>
      </c>
      <c r="Z142" s="6">
        <f t="shared" si="21"/>
        <v>98.146964856230056</v>
      </c>
      <c r="AA142" s="6">
        <f t="shared" si="22"/>
        <v>110.72618254497002</v>
      </c>
      <c r="AB142" s="6">
        <f t="shared" si="23"/>
        <v>109.8095238095238</v>
      </c>
      <c r="AC142" s="6">
        <f t="shared" si="24"/>
        <v>107.88970788970789</v>
      </c>
      <c r="AD142" s="6">
        <f t="shared" si="25"/>
        <v>96.782631441276479</v>
      </c>
      <c r="AE142" s="6">
        <f t="shared" si="25"/>
        <v>99.215819979543127</v>
      </c>
      <c r="AF142" s="6"/>
      <c r="AG142" s="6">
        <f t="shared" si="26"/>
        <v>106.33225145362069</v>
      </c>
      <c r="AH142" s="6">
        <f t="shared" si="20"/>
        <v>99.215819979543127</v>
      </c>
      <c r="AI142" s="6"/>
    </row>
    <row r="143" spans="18:35">
      <c r="R143" s="320">
        <f>DATE(LEFT(HAVERM!A148,4)*1,RIGHT(HAVERM!A148,2)*1,1)</f>
        <v>44409</v>
      </c>
      <c r="S143" s="6">
        <f>HAVERM!B148</f>
        <v>102.9</v>
      </c>
      <c r="T143" s="6">
        <f>HAVERM!C148</f>
        <v>83.9</v>
      </c>
      <c r="U143" s="6">
        <f>HAVERM!D148</f>
        <v>115</v>
      </c>
      <c r="V143" s="6">
        <f>HAVERM!E148</f>
        <v>99.6</v>
      </c>
      <c r="W143" s="6">
        <f>HAVERM!F148</f>
        <v>92.3</v>
      </c>
      <c r="X143" s="6">
        <f>HAVERM!G148</f>
        <v>97.9</v>
      </c>
      <c r="Z143" s="6">
        <f t="shared" si="21"/>
        <v>98.626198083067123</v>
      </c>
      <c r="AA143" s="6">
        <f t="shared" si="22"/>
        <v>111.79213857428383</v>
      </c>
      <c r="AB143" s="6">
        <f t="shared" si="23"/>
        <v>109.52380952380953</v>
      </c>
      <c r="AC143" s="6">
        <f t="shared" si="24"/>
        <v>108.76330876330876</v>
      </c>
      <c r="AD143" s="6">
        <f t="shared" si="25"/>
        <v>96.573371697619663</v>
      </c>
      <c r="AE143" s="6">
        <f t="shared" si="25"/>
        <v>100.13637913399252</v>
      </c>
      <c r="AF143" s="6"/>
      <c r="AG143" s="6">
        <f t="shared" si="26"/>
        <v>106.84048225815192</v>
      </c>
      <c r="AH143" s="6">
        <f t="shared" si="20"/>
        <v>100.13637913399252</v>
      </c>
      <c r="AI143" s="6"/>
    </row>
    <row r="144" spans="18:35">
      <c r="R144" s="320">
        <f>DATE(LEFT(HAVERM!A149,4)*1,RIGHT(HAVERM!A149,2)*1,1)</f>
        <v>44440</v>
      </c>
      <c r="S144" s="6">
        <f>HAVERM!B149</f>
        <v>103.3</v>
      </c>
      <c r="T144" s="6">
        <f>HAVERM!C149</f>
        <v>86.9</v>
      </c>
      <c r="U144" s="6">
        <f>HAVERM!D149</f>
        <v>107.8</v>
      </c>
      <c r="V144" s="6">
        <f>HAVERM!E149</f>
        <v>101.2</v>
      </c>
      <c r="W144" s="6">
        <f>HAVERM!F149</f>
        <v>92.6</v>
      </c>
      <c r="X144" s="6">
        <f>HAVERM!G149</f>
        <v>98.5</v>
      </c>
      <c r="Z144" s="6">
        <f t="shared" si="21"/>
        <v>99.00958466453676</v>
      </c>
      <c r="AA144" s="6">
        <f t="shared" si="22"/>
        <v>115.78947368421053</v>
      </c>
      <c r="AB144" s="6">
        <f t="shared" si="23"/>
        <v>102.66666666666666</v>
      </c>
      <c r="AC144" s="6">
        <f t="shared" si="24"/>
        <v>110.5105105105105</v>
      </c>
      <c r="AD144" s="6">
        <f t="shared" si="25"/>
        <v>96.887261313104872</v>
      </c>
      <c r="AE144" s="6">
        <f t="shared" si="25"/>
        <v>100.75008523695874</v>
      </c>
      <c r="AF144" s="6"/>
      <c r="AG144" s="6">
        <f t="shared" si="26"/>
        <v>107.40939306779183</v>
      </c>
      <c r="AH144" s="6">
        <f t="shared" si="20"/>
        <v>100.75008523695874</v>
      </c>
      <c r="AI144" s="6"/>
    </row>
    <row r="145" spans="18:35">
      <c r="R145" s="320">
        <f>DATE(LEFT(HAVERM!A150,4)*1,RIGHT(HAVERM!A150,2)*1,1)</f>
        <v>44470</v>
      </c>
      <c r="S145" s="6">
        <f>HAVERM!B150</f>
        <v>101.6</v>
      </c>
      <c r="T145" s="6">
        <f>HAVERM!C150</f>
        <v>90.5</v>
      </c>
      <c r="U145" s="6">
        <f>HAVERM!D150</f>
        <v>105.6</v>
      </c>
      <c r="V145" s="6">
        <f>HAVERM!E150</f>
        <v>102.9</v>
      </c>
      <c r="W145" s="6">
        <f>HAVERM!F150</f>
        <v>93.1</v>
      </c>
      <c r="X145" s="6">
        <f>HAVERM!G150</f>
        <v>98.8</v>
      </c>
      <c r="Z145" s="6">
        <f t="shared" si="21"/>
        <v>97.380191693290755</v>
      </c>
      <c r="AA145" s="6">
        <f t="shared" si="22"/>
        <v>120.58627581612258</v>
      </c>
      <c r="AB145" s="6">
        <f t="shared" si="23"/>
        <v>100.57142857142856</v>
      </c>
      <c r="AC145" s="6">
        <f t="shared" si="24"/>
        <v>112.36691236691236</v>
      </c>
      <c r="AD145" s="6">
        <f t="shared" si="25"/>
        <v>97.410410672246911</v>
      </c>
      <c r="AE145" s="6">
        <f t="shared" si="25"/>
        <v>101.05693828844187</v>
      </c>
      <c r="AF145" s="6"/>
      <c r="AG145" s="6">
        <f t="shared" si="26"/>
        <v>108.9657294177896</v>
      </c>
      <c r="AH145" s="6">
        <f t="shared" si="20"/>
        <v>101.05693828844187</v>
      </c>
      <c r="AI145" s="6"/>
    </row>
    <row r="146" spans="18:35">
      <c r="R146" s="320">
        <f>DATE(LEFT(HAVERM!A151,4)*1,RIGHT(HAVERM!A151,2)*1,1)</f>
        <v>44501</v>
      </c>
      <c r="S146" s="6">
        <f>HAVERM!B151</f>
        <v>102.7</v>
      </c>
      <c r="T146" s="6">
        <f>HAVERM!C151</f>
        <v>92.4</v>
      </c>
      <c r="U146" s="6">
        <f>HAVERM!D151</f>
        <v>99.8</v>
      </c>
      <c r="V146" s="6">
        <f>HAVERM!E151</f>
        <v>99.8</v>
      </c>
      <c r="W146" s="6">
        <f>HAVERM!F151</f>
        <v>94.5</v>
      </c>
      <c r="X146" s="6">
        <f>HAVERM!G151</f>
        <v>99.3</v>
      </c>
      <c r="Z146" s="6">
        <f t="shared" si="21"/>
        <v>98.434504792332291</v>
      </c>
      <c r="AA146" s="6">
        <f t="shared" si="22"/>
        <v>123.11792138574285</v>
      </c>
      <c r="AB146" s="6">
        <f t="shared" si="23"/>
        <v>95.047619047619051</v>
      </c>
      <c r="AC146" s="6">
        <f t="shared" si="24"/>
        <v>108.98170898170898</v>
      </c>
      <c r="AD146" s="6">
        <f t="shared" si="25"/>
        <v>98.87522887784462</v>
      </c>
      <c r="AE146" s="6">
        <f t="shared" si="25"/>
        <v>101.56836004091375</v>
      </c>
      <c r="AF146" s="6"/>
      <c r="AG146" s="6">
        <f t="shared" si="26"/>
        <v>108.76360836200877</v>
      </c>
      <c r="AH146" s="6">
        <f t="shared" si="20"/>
        <v>101.56836004091375</v>
      </c>
      <c r="AI146" s="6"/>
    </row>
    <row r="147" spans="18:35">
      <c r="R147" s="320">
        <f>DATE(LEFT(HAVERM!A152,4)*1,RIGHT(HAVERM!A152,2)*1,1)</f>
        <v>44531</v>
      </c>
      <c r="S147" s="6">
        <f>HAVERM!B152</f>
        <v>104.2</v>
      </c>
      <c r="T147" s="6">
        <f>HAVERM!C152</f>
        <v>95</v>
      </c>
      <c r="U147" s="6">
        <f>HAVERM!D152</f>
        <v>99</v>
      </c>
      <c r="V147" s="6">
        <f>HAVERM!E152</f>
        <v>103.5</v>
      </c>
      <c r="W147" s="6">
        <f>HAVERM!F152</f>
        <v>95.9</v>
      </c>
      <c r="X147" s="6">
        <f>HAVERM!G152</f>
        <v>99.2</v>
      </c>
      <c r="Z147" s="6">
        <f t="shared" si="21"/>
        <v>99.872204472843478</v>
      </c>
      <c r="AA147" s="6">
        <f t="shared" si="22"/>
        <v>126.58227848101266</v>
      </c>
      <c r="AB147" s="6">
        <f t="shared" si="23"/>
        <v>94.285714285714278</v>
      </c>
      <c r="AC147" s="6">
        <f t="shared" si="24"/>
        <v>113.02211302211302</v>
      </c>
      <c r="AD147" s="6">
        <f t="shared" si="25"/>
        <v>100.34004708344233</v>
      </c>
      <c r="AE147" s="6">
        <f t="shared" si="25"/>
        <v>101.46607569041936</v>
      </c>
      <c r="AF147" s="6"/>
      <c r="AG147" s="6">
        <f t="shared" si="26"/>
        <v>110.93082885533288</v>
      </c>
      <c r="AH147" s="6">
        <f t="shared" si="20"/>
        <v>101.46607569041936</v>
      </c>
      <c r="AI147" s="6"/>
    </row>
    <row r="148" spans="18:35">
      <c r="R148" s="320">
        <f>DATE(LEFT(HAVERM!A153,4)*1,RIGHT(HAVERM!A153,2)*1,1)</f>
        <v>44562</v>
      </c>
      <c r="S148" s="6">
        <f>HAVERM!B153</f>
        <v>106.1</v>
      </c>
      <c r="T148" s="6">
        <f>HAVERM!C153</f>
        <v>96.6</v>
      </c>
      <c r="U148" s="6">
        <f>HAVERM!D153</f>
        <v>98</v>
      </c>
      <c r="V148" s="6">
        <f>HAVERM!E153</f>
        <v>109.5</v>
      </c>
      <c r="W148" s="6">
        <f>HAVERM!F153</f>
        <v>96.8</v>
      </c>
      <c r="X148" s="6">
        <f>HAVERM!G153</f>
        <v>99.4</v>
      </c>
      <c r="Z148" s="6">
        <f t="shared" si="21"/>
        <v>101.69329073482429</v>
      </c>
      <c r="AA148" s="6">
        <f t="shared" si="22"/>
        <v>128.71419053964024</v>
      </c>
      <c r="AB148" s="6">
        <f t="shared" si="23"/>
        <v>93.333333333333329</v>
      </c>
      <c r="AC148" s="6">
        <f t="shared" si="24"/>
        <v>119.57411957411956</v>
      </c>
      <c r="AD148" s="6">
        <f t="shared" si="25"/>
        <v>101.28171592989798</v>
      </c>
      <c r="AE148" s="6">
        <f t="shared" si="25"/>
        <v>101.67064439140812</v>
      </c>
      <c r="AF148" s="6"/>
      <c r="AG148" s="6">
        <f t="shared" si="26"/>
        <v>112.88362286971562</v>
      </c>
      <c r="AH148" s="6">
        <f t="shared" si="20"/>
        <v>101.67064439140812</v>
      </c>
      <c r="AI148" s="6"/>
    </row>
    <row r="149" spans="18:35">
      <c r="R149" s="320">
        <f>DATE(LEFT(HAVERM!A154,4)*1,RIGHT(HAVERM!A154,2)*1,1)</f>
        <v>44593</v>
      </c>
      <c r="S149" s="6">
        <f>HAVERM!B154</f>
        <v>106.2</v>
      </c>
      <c r="T149" s="6">
        <f>HAVERM!C154</f>
        <v>98.7</v>
      </c>
      <c r="U149" s="6">
        <f>HAVERM!D154</f>
        <v>98.8</v>
      </c>
      <c r="V149" s="6">
        <f>HAVERM!E154</f>
        <v>109.5</v>
      </c>
      <c r="W149" s="6">
        <f>HAVERM!F154</f>
        <v>96.8</v>
      </c>
      <c r="X149" s="6">
        <f>HAVERM!G154</f>
        <v>100</v>
      </c>
      <c r="Z149" s="6">
        <f t="shared" si="21"/>
        <v>101.7891373801917</v>
      </c>
      <c r="AA149" s="6">
        <f t="shared" si="22"/>
        <v>131.51232511658895</v>
      </c>
      <c r="AB149" s="6">
        <f t="shared" si="23"/>
        <v>94.095238095238088</v>
      </c>
      <c r="AC149" s="6">
        <f t="shared" si="24"/>
        <v>119.57411957411956</v>
      </c>
      <c r="AD149" s="6">
        <f t="shared" si="25"/>
        <v>101.28171592989798</v>
      </c>
      <c r="AE149" s="6">
        <f t="shared" si="25"/>
        <v>102.28435049437437</v>
      </c>
      <c r="AF149" s="6"/>
      <c r="AG149" s="6">
        <f t="shared" si="26"/>
        <v>114.10674239205042</v>
      </c>
      <c r="AH149" s="6">
        <f t="shared" si="20"/>
        <v>102.28435049437437</v>
      </c>
      <c r="AI149" s="6"/>
    </row>
    <row r="150" spans="18:35">
      <c r="R150" s="320">
        <f>DATE(LEFT(HAVERM!A155,4)*1,RIGHT(HAVERM!A155,2)*1,1)</f>
        <v>44621</v>
      </c>
      <c r="S150" s="6">
        <f>HAVERM!B155</f>
        <v>105.8</v>
      </c>
      <c r="T150" s="6">
        <f>HAVERM!C155</f>
        <v>100.7</v>
      </c>
      <c r="U150" s="6">
        <f>HAVERM!D155</f>
        <v>99.3</v>
      </c>
      <c r="V150" s="6">
        <f>HAVERM!E155</f>
        <v>103.2</v>
      </c>
      <c r="W150" s="6">
        <f>HAVERM!F155</f>
        <v>98.3</v>
      </c>
      <c r="X150" s="6">
        <f>HAVERM!G155</f>
        <v>99.9</v>
      </c>
      <c r="Z150" s="6">
        <f t="shared" si="21"/>
        <v>101.40575079872205</v>
      </c>
      <c r="AA150" s="6">
        <f t="shared" si="22"/>
        <v>134.17721518987344</v>
      </c>
      <c r="AB150" s="6">
        <f t="shared" si="23"/>
        <v>94.571428571428569</v>
      </c>
      <c r="AC150" s="6">
        <f t="shared" si="24"/>
        <v>112.6945126945127</v>
      </c>
      <c r="AD150" s="6">
        <f t="shared" si="25"/>
        <v>102.85116400732409</v>
      </c>
      <c r="AE150" s="6">
        <f t="shared" si="25"/>
        <v>102.18206614387999</v>
      </c>
      <c r="AF150" s="6"/>
      <c r="AG150" s="6">
        <f t="shared" si="26"/>
        <v>114.42029128442306</v>
      </c>
      <c r="AH150" s="6">
        <f t="shared" si="20"/>
        <v>102.18206614387999</v>
      </c>
      <c r="AI150" s="6"/>
    </row>
    <row r="151" spans="18:35">
      <c r="R151" s="320">
        <f>DATE(LEFT(HAVERM!A156,4)*1,RIGHT(HAVERM!A156,2)*1,1)</f>
        <v>44652</v>
      </c>
      <c r="S151" s="6">
        <f>HAVERM!B156</f>
        <v>103.2</v>
      </c>
      <c r="T151" s="6">
        <f>HAVERM!C156</f>
        <v>100.4</v>
      </c>
      <c r="U151" s="6">
        <f>HAVERM!D156</f>
        <v>98.4</v>
      </c>
      <c r="V151" s="6">
        <f>HAVERM!E156</f>
        <v>104</v>
      </c>
      <c r="W151" s="6">
        <f>HAVERM!F156</f>
        <v>98.8</v>
      </c>
      <c r="X151" s="6">
        <f>HAVERM!G156</f>
        <v>99.9</v>
      </c>
      <c r="Z151" s="6">
        <f t="shared" si="21"/>
        <v>98.913738019169344</v>
      </c>
      <c r="AA151" s="6">
        <f t="shared" si="22"/>
        <v>133.77748167888075</v>
      </c>
      <c r="AB151" s="6">
        <f t="shared" si="23"/>
        <v>93.714285714285722</v>
      </c>
      <c r="AC151" s="6">
        <f t="shared" si="24"/>
        <v>113.56811356811356</v>
      </c>
      <c r="AD151" s="6">
        <f t="shared" si="25"/>
        <v>103.37431336646613</v>
      </c>
      <c r="AE151" s="6">
        <f t="shared" si="25"/>
        <v>102.18206614387999</v>
      </c>
      <c r="AF151" s="6"/>
      <c r="AG151" s="6">
        <f t="shared" si="26"/>
        <v>113.97726873361978</v>
      </c>
      <c r="AH151" s="6">
        <f t="shared" si="20"/>
        <v>102.18206614387999</v>
      </c>
      <c r="AI151" s="6"/>
    </row>
    <row r="152" spans="18:35">
      <c r="R152" s="320">
        <f>DATE(LEFT(HAVERM!A157,4)*1,RIGHT(HAVERM!A157,2)*1,1)</f>
        <v>44682</v>
      </c>
      <c r="S152" s="6">
        <f>HAVERM!B157</f>
        <v>101.6</v>
      </c>
      <c r="T152" s="6">
        <f>HAVERM!C157</f>
        <v>100.3</v>
      </c>
      <c r="U152" s="6">
        <f>HAVERM!D157</f>
        <v>98.3</v>
      </c>
      <c r="V152" s="6">
        <f>HAVERM!E157</f>
        <v>100.8</v>
      </c>
      <c r="W152" s="6">
        <f>HAVERM!F157</f>
        <v>100.8</v>
      </c>
      <c r="X152" s="6">
        <f>HAVERM!G157</f>
        <v>100.5</v>
      </c>
      <c r="Z152" s="6">
        <f t="shared" si="21"/>
        <v>97.380191693290755</v>
      </c>
      <c r="AA152" s="6">
        <f t="shared" si="22"/>
        <v>133.64423717521652</v>
      </c>
      <c r="AB152" s="6">
        <f t="shared" si="23"/>
        <v>93.619047619047606</v>
      </c>
      <c r="AC152" s="6">
        <f t="shared" si="24"/>
        <v>110.07371007371007</v>
      </c>
      <c r="AD152" s="6">
        <f t="shared" si="25"/>
        <v>105.46691080303425</v>
      </c>
      <c r="AE152" s="6">
        <f t="shared" si="25"/>
        <v>102.79577224684624</v>
      </c>
      <c r="AF152" s="6"/>
      <c r="AG152" s="6">
        <f t="shared" si="26"/>
        <v>113.52592162940061</v>
      </c>
      <c r="AH152" s="6">
        <f t="shared" si="20"/>
        <v>102.79577224684624</v>
      </c>
      <c r="AI152" s="6"/>
    </row>
    <row r="153" spans="18:35">
      <c r="R153" s="320">
        <f>DATE(LEFT(HAVERM!A158,4)*1,RIGHT(HAVERM!A158,2)*1,1)</f>
        <v>44713</v>
      </c>
      <c r="S153" s="6">
        <f>HAVERM!B158</f>
        <v>99.7</v>
      </c>
      <c r="T153" s="6">
        <f>HAVERM!C158</f>
        <v>99.9</v>
      </c>
      <c r="U153" s="6">
        <f>HAVERM!D158</f>
        <v>98.8</v>
      </c>
      <c r="V153" s="6">
        <f>HAVERM!E158</f>
        <v>99</v>
      </c>
      <c r="W153" s="6">
        <f>HAVERM!F158</f>
        <v>98.3</v>
      </c>
      <c r="X153" s="6">
        <f>HAVERM!G158</f>
        <v>99.5</v>
      </c>
      <c r="Z153" s="6">
        <f t="shared" si="21"/>
        <v>95.559105431309916</v>
      </c>
      <c r="AA153" s="6">
        <f t="shared" si="22"/>
        <v>133.11125916055963</v>
      </c>
      <c r="AB153" s="6">
        <f t="shared" si="23"/>
        <v>94.095238095238088</v>
      </c>
      <c r="AC153" s="6">
        <f t="shared" si="24"/>
        <v>108.10810810810811</v>
      </c>
      <c r="AD153" s="6">
        <f t="shared" si="25"/>
        <v>102.85116400732409</v>
      </c>
      <c r="AE153" s="6">
        <f t="shared" si="25"/>
        <v>101.77292874190249</v>
      </c>
      <c r="AF153" s="6"/>
      <c r="AG153" s="6">
        <f t="shared" si="26"/>
        <v>112.48923947494248</v>
      </c>
      <c r="AH153" s="6">
        <f t="shared" si="20"/>
        <v>101.77292874190249</v>
      </c>
      <c r="AI153" s="6"/>
    </row>
    <row r="154" spans="18:35">
      <c r="R154" s="320">
        <f>DATE(LEFT(HAVERM!A159,4)*1,RIGHT(HAVERM!A159,2)*1,1)</f>
        <v>44743</v>
      </c>
      <c r="S154" s="6">
        <f>HAVERM!B159</f>
        <v>97.7</v>
      </c>
      <c r="T154" s="6">
        <f>HAVERM!C159</f>
        <v>100.2</v>
      </c>
      <c r="U154" s="6">
        <f>HAVERM!D159</f>
        <v>99.5</v>
      </c>
      <c r="V154" s="6">
        <f>HAVERM!E159</f>
        <v>97.9</v>
      </c>
      <c r="W154" s="6">
        <f>HAVERM!F159</f>
        <v>100.6</v>
      </c>
      <c r="X154" s="6">
        <f>HAVERM!G159</f>
        <v>100.1</v>
      </c>
      <c r="Z154" s="6">
        <f t="shared" si="21"/>
        <v>93.64217252396169</v>
      </c>
      <c r="AA154" s="6">
        <f t="shared" si="22"/>
        <v>133.51099267155232</v>
      </c>
      <c r="AB154" s="6">
        <f t="shared" si="23"/>
        <v>94.761904761904759</v>
      </c>
      <c r="AC154" s="6">
        <f t="shared" si="24"/>
        <v>106.90690690690691</v>
      </c>
      <c r="AD154" s="6">
        <f t="shared" si="25"/>
        <v>105.25765105937744</v>
      </c>
      <c r="AE154" s="6">
        <f t="shared" si="25"/>
        <v>102.38663484486874</v>
      </c>
      <c r="AF154" s="6"/>
      <c r="AG154" s="6">
        <f t="shared" si="26"/>
        <v>112.70941235115492</v>
      </c>
      <c r="AH154" s="6">
        <f t="shared" si="20"/>
        <v>102.38663484486874</v>
      </c>
      <c r="AI154" s="6"/>
    </row>
    <row r="155" spans="18:35">
      <c r="R155" s="320">
        <f>DATE(LEFT(HAVERM!A160,4)*1,RIGHT(HAVERM!A160,2)*1,1)</f>
        <v>44774</v>
      </c>
      <c r="S155" s="6">
        <f>HAVERM!B160</f>
        <v>98.5</v>
      </c>
      <c r="T155" s="6">
        <f>HAVERM!C160</f>
        <v>100.5</v>
      </c>
      <c r="U155" s="6">
        <f>HAVERM!D160</f>
        <v>100.5</v>
      </c>
      <c r="V155" s="6">
        <f>HAVERM!E160</f>
        <v>98.2</v>
      </c>
      <c r="W155" s="6">
        <f>HAVERM!F160</f>
        <v>100.8</v>
      </c>
      <c r="X155" s="6">
        <f>HAVERM!G160</f>
        <v>100.2</v>
      </c>
      <c r="Z155" s="6">
        <f t="shared" si="21"/>
        <v>94.408945686900978</v>
      </c>
      <c r="AA155" s="6">
        <f t="shared" si="22"/>
        <v>133.91072618254498</v>
      </c>
      <c r="AB155" s="6">
        <f t="shared" si="23"/>
        <v>95.714285714285722</v>
      </c>
      <c r="AC155" s="6">
        <f t="shared" si="24"/>
        <v>107.23450723450722</v>
      </c>
      <c r="AD155" s="6">
        <f t="shared" si="25"/>
        <v>105.46691080303425</v>
      </c>
      <c r="AE155" s="6">
        <f t="shared" si="25"/>
        <v>102.48891919536311</v>
      </c>
      <c r="AF155" s="6"/>
      <c r="AG155" s="6">
        <f t="shared" si="26"/>
        <v>113.22361892467744</v>
      </c>
      <c r="AH155" s="6">
        <f t="shared" si="20"/>
        <v>102.48891919536311</v>
      </c>
      <c r="AI155" s="6"/>
    </row>
    <row r="156" spans="18:35">
      <c r="R156" s="320">
        <f>DATE(LEFT(HAVERM!A161,4)*1,RIGHT(HAVERM!A161,2)*1,1)</f>
        <v>44805</v>
      </c>
      <c r="S156" s="6">
        <f>HAVERM!B161</f>
        <v>96.6</v>
      </c>
      <c r="T156" s="6">
        <f>HAVERM!C161</f>
        <v>100.6</v>
      </c>
      <c r="U156" s="6">
        <f>HAVERM!D161</f>
        <v>101.4</v>
      </c>
      <c r="V156" s="6">
        <f>HAVERM!E161</f>
        <v>94.9</v>
      </c>
      <c r="W156" s="6">
        <f>HAVERM!F161</f>
        <v>100.1</v>
      </c>
      <c r="X156" s="6">
        <f>HAVERM!G161</f>
        <v>99.6</v>
      </c>
      <c r="Z156" s="6">
        <f t="shared" si="21"/>
        <v>92.58785942492014</v>
      </c>
      <c r="AA156" s="6">
        <f t="shared" si="22"/>
        <v>134.04397068620918</v>
      </c>
      <c r="AB156" s="6">
        <f t="shared" si="23"/>
        <v>96.571428571428569</v>
      </c>
      <c r="AC156" s="6">
        <f t="shared" si="24"/>
        <v>103.63090363090363</v>
      </c>
      <c r="AD156" s="6">
        <f t="shared" si="25"/>
        <v>104.73450170023541</v>
      </c>
      <c r="AE156" s="6">
        <f t="shared" si="25"/>
        <v>101.87521309239686</v>
      </c>
      <c r="AF156" s="6"/>
      <c r="AG156" s="6">
        <f t="shared" si="26"/>
        <v>112.56790183914636</v>
      </c>
      <c r="AH156" s="6">
        <f t="shared" si="20"/>
        <v>101.87521309239686</v>
      </c>
      <c r="AI156" s="6"/>
    </row>
    <row r="157" spans="18:35">
      <c r="R157" s="320">
        <f>DATE(LEFT(HAVERM!A162,4)*1,RIGHT(HAVERM!A162,2)*1,1)</f>
        <v>44835</v>
      </c>
      <c r="S157" s="6">
        <f>HAVERM!B162</f>
        <v>94.8</v>
      </c>
      <c r="T157" s="6">
        <f>HAVERM!C162</f>
        <v>99.8</v>
      </c>
      <c r="U157" s="6">
        <f>HAVERM!D162</f>
        <v>101</v>
      </c>
      <c r="V157" s="6">
        <f>HAVERM!E162</f>
        <v>94.4</v>
      </c>
      <c r="W157" s="6">
        <f>HAVERM!F162</f>
        <v>102</v>
      </c>
      <c r="X157" s="6">
        <f>HAVERM!G162</f>
        <v>100.5</v>
      </c>
      <c r="Z157" s="6">
        <f t="shared" si="21"/>
        <v>90.862619808306718</v>
      </c>
      <c r="AA157" s="6">
        <f t="shared" si="22"/>
        <v>132.9780146568954</v>
      </c>
      <c r="AB157" s="6">
        <f t="shared" si="23"/>
        <v>96.19047619047619</v>
      </c>
      <c r="AC157" s="6">
        <f t="shared" si="24"/>
        <v>103.08490308490308</v>
      </c>
      <c r="AD157" s="6">
        <f t="shared" si="25"/>
        <v>106.72246926497515</v>
      </c>
      <c r="AE157" s="6">
        <f t="shared" si="25"/>
        <v>102.79577224684624</v>
      </c>
      <c r="AF157" s="6"/>
      <c r="AG157" s="6">
        <f t="shared" si="26"/>
        <v>112.08588670208144</v>
      </c>
      <c r="AH157" s="6">
        <f t="shared" si="20"/>
        <v>102.79577224684624</v>
      </c>
      <c r="AI157" s="6"/>
    </row>
    <row r="158" spans="18:35">
      <c r="R158" s="320">
        <f>DATE(LEFT(HAVERM!A163,4)*1,RIGHT(HAVERM!A163,2)*1,1)</f>
        <v>44866</v>
      </c>
      <c r="S158" s="6">
        <f>HAVERM!B163</f>
        <v>95.5</v>
      </c>
      <c r="T158" s="6">
        <f>HAVERM!C163</f>
        <v>100.6</v>
      </c>
      <c r="U158" s="6">
        <f>HAVERM!D163</f>
        <v>102.6</v>
      </c>
      <c r="V158" s="6">
        <f>HAVERM!E163</f>
        <v>94.4</v>
      </c>
      <c r="W158" s="6">
        <f>HAVERM!F163</f>
        <v>102.4</v>
      </c>
      <c r="X158" s="6">
        <f>HAVERM!G163</f>
        <v>100.5</v>
      </c>
      <c r="Z158" s="6">
        <f t="shared" si="21"/>
        <v>91.533546325878618</v>
      </c>
      <c r="AA158" s="6">
        <f t="shared" si="22"/>
        <v>134.04397068620918</v>
      </c>
      <c r="AB158" s="6">
        <f t="shared" si="23"/>
        <v>97.714285714285708</v>
      </c>
      <c r="AC158" s="6">
        <f t="shared" si="24"/>
        <v>103.08490308490308</v>
      </c>
      <c r="AD158" s="6">
        <f t="shared" si="25"/>
        <v>107.14098875228879</v>
      </c>
      <c r="AE158" s="6">
        <f t="shared" si="25"/>
        <v>102.79577224684624</v>
      </c>
      <c r="AF158" s="6"/>
      <c r="AG158" s="6">
        <f t="shared" si="26"/>
        <v>112.93485509102135</v>
      </c>
      <c r="AH158" s="6">
        <f t="shared" si="20"/>
        <v>102.79577224684624</v>
      </c>
      <c r="AI158" s="6"/>
    </row>
    <row r="159" spans="18:35">
      <c r="R159" s="320">
        <f>DATE(LEFT(HAVERM!A164,4)*1,RIGHT(HAVERM!A164,2)*1,1)</f>
        <v>44896</v>
      </c>
      <c r="S159" s="6">
        <f>HAVERM!B164</f>
        <v>94.3</v>
      </c>
      <c r="T159" s="6">
        <f>HAVERM!C164</f>
        <v>101.7</v>
      </c>
      <c r="U159" s="6">
        <f>HAVERM!D164</f>
        <v>103.5</v>
      </c>
      <c r="V159" s="6">
        <f>HAVERM!E164</f>
        <v>94.4</v>
      </c>
      <c r="W159" s="6">
        <f>HAVERM!F164</f>
        <v>104.2</v>
      </c>
      <c r="X159" s="6">
        <f>HAVERM!G164</f>
        <v>100.1</v>
      </c>
      <c r="Z159" s="6">
        <f t="shared" si="21"/>
        <v>90.383386581469665</v>
      </c>
      <c r="AA159" s="6">
        <f t="shared" si="22"/>
        <v>135.50966022651568</v>
      </c>
      <c r="AB159" s="6">
        <f t="shared" si="23"/>
        <v>98.571428571428584</v>
      </c>
      <c r="AC159" s="6">
        <f t="shared" si="24"/>
        <v>103.08490308490308</v>
      </c>
      <c r="AD159" s="6">
        <f t="shared" si="25"/>
        <v>109.0243264452001</v>
      </c>
      <c r="AE159" s="6">
        <f t="shared" si="25"/>
        <v>102.38663484486874</v>
      </c>
      <c r="AF159" s="6"/>
      <c r="AG159" s="6">
        <f t="shared" si="26"/>
        <v>113.79069589222901</v>
      </c>
      <c r="AH159" s="6">
        <f t="shared" si="20"/>
        <v>102.38663484486874</v>
      </c>
      <c r="AI159" s="6"/>
    </row>
    <row r="160" spans="18:35">
      <c r="R160" s="320">
        <f>DATE(LEFT(HAVERM!A165,4)*1,RIGHT(HAVERM!A165,2)*1,1)</f>
        <v>44927</v>
      </c>
      <c r="S160" s="6">
        <f>HAVERM!B165</f>
        <v>100.4</v>
      </c>
      <c r="T160" s="6">
        <f>HAVERM!C165</f>
        <v>103.9</v>
      </c>
      <c r="U160" s="6">
        <f>HAVERM!D165</f>
        <v>104.2</v>
      </c>
      <c r="V160" s="6">
        <f>HAVERM!E165</f>
        <v>96.5</v>
      </c>
      <c r="W160" s="6">
        <f>HAVERM!F165</f>
        <v>100.4</v>
      </c>
      <c r="X160" s="6">
        <f>HAVERM!G165</f>
        <v>100.3</v>
      </c>
      <c r="Z160" s="6">
        <f t="shared" si="21"/>
        <v>96.230031948881816</v>
      </c>
      <c r="AA160" s="6">
        <f t="shared" si="22"/>
        <v>138.44103930712859</v>
      </c>
      <c r="AB160" s="6">
        <f t="shared" si="23"/>
        <v>99.238095238095241</v>
      </c>
      <c r="AC160" s="6">
        <f t="shared" si="24"/>
        <v>105.37810537810537</v>
      </c>
      <c r="AD160" s="6">
        <f t="shared" si="25"/>
        <v>105.04839131572064</v>
      </c>
      <c r="AE160" s="6">
        <f t="shared" si="25"/>
        <v>102.5912035458575</v>
      </c>
      <c r="AF160" s="6"/>
      <c r="AG160" s="6">
        <f t="shared" si="26"/>
        <v>115.53235674113134</v>
      </c>
      <c r="AH160" s="6">
        <f t="shared" si="20"/>
        <v>102.5912035458575</v>
      </c>
      <c r="AI160" s="6"/>
    </row>
    <row r="161" spans="18:35">
      <c r="R161" s="320">
        <f>DATE(LEFT(HAVERM!A166,4)*1,RIGHT(HAVERM!A166,2)*1,1)</f>
        <v>44958</v>
      </c>
      <c r="S161" s="6">
        <f>HAVERM!B166</f>
        <v>99.5</v>
      </c>
      <c r="T161" s="6">
        <f>HAVERM!C166</f>
        <v>107.2</v>
      </c>
      <c r="U161" s="6">
        <f>HAVERM!D166</f>
        <v>104.4</v>
      </c>
      <c r="V161" s="6">
        <f>HAVERM!E166</f>
        <v>95.2</v>
      </c>
      <c r="W161" s="6">
        <f>HAVERM!F166</f>
        <v>102.7</v>
      </c>
      <c r="X161" s="6">
        <f>HAVERM!G166</f>
        <v>100.7</v>
      </c>
      <c r="Z161" s="6">
        <f t="shared" si="21"/>
        <v>95.367412140575098</v>
      </c>
      <c r="AA161" s="6">
        <f t="shared" si="22"/>
        <v>142.83810792804798</v>
      </c>
      <c r="AB161" s="6">
        <f t="shared" si="23"/>
        <v>99.428571428571431</v>
      </c>
      <c r="AC161" s="6">
        <f t="shared" si="24"/>
        <v>103.95850395850397</v>
      </c>
      <c r="AD161" s="6">
        <f t="shared" si="25"/>
        <v>107.45487836777401</v>
      </c>
      <c r="AE161" s="6">
        <f t="shared" si="25"/>
        <v>103.00034094783499</v>
      </c>
      <c r="AF161" s="6"/>
      <c r="AG161" s="6">
        <f t="shared" si="26"/>
        <v>117.29414041594116</v>
      </c>
      <c r="AH161" s="6">
        <f t="shared" si="20"/>
        <v>103.00034094783499</v>
      </c>
      <c r="AI161" s="6"/>
    </row>
    <row r="162" spans="18:35">
      <c r="R162" s="320">
        <f>DATE(LEFT(HAVERM!A167,4)*1,RIGHT(HAVERM!A167,2)*1,1)</f>
        <v>44986</v>
      </c>
      <c r="S162" s="6">
        <f>HAVERM!B167</f>
        <v>100.4</v>
      </c>
      <c r="T162" s="6">
        <f>HAVERM!C167</f>
        <v>109.5</v>
      </c>
      <c r="U162" s="6">
        <f>HAVERM!D167</f>
        <v>104.9</v>
      </c>
      <c r="V162" s="6">
        <f>HAVERM!E167</f>
        <v>93.7</v>
      </c>
      <c r="W162" s="6">
        <f>HAVERM!F167</f>
        <v>102.4</v>
      </c>
      <c r="X162" s="6">
        <f>HAVERM!G167</f>
        <v>100.4</v>
      </c>
      <c r="Z162" s="6">
        <f t="shared" si="21"/>
        <v>96.230031948881816</v>
      </c>
      <c r="AA162" s="6">
        <f t="shared" si="22"/>
        <v>145.90273151232512</v>
      </c>
      <c r="AB162" s="6">
        <f t="shared" si="23"/>
        <v>99.904761904761912</v>
      </c>
      <c r="AC162" s="6">
        <f t="shared" si="24"/>
        <v>102.32050232050231</v>
      </c>
      <c r="AD162" s="6">
        <f t="shared" si="25"/>
        <v>107.14098875228879</v>
      </c>
      <c r="AE162" s="6">
        <f t="shared" si="25"/>
        <v>102.69348789635187</v>
      </c>
      <c r="AF162" s="6"/>
      <c r="AG162" s="6">
        <f t="shared" si="26"/>
        <v>118.38524458252434</v>
      </c>
      <c r="AH162" s="6">
        <f t="shared" si="20"/>
        <v>102.69348789635187</v>
      </c>
      <c r="AI162" s="6"/>
    </row>
    <row r="163" spans="18:35">
      <c r="R163" s="320">
        <f>DATE(LEFT(HAVERM!A168,4)*1,RIGHT(HAVERM!A168,2)*1,1)</f>
        <v>45017</v>
      </c>
      <c r="S163" s="6">
        <f>HAVERM!B168</f>
        <v>101.3</v>
      </c>
      <c r="T163" s="6">
        <f>HAVERM!C168</f>
        <v>111.8</v>
      </c>
      <c r="U163" s="6">
        <f>HAVERM!D168</f>
        <v>105.3</v>
      </c>
      <c r="V163" s="6">
        <f>HAVERM!E168</f>
        <v>94.2</v>
      </c>
      <c r="W163" s="6">
        <f>HAVERM!F168</f>
        <v>102.2</v>
      </c>
      <c r="X163" s="6">
        <f>HAVERM!G168</f>
        <v>100.5</v>
      </c>
      <c r="Z163" s="6">
        <f t="shared" si="21"/>
        <v>97.092651757188506</v>
      </c>
      <c r="AA163" s="6">
        <f t="shared" si="22"/>
        <v>148.96735509660226</v>
      </c>
      <c r="AB163" s="6">
        <f t="shared" si="23"/>
        <v>100.28571428571429</v>
      </c>
      <c r="AC163" s="6">
        <f t="shared" si="24"/>
        <v>102.86650286650287</v>
      </c>
      <c r="AD163" s="6">
        <f t="shared" si="25"/>
        <v>106.93172900863198</v>
      </c>
      <c r="AE163" s="6">
        <f t="shared" si="25"/>
        <v>102.79577224684624</v>
      </c>
      <c r="AF163" s="6"/>
      <c r="AG163" s="6">
        <f t="shared" si="26"/>
        <v>119.78571741520001</v>
      </c>
      <c r="AH163" s="6">
        <f t="shared" si="20"/>
        <v>102.79577224684624</v>
      </c>
      <c r="AI163" s="6"/>
    </row>
    <row r="164" spans="18:35">
      <c r="R164" s="320">
        <f>DATE(LEFT(HAVERM!A169,4)*1,RIGHT(HAVERM!A169,2)*1,1)</f>
        <v>45047</v>
      </c>
      <c r="S164" s="6">
        <f>HAVERM!B169</f>
        <v>102.2</v>
      </c>
      <c r="T164" s="6">
        <f>HAVERM!C169</f>
        <v>113.6</v>
      </c>
      <c r="U164" s="6">
        <f>HAVERM!D169</f>
        <v>105.8</v>
      </c>
      <c r="V164" s="6">
        <f>HAVERM!E169</f>
        <v>95.2</v>
      </c>
      <c r="W164" s="6">
        <f>HAVERM!F169</f>
        <v>101.1</v>
      </c>
      <c r="X164" s="6">
        <f>HAVERM!G169</f>
        <v>100.1</v>
      </c>
      <c r="Z164" s="6">
        <f t="shared" si="21"/>
        <v>97.955271565495224</v>
      </c>
      <c r="AA164" s="6">
        <f t="shared" si="22"/>
        <v>151.36575616255828</v>
      </c>
      <c r="AB164" s="6">
        <f t="shared" si="23"/>
        <v>100.76190476190476</v>
      </c>
      <c r="AC164" s="6">
        <f t="shared" si="24"/>
        <v>103.95850395850397</v>
      </c>
      <c r="AD164" s="6">
        <f t="shared" si="25"/>
        <v>105.78080041851948</v>
      </c>
      <c r="AE164" s="6">
        <f t="shared" si="25"/>
        <v>102.38663484486874</v>
      </c>
      <c r="AF164" s="6"/>
      <c r="AG164" s="6">
        <f t="shared" si="26"/>
        <v>120.88415961671302</v>
      </c>
      <c r="AH164" s="6">
        <f t="shared" si="20"/>
        <v>102.38663484486874</v>
      </c>
      <c r="AI164" s="6"/>
    </row>
    <row r="165" spans="18:35">
      <c r="R165" s="320">
        <f>DATE(LEFT(HAVERM!A170,4)*1,RIGHT(HAVERM!A170,2)*1,1)</f>
        <v>45078</v>
      </c>
      <c r="S165" s="6">
        <f>HAVERM!B170</f>
        <v>103</v>
      </c>
      <c r="T165" s="6">
        <f>HAVERM!C170</f>
        <v>114.6</v>
      </c>
      <c r="U165" s="6">
        <f>HAVERM!D170</f>
        <v>106.5</v>
      </c>
      <c r="V165" s="6">
        <f>HAVERM!E170</f>
        <v>94.4</v>
      </c>
      <c r="W165" s="6">
        <f>HAVERM!F170</f>
        <v>104.2</v>
      </c>
      <c r="X165" s="6">
        <f>HAVERM!G170</f>
        <v>100.8</v>
      </c>
      <c r="Z165" s="6">
        <f t="shared" si="21"/>
        <v>98.722044728434525</v>
      </c>
      <c r="AA165" s="6">
        <f t="shared" si="22"/>
        <v>152.69820119920053</v>
      </c>
      <c r="AB165" s="6">
        <f t="shared" si="23"/>
        <v>101.42857142857142</v>
      </c>
      <c r="AC165" s="6">
        <f t="shared" si="24"/>
        <v>103.08490308490308</v>
      </c>
      <c r="AD165" s="6">
        <f t="shared" si="25"/>
        <v>109.0243264452001</v>
      </c>
      <c r="AE165" s="6">
        <f t="shared" si="25"/>
        <v>103.10262529832937</v>
      </c>
      <c r="AF165" s="6"/>
      <c r="AG165" s="6">
        <f t="shared" si="26"/>
        <v>121.9928270522152</v>
      </c>
      <c r="AH165" s="6">
        <f t="shared" si="20"/>
        <v>103.10262529832937</v>
      </c>
      <c r="AI165" s="6"/>
    </row>
    <row r="166" spans="18:35">
      <c r="R166" s="320">
        <f>DATE(LEFT(HAVERM!A171,4)*1,RIGHT(HAVERM!A171,2)*1,1)</f>
        <v>45108</v>
      </c>
      <c r="S166" s="6">
        <f>HAVERM!B171</f>
        <v>105.9</v>
      </c>
      <c r="T166" s="6">
        <f>HAVERM!C171</f>
        <v>115.1</v>
      </c>
      <c r="U166" s="6">
        <f>HAVERM!D171</f>
        <v>107</v>
      </c>
      <c r="V166" s="6">
        <f>HAVERM!E171</f>
        <v>90.9</v>
      </c>
      <c r="W166" s="6">
        <f>HAVERM!F171</f>
        <v>103.3</v>
      </c>
      <c r="X166" s="6">
        <f>HAVERM!G171</f>
        <v>100.4</v>
      </c>
      <c r="Z166" s="6">
        <f t="shared" si="21"/>
        <v>101.50159744408948</v>
      </c>
      <c r="AA166" s="6">
        <f t="shared" si="22"/>
        <v>153.36442371752165</v>
      </c>
      <c r="AB166" s="6">
        <f t="shared" si="23"/>
        <v>101.9047619047619</v>
      </c>
      <c r="AC166" s="6">
        <f t="shared" si="24"/>
        <v>99.262899262899268</v>
      </c>
      <c r="AD166" s="6">
        <f t="shared" si="25"/>
        <v>108.08265759874442</v>
      </c>
      <c r="AE166" s="6">
        <f t="shared" si="25"/>
        <v>102.69348789635187</v>
      </c>
      <c r="AF166" s="6"/>
      <c r="AG166" s="6">
        <f t="shared" si="26"/>
        <v>122.0188812298901</v>
      </c>
      <c r="AH166" s="6">
        <f t="shared" si="20"/>
        <v>102.69348789635187</v>
      </c>
      <c r="AI166" s="6"/>
    </row>
    <row r="167" spans="18:35">
      <c r="R167" s="320">
        <f>DATE(LEFT(HAVERM!A172,4)*1,RIGHT(HAVERM!A172,2)*1,1)</f>
        <v>45139</v>
      </c>
      <c r="S167" s="6">
        <f>HAVERM!B172</f>
        <v>106.8</v>
      </c>
      <c r="T167" s="6">
        <f>HAVERM!C172</f>
        <v>116.1</v>
      </c>
      <c r="U167" s="6">
        <f>HAVERM!D172</f>
        <v>107</v>
      </c>
      <c r="V167" s="6">
        <f>HAVERM!E172</f>
        <v>92.7</v>
      </c>
      <c r="W167" s="6">
        <f>HAVERM!F172</f>
        <v>102</v>
      </c>
      <c r="X167" s="6">
        <f>HAVERM!G172</f>
        <v>100.4</v>
      </c>
      <c r="Z167" s="6">
        <f t="shared" si="21"/>
        <v>102.36421725239617</v>
      </c>
      <c r="AA167" s="6">
        <f t="shared" si="22"/>
        <v>154.69686875416389</v>
      </c>
      <c r="AB167" s="6">
        <f t="shared" si="23"/>
        <v>101.9047619047619</v>
      </c>
      <c r="AC167" s="6">
        <f t="shared" si="24"/>
        <v>101.22850122850122</v>
      </c>
      <c r="AD167" s="6">
        <f t="shared" si="25"/>
        <v>106.72246926497515</v>
      </c>
      <c r="AE167" s="6">
        <f t="shared" si="25"/>
        <v>102.69348789635187</v>
      </c>
      <c r="AF167" s="6"/>
      <c r="AG167" s="6">
        <f t="shared" si="26"/>
        <v>122.71346294284545</v>
      </c>
      <c r="AH167" s="6">
        <f t="shared" si="20"/>
        <v>102.69348789635187</v>
      </c>
      <c r="AI167" s="6"/>
    </row>
    <row r="168" spans="18:35">
      <c r="R168" s="320">
        <f>DATE(LEFT(HAVERM!A173,4)*1,RIGHT(HAVERM!A173,2)*1,1)</f>
        <v>45170</v>
      </c>
      <c r="S168" s="6">
        <f>HAVERM!B173</f>
        <v>106.2</v>
      </c>
      <c r="T168" s="6">
        <f>HAVERM!C173</f>
        <v>117.2</v>
      </c>
      <c r="U168" s="6">
        <f>HAVERM!D173</f>
        <v>106.9</v>
      </c>
      <c r="V168" s="6">
        <f>HAVERM!E173</f>
        <v>92.6</v>
      </c>
      <c r="W168" s="6">
        <f>HAVERM!F173</f>
        <v>102.8</v>
      </c>
      <c r="X168" s="6">
        <f>HAVERM!G173</f>
        <v>100.3</v>
      </c>
      <c r="Z168" s="6">
        <f t="shared" si="21"/>
        <v>101.7891373801917</v>
      </c>
      <c r="AA168" s="6">
        <f t="shared" si="22"/>
        <v>156.16255829447036</v>
      </c>
      <c r="AB168" s="6">
        <f t="shared" si="23"/>
        <v>101.80952380952381</v>
      </c>
      <c r="AC168" s="6">
        <f t="shared" si="24"/>
        <v>101.11930111930111</v>
      </c>
      <c r="AD168" s="6">
        <f t="shared" si="25"/>
        <v>107.55950823960241</v>
      </c>
      <c r="AE168" s="6">
        <f t="shared" si="25"/>
        <v>102.5912035458575</v>
      </c>
      <c r="AF168" s="6"/>
      <c r="AG168" s="6">
        <f t="shared" si="26"/>
        <v>123.28943981769865</v>
      </c>
      <c r="AH168" s="6">
        <f t="shared" si="20"/>
        <v>102.5912035458575</v>
      </c>
      <c r="AI168" s="6"/>
    </row>
    <row r="169" spans="18:35">
      <c r="R169" s="320">
        <f>DATE(LEFT(HAVERM!A174,4)*1,RIGHT(HAVERM!A174,2)*1,1)</f>
        <v>45200</v>
      </c>
      <c r="S169" s="6">
        <f>HAVERM!B174</f>
        <v>104.7</v>
      </c>
      <c r="T169" s="6">
        <f>HAVERM!C174</f>
        <v>120</v>
      </c>
      <c r="U169" s="6">
        <f>HAVERM!D174</f>
        <v>105.9</v>
      </c>
      <c r="V169" s="6">
        <f>HAVERM!E174</f>
        <v>91.5</v>
      </c>
      <c r="W169" s="6">
        <f>HAVERM!F174</f>
        <v>102.9</v>
      </c>
      <c r="X169" s="6">
        <f>HAVERM!G174</f>
        <v>99.9</v>
      </c>
      <c r="Z169" s="6">
        <f t="shared" si="21"/>
        <v>100.35143769968053</v>
      </c>
      <c r="AA169" s="6">
        <f t="shared" si="22"/>
        <v>159.89340439706862</v>
      </c>
      <c r="AB169" s="6">
        <f t="shared" si="23"/>
        <v>100.85714285714286</v>
      </c>
      <c r="AC169" s="6">
        <f t="shared" si="24"/>
        <v>99.918099918099912</v>
      </c>
      <c r="AD169" s="6">
        <f t="shared" si="25"/>
        <v>107.6641381114308</v>
      </c>
      <c r="AE169" s="6">
        <f t="shared" si="25"/>
        <v>102.18206614387999</v>
      </c>
      <c r="AF169" s="6"/>
      <c r="AG169" s="6">
        <f t="shared" si="26"/>
        <v>124.18228488731751</v>
      </c>
      <c r="AH169" s="6">
        <f t="shared" si="20"/>
        <v>102.18206614387999</v>
      </c>
      <c r="AI169" s="6"/>
    </row>
    <row r="170" spans="18:35">
      <c r="R170" s="320">
        <f>DATE(LEFT(HAVERM!A175,4)*1,RIGHT(HAVERM!A175,2)*1,1)</f>
        <v>45231</v>
      </c>
      <c r="S170" s="6">
        <f>HAVERM!B175</f>
        <v>106.2</v>
      </c>
      <c r="T170" s="6">
        <f>HAVERM!C175</f>
        <v>123.4</v>
      </c>
      <c r="U170" s="6">
        <f>HAVERM!D175</f>
        <v>106.7</v>
      </c>
      <c r="V170" s="6">
        <f>HAVERM!E175</f>
        <v>90.5</v>
      </c>
      <c r="W170" s="6">
        <f>HAVERM!F175</f>
        <v>102.6</v>
      </c>
      <c r="X170" s="6">
        <f>HAVERM!G175</f>
        <v>100.2</v>
      </c>
      <c r="Z170" s="6">
        <f t="shared" si="21"/>
        <v>101.7891373801917</v>
      </c>
      <c r="AA170" s="6">
        <f t="shared" si="22"/>
        <v>164.42371752165224</v>
      </c>
      <c r="AB170" s="6">
        <f t="shared" si="23"/>
        <v>101.61904761904763</v>
      </c>
      <c r="AC170" s="6">
        <f t="shared" si="24"/>
        <v>98.826098826098814</v>
      </c>
      <c r="AD170" s="6">
        <f t="shared" si="25"/>
        <v>107.35024849594559</v>
      </c>
      <c r="AE170" s="6">
        <f t="shared" si="25"/>
        <v>102.48891919536311</v>
      </c>
      <c r="AF170" s="6"/>
      <c r="AG170" s="6">
        <f t="shared" si="26"/>
        <v>126.04048571095296</v>
      </c>
      <c r="AH170" s="6">
        <f t="shared" si="20"/>
        <v>102.48891919536311</v>
      </c>
      <c r="AI170" s="6"/>
    </row>
    <row r="171" spans="18:35">
      <c r="R171" s="320">
        <f>DATE(LEFT(HAVERM!A176,4)*1,RIGHT(HAVERM!A176,2)*1,1)</f>
        <v>45261</v>
      </c>
      <c r="S171" s="6">
        <f>HAVERM!B176</f>
        <v>109</v>
      </c>
      <c r="T171" s="6">
        <f>HAVERM!C176</f>
        <v>126.4</v>
      </c>
      <c r="U171" s="6">
        <f>HAVERM!D176</f>
        <v>106.1</v>
      </c>
      <c r="V171" s="6">
        <f>HAVERM!E176</f>
        <v>92.1</v>
      </c>
      <c r="W171" s="6">
        <f>HAVERM!F176</f>
        <v>101.8</v>
      </c>
      <c r="X171" s="6">
        <f>HAVERM!G176</f>
        <v>100.1</v>
      </c>
      <c r="Z171" s="6">
        <f t="shared" si="21"/>
        <v>104.47284345047925</v>
      </c>
      <c r="AA171" s="6">
        <f t="shared" si="22"/>
        <v>168.42105263157896</v>
      </c>
      <c r="AB171" s="6">
        <f t="shared" si="23"/>
        <v>101.04761904761905</v>
      </c>
      <c r="AC171" s="6">
        <f t="shared" si="24"/>
        <v>100.57330057330056</v>
      </c>
      <c r="AD171" s="6">
        <f t="shared" si="25"/>
        <v>106.51320952131833</v>
      </c>
      <c r="AE171" s="6">
        <f t="shared" si="25"/>
        <v>102.38663484486874</v>
      </c>
      <c r="AF171" s="6"/>
      <c r="AG171" s="6">
        <f t="shared" si="26"/>
        <v>127.93365265876929</v>
      </c>
      <c r="AH171" s="6">
        <f t="shared" si="20"/>
        <v>102.38663484486874</v>
      </c>
      <c r="AI171" s="6"/>
    </row>
    <row r="172" spans="18:35">
      <c r="R172" s="320">
        <f>DATE(LEFT(HAVERM!A177,4)*1,RIGHT(HAVERM!A177,2)*1,1)</f>
        <v>45292</v>
      </c>
      <c r="S172" s="6">
        <f>HAVERM!B177</f>
        <v>107.5</v>
      </c>
      <c r="T172" s="6">
        <f>HAVERM!C177</f>
        <v>129</v>
      </c>
      <c r="U172" s="6">
        <f>HAVERM!D177</f>
        <v>105.4</v>
      </c>
      <c r="V172" s="6">
        <f>HAVERM!E177</f>
        <v>92.3</v>
      </c>
      <c r="W172" s="6">
        <f>HAVERM!F177</f>
        <v>103</v>
      </c>
      <c r="X172" s="6">
        <f>HAVERM!G177</f>
        <v>100.5</v>
      </c>
      <c r="Z172" s="6">
        <f t="shared" si="21"/>
        <v>103.03514376996807</v>
      </c>
      <c r="AA172" s="6">
        <f t="shared" si="22"/>
        <v>171.88540972684879</v>
      </c>
      <c r="AB172" s="6">
        <f t="shared" si="23"/>
        <v>100.38095238095239</v>
      </c>
      <c r="AC172" s="6">
        <f t="shared" si="24"/>
        <v>100.79170079170079</v>
      </c>
      <c r="AD172" s="6">
        <f t="shared" si="25"/>
        <v>107.76876798325922</v>
      </c>
      <c r="AE172" s="6">
        <f t="shared" si="25"/>
        <v>102.79577224684624</v>
      </c>
      <c r="AF172" s="6"/>
      <c r="AG172" s="6">
        <f t="shared" si="26"/>
        <v>129.15796698121503</v>
      </c>
      <c r="AH172" s="6">
        <f t="shared" si="20"/>
        <v>102.79577224684624</v>
      </c>
      <c r="AI172" s="6"/>
    </row>
    <row r="173" spans="18:35">
      <c r="R173" s="320">
        <f>DATE(LEFT(HAVERM!A178,4)*1,RIGHT(HAVERM!A178,2)*1,1)</f>
        <v>45323</v>
      </c>
      <c r="S173" s="6">
        <f>HAVERM!B178</f>
        <v>109.8</v>
      </c>
      <c r="T173" s="6">
        <f>HAVERM!C178</f>
        <v>130.6</v>
      </c>
      <c r="U173" s="6">
        <f>HAVERM!D178</f>
        <v>104.7</v>
      </c>
      <c r="V173" s="6">
        <f>HAVERM!E178</f>
        <v>92.4</v>
      </c>
      <c r="W173" s="6">
        <f>HAVERM!F178</f>
        <v>101.7</v>
      </c>
      <c r="X173" s="6">
        <f>HAVERM!G178</f>
        <v>100.7</v>
      </c>
      <c r="Z173" s="6">
        <f t="shared" si="21"/>
        <v>105.23961661341855</v>
      </c>
      <c r="AA173" s="6">
        <f t="shared" si="22"/>
        <v>174.01732178547635</v>
      </c>
      <c r="AB173" s="6">
        <f t="shared" si="23"/>
        <v>99.714285714285722</v>
      </c>
      <c r="AC173" s="6">
        <f t="shared" si="24"/>
        <v>100.90090090090091</v>
      </c>
      <c r="AD173" s="6">
        <f t="shared" si="25"/>
        <v>106.40857964948994</v>
      </c>
      <c r="AE173" s="6">
        <f t="shared" si="25"/>
        <v>103.00034094783499</v>
      </c>
      <c r="AF173" s="6"/>
      <c r="AG173" s="6">
        <f t="shared" si="26"/>
        <v>129.94491639553368</v>
      </c>
      <c r="AH173" s="6">
        <f t="shared" si="20"/>
        <v>103.00034094783499</v>
      </c>
      <c r="AI173" s="6"/>
    </row>
    <row r="174" spans="18:35">
      <c r="R174" s="320">
        <f>DATE(LEFT(HAVERM!A179,4)*1,RIGHT(HAVERM!A179,2)*1,1)</f>
        <v>45352</v>
      </c>
      <c r="S174" s="6">
        <f>HAVERM!B179</f>
        <v>108.4</v>
      </c>
      <c r="T174" s="6">
        <f>HAVERM!C179</f>
        <v>131.5</v>
      </c>
      <c r="U174" s="6">
        <f>HAVERM!D179</f>
        <v>104.4</v>
      </c>
      <c r="V174" s="6">
        <f>HAVERM!E179</f>
        <v>93.2</v>
      </c>
      <c r="W174" s="6">
        <f>HAVERM!F179</f>
        <v>102.2</v>
      </c>
      <c r="X174" s="6">
        <f>HAVERM!G179</f>
        <v>101.3</v>
      </c>
      <c r="Z174" s="6">
        <f t="shared" si="21"/>
        <v>103.89776357827478</v>
      </c>
      <c r="AA174" s="6">
        <f t="shared" si="22"/>
        <v>175.21652231845437</v>
      </c>
      <c r="AB174" s="6">
        <f t="shared" si="23"/>
        <v>99.428571428571431</v>
      </c>
      <c r="AC174" s="6">
        <f t="shared" si="24"/>
        <v>101.77450177450179</v>
      </c>
      <c r="AD174" s="6">
        <f t="shared" si="25"/>
        <v>106.93172900863198</v>
      </c>
      <c r="AE174" s="6">
        <f t="shared" si="25"/>
        <v>103.61404705080122</v>
      </c>
      <c r="AF174" s="6"/>
      <c r="AG174" s="6">
        <f t="shared" si="26"/>
        <v>130.37291433602047</v>
      </c>
      <c r="AH174" s="6">
        <f t="shared" si="20"/>
        <v>103.61404705080122</v>
      </c>
      <c r="AI174" s="6"/>
    </row>
    <row r="175" spans="18:35">
      <c r="R175" s="320">
        <f>DATE(LEFT(HAVERM!A180,4)*1,RIGHT(HAVERM!A180,2)*1,1)</f>
        <v>45383</v>
      </c>
      <c r="S175" s="6">
        <f>HAVERM!B180</f>
        <v>105.2</v>
      </c>
      <c r="T175" s="6">
        <f>HAVERM!C180</f>
        <v>132</v>
      </c>
      <c r="U175" s="6">
        <f>HAVERM!D180</f>
        <v>103.6</v>
      </c>
      <c r="V175" s="6">
        <f>HAVERM!E180</f>
        <v>98.4</v>
      </c>
      <c r="W175" s="6">
        <f>HAVERM!F180</f>
        <v>101.2</v>
      </c>
      <c r="X175" s="6">
        <f>HAVERM!G180</f>
        <v>101.1</v>
      </c>
      <c r="Z175" s="6">
        <f t="shared" si="21"/>
        <v>100.83067092651758</v>
      </c>
      <c r="AA175" s="6">
        <f t="shared" si="22"/>
        <v>175.88274483677549</v>
      </c>
      <c r="AB175" s="6">
        <f t="shared" si="23"/>
        <v>98.666666666666657</v>
      </c>
      <c r="AC175" s="6">
        <f t="shared" si="24"/>
        <v>107.45290745290745</v>
      </c>
      <c r="AD175" s="6">
        <f t="shared" si="25"/>
        <v>105.8854302903479</v>
      </c>
      <c r="AE175" s="6">
        <f t="shared" si="25"/>
        <v>103.40947834981247</v>
      </c>
      <c r="AF175" s="6"/>
      <c r="AG175" s="6">
        <f t="shared" si="26"/>
        <v>130.72188972342096</v>
      </c>
      <c r="AH175" s="6">
        <f t="shared" si="20"/>
        <v>103.40947834981247</v>
      </c>
      <c r="AI175" s="6"/>
    </row>
    <row r="176" spans="18:35">
      <c r="R176" s="320">
        <f>DATE(LEFT(HAVERM!A181,4)*1,RIGHT(HAVERM!A181,2)*1,1)</f>
        <v>45413</v>
      </c>
      <c r="S176" s="6">
        <f>HAVERM!B181</f>
        <v>105.9</v>
      </c>
      <c r="T176" s="6">
        <f>HAVERM!C181</f>
        <v>132.30000000000001</v>
      </c>
      <c r="U176" s="6">
        <f>HAVERM!D181</f>
        <v>102.8</v>
      </c>
      <c r="V176" s="6">
        <f>HAVERM!E181</f>
        <v>95.6</v>
      </c>
      <c r="W176" s="6">
        <f>HAVERM!F181</f>
        <v>103</v>
      </c>
      <c r="X176" s="6">
        <f>HAVERM!G181</f>
        <v>101.4</v>
      </c>
      <c r="Z176" s="6">
        <f t="shared" si="21"/>
        <v>101.50159744408948</v>
      </c>
      <c r="AA176" s="6">
        <f t="shared" si="22"/>
        <v>176.28247834776818</v>
      </c>
      <c r="AB176" s="6">
        <f t="shared" si="23"/>
        <v>97.904761904761912</v>
      </c>
      <c r="AC176" s="6">
        <f t="shared" si="24"/>
        <v>104.39530439530438</v>
      </c>
      <c r="AD176" s="6">
        <f t="shared" si="25"/>
        <v>107.76876798325922</v>
      </c>
      <c r="AE176" s="6">
        <f t="shared" si="25"/>
        <v>103.71633140129562</v>
      </c>
      <c r="AF176" s="6"/>
      <c r="AG176" s="6">
        <f t="shared" si="26"/>
        <v>130.67154335452835</v>
      </c>
      <c r="AH176" s="6">
        <f t="shared" si="20"/>
        <v>103.71633140129562</v>
      </c>
      <c r="AI176" s="6"/>
    </row>
    <row r="177" spans="18:35">
      <c r="R177" s="320">
        <f>DATE(LEFT(HAVERM!A182,4)*1,RIGHT(HAVERM!A182,2)*1,1)</f>
        <v>45444</v>
      </c>
      <c r="S177" s="6">
        <f>HAVERM!B182</f>
        <v>109.6</v>
      </c>
      <c r="T177" s="6">
        <f>HAVERM!C182</f>
        <v>131.6</v>
      </c>
      <c r="U177" s="6">
        <f>HAVERM!D182</f>
        <v>101.8</v>
      </c>
      <c r="V177" s="6">
        <f>HAVERM!E182</f>
        <v>95.4</v>
      </c>
      <c r="W177" s="6">
        <f>HAVERM!F182</f>
        <v>103.1</v>
      </c>
      <c r="X177" s="6">
        <f>HAVERM!G182</f>
        <v>101.3</v>
      </c>
      <c r="Z177" s="6">
        <f t="shared" si="21"/>
        <v>105.04792332268372</v>
      </c>
      <c r="AA177" s="6">
        <f t="shared" si="22"/>
        <v>175.34976682211857</v>
      </c>
      <c r="AB177" s="6">
        <f t="shared" si="23"/>
        <v>96.952380952380949</v>
      </c>
      <c r="AC177" s="6">
        <f t="shared" si="24"/>
        <v>104.17690417690417</v>
      </c>
      <c r="AD177" s="6">
        <f t="shared" si="25"/>
        <v>107.87339785508763</v>
      </c>
      <c r="AE177" s="6">
        <f t="shared" si="25"/>
        <v>103.61404705080122</v>
      </c>
      <c r="AF177" s="6"/>
      <c r="AG177" s="6">
        <f t="shared" si="26"/>
        <v>130.5939176129277</v>
      </c>
      <c r="AH177" s="6">
        <f t="shared" ref="AH177:AH183" si="27">X177/AVERAGE(X$112:X$123)*100</f>
        <v>103.61404705080122</v>
      </c>
      <c r="AI177" s="6"/>
    </row>
    <row r="178" spans="18:35">
      <c r="R178" s="320">
        <f>DATE(LEFT(HAVERM!A183,4)*1,RIGHT(HAVERM!A183,2)*1,1)</f>
        <v>45474</v>
      </c>
      <c r="S178" s="6">
        <f>HAVERM!B183</f>
        <v>108.1</v>
      </c>
      <c r="T178" s="6">
        <f>HAVERM!C183</f>
        <v>130.30000000000001</v>
      </c>
      <c r="U178" s="6">
        <f>HAVERM!D183</f>
        <v>101.1</v>
      </c>
      <c r="V178" s="6">
        <f>HAVERM!E183</f>
        <v>97</v>
      </c>
      <c r="W178" s="6">
        <f>HAVERM!F183</f>
        <v>102.4</v>
      </c>
      <c r="X178" s="6">
        <f>HAVERM!G183</f>
        <v>101.2</v>
      </c>
      <c r="Z178" s="6">
        <f t="shared" si="21"/>
        <v>103.61022364217254</v>
      </c>
      <c r="AA178" s="6">
        <f t="shared" si="22"/>
        <v>173.61758827448369</v>
      </c>
      <c r="AB178" s="6">
        <f t="shared" si="23"/>
        <v>96.285714285714292</v>
      </c>
      <c r="AC178" s="6">
        <f t="shared" si="24"/>
        <v>105.92410592410593</v>
      </c>
      <c r="AD178" s="6">
        <f t="shared" si="25"/>
        <v>107.14098875228879</v>
      </c>
      <c r="AE178" s="6">
        <f t="shared" si="25"/>
        <v>103.51176270030686</v>
      </c>
      <c r="AF178" s="6"/>
      <c r="AG178" s="6">
        <f t="shared" si="26"/>
        <v>129.75262914416669</v>
      </c>
      <c r="AH178" s="6">
        <f t="shared" si="27"/>
        <v>103.51176270030686</v>
      </c>
      <c r="AI178" s="6"/>
    </row>
    <row r="179" spans="18:35">
      <c r="R179" s="320">
        <f>DATE(LEFT(HAVERM!A184,4)*1,RIGHT(HAVERM!A184,2)*1,1)</f>
        <v>45505</v>
      </c>
      <c r="S179" s="6">
        <f>HAVERM!B184</f>
        <v>109.9</v>
      </c>
      <c r="T179" s="6">
        <f>HAVERM!C184</f>
        <v>128.9</v>
      </c>
      <c r="U179" s="6">
        <f>HAVERM!D184</f>
        <v>100.8</v>
      </c>
      <c r="V179" s="6">
        <f>HAVERM!E184</f>
        <v>98</v>
      </c>
      <c r="W179" s="6">
        <f>HAVERM!F184</f>
        <v>103.1</v>
      </c>
      <c r="X179" s="6">
        <f>HAVERM!G184</f>
        <v>101.3</v>
      </c>
      <c r="Z179" s="6">
        <f t="shared" si="21"/>
        <v>105.33546325878598</v>
      </c>
      <c r="AA179" s="6">
        <f t="shared" si="22"/>
        <v>171.75216522318456</v>
      </c>
      <c r="AB179" s="6">
        <f t="shared" si="23"/>
        <v>96</v>
      </c>
      <c r="AC179" s="6">
        <f t="shared" si="24"/>
        <v>107.01610701610701</v>
      </c>
      <c r="AD179" s="6">
        <f t="shared" si="25"/>
        <v>107.87339785508763</v>
      </c>
      <c r="AE179" s="6">
        <f t="shared" si="25"/>
        <v>103.61404705080122</v>
      </c>
      <c r="AF179" s="6"/>
      <c r="AG179" s="6">
        <f t="shared" si="26"/>
        <v>129.48620170567895</v>
      </c>
      <c r="AH179" s="6">
        <f t="shared" si="27"/>
        <v>103.61404705080122</v>
      </c>
      <c r="AI179" s="6"/>
    </row>
    <row r="180" spans="18:35">
      <c r="R180" s="320">
        <f>DATE(LEFT(HAVERM!A185,4)*1,RIGHT(HAVERM!A185,2)*1,1)</f>
        <v>45536</v>
      </c>
      <c r="S180" s="6">
        <f>HAVERM!B185</f>
        <v>107</v>
      </c>
      <c r="T180" s="6">
        <f>HAVERM!C185</f>
        <v>127.5</v>
      </c>
      <c r="U180" s="6">
        <f>HAVERM!D185</f>
        <v>100.9</v>
      </c>
      <c r="V180" s="6">
        <f>HAVERM!E185</f>
        <v>96</v>
      </c>
      <c r="W180" s="6">
        <f>HAVERM!F185</f>
        <v>103</v>
      </c>
      <c r="X180" s="6">
        <f>HAVERM!G185</f>
        <v>101.3</v>
      </c>
      <c r="Z180" s="6">
        <f t="shared" si="21"/>
        <v>102.55591054313101</v>
      </c>
      <c r="AA180" s="6">
        <f t="shared" si="22"/>
        <v>169.88674217188543</v>
      </c>
      <c r="AB180" s="6">
        <f t="shared" si="23"/>
        <v>96.095238095238102</v>
      </c>
      <c r="AC180" s="6">
        <f t="shared" si="24"/>
        <v>104.83210483210483</v>
      </c>
      <c r="AD180" s="6">
        <f t="shared" si="25"/>
        <v>107.76876798325922</v>
      </c>
      <c r="AE180" s="6">
        <f t="shared" si="25"/>
        <v>103.61404705080122</v>
      </c>
      <c r="AF180" s="6"/>
      <c r="AG180" s="6">
        <f t="shared" si="26"/>
        <v>128.09524282748603</v>
      </c>
      <c r="AH180" s="6">
        <f t="shared" si="27"/>
        <v>103.61404705080122</v>
      </c>
      <c r="AI180" s="6"/>
    </row>
    <row r="181" spans="18:35">
      <c r="R181" s="320">
        <f>DATE(LEFT(HAVERM!A186,4)*1,RIGHT(HAVERM!A186,2)*1,1)</f>
        <v>45566</v>
      </c>
      <c r="S181" s="6">
        <f>HAVERM!B186</f>
        <v>107.2</v>
      </c>
      <c r="T181" s="6">
        <f>HAVERM!C186</f>
        <v>125.8</v>
      </c>
      <c r="U181" s="6">
        <f>HAVERM!D186</f>
        <v>100.6</v>
      </c>
      <c r="V181" s="6">
        <f>HAVERM!E186</f>
        <v>96.7</v>
      </c>
      <c r="W181" s="6">
        <f>HAVERM!F186</f>
        <v>103</v>
      </c>
      <c r="X181" s="6">
        <f>HAVERM!G186</f>
        <v>101.1</v>
      </c>
      <c r="Z181" s="6">
        <f t="shared" si="21"/>
        <v>102.74760383386582</v>
      </c>
      <c r="AA181" s="6">
        <f t="shared" si="22"/>
        <v>167.62158560959361</v>
      </c>
      <c r="AB181" s="6">
        <f t="shared" si="23"/>
        <v>95.809523809523796</v>
      </c>
      <c r="AC181" s="6">
        <f t="shared" si="24"/>
        <v>105.59650559650559</v>
      </c>
      <c r="AD181" s="6">
        <f t="shared" si="25"/>
        <v>107.76876798325922</v>
      </c>
      <c r="AE181" s="6">
        <f t="shared" si="25"/>
        <v>103.40947834981247</v>
      </c>
      <c r="AF181" s="6"/>
      <c r="AG181" s="6">
        <f t="shared" si="26"/>
        <v>127.31290885178427</v>
      </c>
      <c r="AH181" s="6">
        <f t="shared" si="27"/>
        <v>103.40947834981247</v>
      </c>
      <c r="AI181" s="6"/>
    </row>
    <row r="182" spans="18:35">
      <c r="R182" s="320">
        <f>DATE(LEFT(HAVERM!A187,4)*1,RIGHT(HAVERM!A187,2)*1,1)</f>
        <v>45597</v>
      </c>
      <c r="S182" s="6">
        <f>HAVERM!B187</f>
        <v>106.7</v>
      </c>
      <c r="T182" s="6">
        <f>HAVERM!C187</f>
        <v>124.1</v>
      </c>
      <c r="U182" s="6">
        <f>HAVERM!D187</f>
        <v>100.4</v>
      </c>
      <c r="V182" s="6">
        <f>HAVERM!E187</f>
        <v>97.6</v>
      </c>
      <c r="W182" s="6">
        <f>HAVERM!F187</f>
        <v>103.6</v>
      </c>
      <c r="X182" s="6">
        <f>HAVERM!G187</f>
        <v>101.2</v>
      </c>
      <c r="Z182" s="6">
        <f t="shared" si="21"/>
        <v>102.26837060702879</v>
      </c>
      <c r="AA182" s="6">
        <f t="shared" si="22"/>
        <v>165.35642904730179</v>
      </c>
      <c r="AB182" s="6">
        <f t="shared" si="23"/>
        <v>95.61904761904762</v>
      </c>
      <c r="AC182" s="6">
        <f t="shared" si="24"/>
        <v>106.57930657930656</v>
      </c>
      <c r="AD182" s="6">
        <f t="shared" si="25"/>
        <v>108.39654721422964</v>
      </c>
      <c r="AE182" s="6">
        <f t="shared" si="25"/>
        <v>103.51176270030686</v>
      </c>
      <c r="AF182" s="6"/>
      <c r="AG182" s="6">
        <f t="shared" si="26"/>
        <v>126.58637083887369</v>
      </c>
      <c r="AH182" s="6">
        <f t="shared" si="27"/>
        <v>103.51176270030686</v>
      </c>
      <c r="AI182" s="6"/>
    </row>
    <row r="183" spans="18:35">
      <c r="R183" s="320">
        <f>DATE(LEFT(HAVERM!A188,4)*1,RIGHT(HAVERM!A188,2)*1,1)</f>
        <v>45627</v>
      </c>
      <c r="S183" s="6">
        <f>HAVERM!B188</f>
        <v>107.3</v>
      </c>
      <c r="T183" s="6">
        <f>HAVERM!C188</f>
        <v>122.2</v>
      </c>
      <c r="U183" s="6">
        <f>HAVERM!D188</f>
        <v>100.9</v>
      </c>
      <c r="V183" s="6">
        <f>HAVERM!E188</f>
        <v>96.3</v>
      </c>
      <c r="W183" s="6">
        <f>HAVERM!F188</f>
        <v>103.4</v>
      </c>
      <c r="X183" s="6">
        <f>HAVERM!G188</f>
        <v>101.6</v>
      </c>
      <c r="Z183" s="6">
        <f t="shared" si="21"/>
        <v>102.84345047923324</v>
      </c>
      <c r="AA183" s="6">
        <f t="shared" si="22"/>
        <v>162.82478347768154</v>
      </c>
      <c r="AB183" s="6">
        <f t="shared" si="23"/>
        <v>96.095238095238102</v>
      </c>
      <c r="AC183" s="6">
        <f t="shared" si="24"/>
        <v>105.15970515970517</v>
      </c>
      <c r="AD183" s="6">
        <f t="shared" si="25"/>
        <v>108.18728747057284</v>
      </c>
      <c r="AE183" s="6">
        <f t="shared" si="25"/>
        <v>103.92090010228434</v>
      </c>
      <c r="AF183" s="6"/>
      <c r="AG183" s="6">
        <f t="shared" si="26"/>
        <v>125.55491393083777</v>
      </c>
      <c r="AH183" s="6">
        <f t="shared" si="27"/>
        <v>103.92090010228434</v>
      </c>
      <c r="AI183" s="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12</vt:i4>
      </vt:variant>
      <vt:variant>
        <vt:lpstr>Charts</vt:lpstr>
      </vt:variant>
      <vt:variant>
        <vt:i4>5</vt:i4>
      </vt:variant>
      <vt:variant>
        <vt:lpstr>Named Ranges</vt:lpstr>
      </vt:variant>
      <vt:variant>
        <vt:i4>1</vt:i4>
      </vt:variant>
    </vt:vector>
  </HeadingPairs>
  <TitlesOfParts>
    <vt:vector size="18" baseType="lpstr">
      <vt:lpstr>Data---&gt;</vt:lpstr>
      <vt:lpstr>GMW</vt:lpstr>
      <vt:lpstr>OBR</vt:lpstr>
      <vt:lpstr>NATO1</vt:lpstr>
      <vt:lpstr>NATO2</vt:lpstr>
      <vt:lpstr>Sheet2</vt:lpstr>
      <vt:lpstr>HAVERM</vt:lpstr>
      <vt:lpstr>Charts---&gt;</vt:lpstr>
      <vt:lpstr>Analysis---&gt;</vt:lpstr>
      <vt:lpstr>International Comparison</vt:lpstr>
      <vt:lpstr>Fiscal position</vt:lpstr>
      <vt:lpstr>Sheet7</vt:lpstr>
      <vt:lpstr>Chart1</vt:lpstr>
      <vt:lpstr>Chart5</vt:lpstr>
      <vt:lpstr>Chart2</vt:lpstr>
      <vt:lpstr>Chart3</vt:lpstr>
      <vt:lpstr>Chart4</vt:lpstr>
      <vt:lpstr>_DLX2.INC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Swannell</dc:creator>
  <cp:lastModifiedBy>Andrew Goodwin</cp:lastModifiedBy>
  <dcterms:created xsi:type="dcterms:W3CDTF">2025-02-21T14:46:17Z</dcterms:created>
  <dcterms:modified xsi:type="dcterms:W3CDTF">2025-02-28T09:12:54Z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2025-02-21T15:02:58Z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8b2758ed-9527-46c7-82fc-770e5df54590</vt:lpwstr>
  </property>
  <property fmtid="{D5CDD505-2E9C-101B-9397-08002B2CF9AE}" pid="8" name="MSIP_Label_231f5784-19ed-4d1e-9a93-4ea41014d730_ContentBits">
    <vt:lpwstr>0</vt:lpwstr>
  </property>
</Properties>
</file>