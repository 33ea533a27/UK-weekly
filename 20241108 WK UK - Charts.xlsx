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11/weekly 2/"/>
    </mc:Choice>
  </mc:AlternateContent>
  <xr:revisionPtr revIDLastSave="145" documentId="13_ncr:1_{8688A7B3-5743-4887-9F4F-2D44732E601B}" xr6:coauthVersionLast="47" xr6:coauthVersionMax="47" xr10:uidLastSave="{B5FF405B-7D9F-4ECB-8A37-F9C66AF9E95B}"/>
  <bookViews>
    <workbookView xWindow="-110" yWindow="-110" windowWidth="19420" windowHeight="10300" activeTab="4" xr2:uid="{5F121F9D-CB1D-4789-8EF4-9DB7194BDCE4}"/>
  </bookViews>
  <sheets>
    <sheet name="Chart1" sheetId="4" r:id="rId1"/>
    <sheet name="Chart Data" sheetId="2" r:id="rId2"/>
    <sheet name="HAVERD" sheetId="1" r:id="rId3"/>
    <sheet name="HAVERM" sheetId="3" r:id="rId4"/>
    <sheet name="Chart2" sheetId="8" r:id="rId5"/>
    <sheet name="Haver Q" sheetId="7" r:id="rId6"/>
  </sheets>
  <definedNames>
    <definedName name="_DLX1.INC">HAVERD!$G$3:$BV$8</definedName>
    <definedName name="_DLX2.INC">HAVERM!$B$1:$F$6</definedName>
    <definedName name="_DLX3.INC">'Haver Q'!$A$4:$G$9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7" l="1"/>
  <c r="K32" i="7"/>
  <c r="L32" i="7"/>
  <c r="L34" i="7"/>
  <c r="L35" i="7"/>
  <c r="L36" i="7"/>
  <c r="L37" i="7"/>
  <c r="L38" i="7"/>
  <c r="L39" i="7"/>
  <c r="L40" i="7"/>
  <c r="L41" i="7"/>
  <c r="L42" i="7"/>
  <c r="L43" i="7"/>
  <c r="L44" i="7"/>
  <c r="L33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34" i="7"/>
  <c r="K35" i="7"/>
  <c r="K36" i="7"/>
  <c r="K37" i="7"/>
  <c r="K38" i="7"/>
  <c r="K39" i="7"/>
  <c r="K40" i="7"/>
  <c r="K41" i="7"/>
  <c r="K42" i="7"/>
  <c r="K43" i="7"/>
  <c r="K44" i="7"/>
  <c r="K33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10" i="7"/>
  <c r="AZ40" i="2"/>
  <c r="BA40" i="2"/>
  <c r="AZ41" i="2"/>
  <c r="AZ42" i="2" s="1"/>
  <c r="BA41" i="2"/>
  <c r="BA42" i="2" s="1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C48" i="2"/>
  <c r="C47" i="2"/>
  <c r="B48" i="2"/>
  <c r="B47" i="2"/>
  <c r="BG46" i="2"/>
  <c r="BH46" i="2"/>
  <c r="BI46" i="2"/>
  <c r="BJ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C46" i="2"/>
  <c r="A15" i="1"/>
  <c r="A16" i="1"/>
  <c r="A17" i="1"/>
  <c r="A18" i="1"/>
  <c r="A19" i="1"/>
  <c r="B19" i="1" s="1"/>
  <c r="E19" i="1" s="1"/>
  <c r="A20" i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2" i="1"/>
  <c r="A23" i="1"/>
  <c r="A24" i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7" i="1"/>
  <c r="A28" i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32" i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14" i="1"/>
  <c r="D2" i="2"/>
  <c r="D41" i="2" s="1"/>
  <c r="AK48" i="2" s="1"/>
  <c r="E2" i="2"/>
  <c r="E41" i="2" s="1"/>
  <c r="AL48" i="2" s="1"/>
  <c r="F2" i="2"/>
  <c r="F41" i="2" s="1"/>
  <c r="AM48" i="2" s="1"/>
  <c r="G2" i="2"/>
  <c r="G41" i="2" s="1"/>
  <c r="AN48" i="2" s="1"/>
  <c r="H2" i="2"/>
  <c r="H41" i="2" s="1"/>
  <c r="AO48" i="2" s="1"/>
  <c r="I2" i="2"/>
  <c r="I41" i="2" s="1"/>
  <c r="AP48" i="2" s="1"/>
  <c r="J2" i="2"/>
  <c r="J41" i="2" s="1"/>
  <c r="AQ48" i="2" s="1"/>
  <c r="K2" i="2"/>
  <c r="K41" i="2" s="1"/>
  <c r="AR48" i="2" s="1"/>
  <c r="L2" i="2"/>
  <c r="L41" i="2" s="1"/>
  <c r="AS48" i="2" s="1"/>
  <c r="M2" i="2"/>
  <c r="M41" i="2" s="1"/>
  <c r="AT48" i="2" s="1"/>
  <c r="N2" i="2"/>
  <c r="N41" i="2" s="1"/>
  <c r="AU48" i="2" s="1"/>
  <c r="O2" i="2"/>
  <c r="O41" i="2" s="1"/>
  <c r="AV48" i="2" s="1"/>
  <c r="P2" i="2"/>
  <c r="P41" i="2" s="1"/>
  <c r="AW48" i="2" s="1"/>
  <c r="Q2" i="2"/>
  <c r="Q41" i="2" s="1"/>
  <c r="AX48" i="2" s="1"/>
  <c r="R2" i="2"/>
  <c r="R41" i="2" s="1"/>
  <c r="AY48" i="2" s="1"/>
  <c r="S2" i="2"/>
  <c r="S41" i="2" s="1"/>
  <c r="AZ48" i="2" s="1"/>
  <c r="T2" i="2"/>
  <c r="T41" i="2" s="1"/>
  <c r="BA48" i="2" s="1"/>
  <c r="U2" i="2"/>
  <c r="U41" i="2" s="1"/>
  <c r="BB48" i="2" s="1"/>
  <c r="V2" i="2"/>
  <c r="V41" i="2" s="1"/>
  <c r="BC48" i="2" s="1"/>
  <c r="W2" i="2"/>
  <c r="W41" i="2" s="1"/>
  <c r="BD48" i="2" s="1"/>
  <c r="X2" i="2"/>
  <c r="X41" i="2" s="1"/>
  <c r="BE48" i="2" s="1"/>
  <c r="Y2" i="2"/>
  <c r="Y41" i="2" s="1"/>
  <c r="BF48" i="2" s="1"/>
  <c r="Z2" i="2"/>
  <c r="Z41" i="2" s="1"/>
  <c r="BG48" i="2" s="1"/>
  <c r="AA2" i="2"/>
  <c r="AA41" i="2" s="1"/>
  <c r="BH48" i="2" s="1"/>
  <c r="AB2" i="2"/>
  <c r="AB41" i="2" s="1"/>
  <c r="BI48" i="2" s="1"/>
  <c r="AC2" i="2"/>
  <c r="AC41" i="2" s="1"/>
  <c r="BJ48" i="2" s="1"/>
  <c r="AD2" i="2"/>
  <c r="AD41" i="2" s="1"/>
  <c r="AE2" i="2"/>
  <c r="AE41" i="2" s="1"/>
  <c r="AF2" i="2"/>
  <c r="AF41" i="2" s="1"/>
  <c r="AG2" i="2"/>
  <c r="AG41" i="2" s="1"/>
  <c r="AH2" i="2"/>
  <c r="AH41" i="2" s="1"/>
  <c r="AI2" i="2"/>
  <c r="AI41" i="2" s="1"/>
  <c r="AJ2" i="2"/>
  <c r="AJ41" i="2" s="1"/>
  <c r="AK2" i="2"/>
  <c r="AK41" i="2" s="1"/>
  <c r="AL2" i="2"/>
  <c r="AL41" i="2" s="1"/>
  <c r="AM2" i="2"/>
  <c r="AM41" i="2" s="1"/>
  <c r="AN2" i="2"/>
  <c r="AN41" i="2" s="1"/>
  <c r="AO2" i="2"/>
  <c r="AO41" i="2" s="1"/>
  <c r="AP2" i="2"/>
  <c r="AP41" i="2" s="1"/>
  <c r="AQ2" i="2"/>
  <c r="AQ41" i="2" s="1"/>
  <c r="AR2" i="2"/>
  <c r="AR41" i="2" s="1"/>
  <c r="AS2" i="2"/>
  <c r="AS41" i="2" s="1"/>
  <c r="AT2" i="2"/>
  <c r="AT41" i="2" s="1"/>
  <c r="AU2" i="2"/>
  <c r="AU41" i="2" s="1"/>
  <c r="AV2" i="2"/>
  <c r="AV41" i="2" s="1"/>
  <c r="AW2" i="2"/>
  <c r="AW41" i="2" s="1"/>
  <c r="AX2" i="2"/>
  <c r="AX41" i="2" s="1"/>
  <c r="AY2" i="2"/>
  <c r="AY41" i="2" s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C3" i="2"/>
  <c r="G1" i="1"/>
  <c r="H1" i="1" s="1"/>
  <c r="I1" i="1" s="1"/>
  <c r="C9" i="1"/>
  <c r="B9" i="1"/>
  <c r="E9" i="1" s="1"/>
  <c r="B23" i="1"/>
  <c r="E23" i="1" s="1"/>
  <c r="C17" i="1"/>
  <c r="B17" i="1"/>
  <c r="E17" i="1" s="1"/>
  <c r="B15" i="1"/>
  <c r="E15" i="1" s="1"/>
  <c r="C14" i="1"/>
  <c r="D14" i="1" s="1"/>
  <c r="B14" i="1"/>
  <c r="E14" i="1" s="1"/>
  <c r="C13" i="1"/>
  <c r="B13" i="1"/>
  <c r="C12" i="1"/>
  <c r="B12" i="1"/>
  <c r="E12" i="1" s="1"/>
  <c r="C11" i="1"/>
  <c r="B11" i="1"/>
  <c r="E11" i="1" s="1"/>
  <c r="C10" i="1"/>
  <c r="B10" i="1"/>
  <c r="E10" i="1" s="1"/>
  <c r="B1" i="1"/>
  <c r="C1" i="1" s="1"/>
  <c r="D1" i="1" s="1"/>
  <c r="E1" i="1" s="1"/>
  <c r="F1" i="1" s="1"/>
  <c r="A20" i="2"/>
  <c r="B19" i="2" s="1"/>
  <c r="A19" i="2" s="1"/>
  <c r="B15" i="2"/>
  <c r="B32" i="2" s="1"/>
  <c r="I32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B60" i="2"/>
  <c r="Q32" i="2" l="1"/>
  <c r="D32" i="2"/>
  <c r="L32" i="2"/>
  <c r="T32" i="2"/>
  <c r="AB32" i="2"/>
  <c r="AJ32" i="2"/>
  <c r="AR32" i="2"/>
  <c r="E32" i="2"/>
  <c r="M32" i="2"/>
  <c r="U32" i="2"/>
  <c r="AC32" i="2"/>
  <c r="AK32" i="2"/>
  <c r="AS32" i="2"/>
  <c r="F32" i="2"/>
  <c r="N32" i="2"/>
  <c r="V32" i="2"/>
  <c r="AD32" i="2"/>
  <c r="AL32" i="2"/>
  <c r="AT32" i="2"/>
  <c r="G32" i="2"/>
  <c r="O32" i="2"/>
  <c r="W32" i="2"/>
  <c r="AE32" i="2"/>
  <c r="AM32" i="2"/>
  <c r="AU32" i="2"/>
  <c r="H32" i="2"/>
  <c r="P32" i="2"/>
  <c r="X32" i="2"/>
  <c r="AF32" i="2"/>
  <c r="AN32" i="2"/>
  <c r="AV32" i="2"/>
  <c r="J32" i="2"/>
  <c r="R32" i="2"/>
  <c r="Z32" i="2"/>
  <c r="AH32" i="2"/>
  <c r="AP32" i="2"/>
  <c r="AX32" i="2"/>
  <c r="K32" i="2"/>
  <c r="S32" i="2"/>
  <c r="AA32" i="2"/>
  <c r="AI32" i="2"/>
  <c r="AQ32" i="2"/>
  <c r="AY32" i="2"/>
  <c r="AW32" i="2"/>
  <c r="AO32" i="2"/>
  <c r="AG32" i="2"/>
  <c r="Y32" i="2"/>
  <c r="A21" i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C2" i="2"/>
  <c r="F11" i="1"/>
  <c r="F10" i="1"/>
  <c r="C19" i="1"/>
  <c r="F12" i="1"/>
  <c r="C18" i="1"/>
  <c r="B18" i="1"/>
  <c r="E18" i="1" s="1"/>
  <c r="D10" i="1"/>
  <c r="D11" i="1"/>
  <c r="C15" i="1"/>
  <c r="F9" i="1"/>
  <c r="D9" i="1"/>
  <c r="B29" i="1"/>
  <c r="E29" i="1" s="1"/>
  <c r="D12" i="1"/>
  <c r="C23" i="1"/>
  <c r="F14" i="1"/>
  <c r="C16" i="1"/>
  <c r="B16" i="1"/>
  <c r="E16" i="1" s="1"/>
  <c r="E13" i="1"/>
  <c r="F13" i="1" s="1"/>
  <c r="D13" i="1"/>
  <c r="F17" i="1"/>
  <c r="D17" i="1"/>
  <c r="C24" i="1"/>
  <c r="B14" i="2"/>
  <c r="B9" i="2" s="1"/>
  <c r="B26" i="2" s="1"/>
  <c r="B18" i="2"/>
  <c r="B35" i="2" s="1"/>
  <c r="B10" i="2"/>
  <c r="B27" i="2" s="1"/>
  <c r="B36" i="2"/>
  <c r="C19" i="2"/>
  <c r="C15" i="2"/>
  <c r="B37" i="2"/>
  <c r="C20" i="2"/>
  <c r="B13" i="2" l="1"/>
  <c r="C32" i="2"/>
  <c r="C41" i="2"/>
  <c r="AJ48" i="2" s="1"/>
  <c r="D26" i="2"/>
  <c r="L26" i="2"/>
  <c r="T26" i="2"/>
  <c r="AB26" i="2"/>
  <c r="AJ26" i="2"/>
  <c r="AR26" i="2"/>
  <c r="E26" i="2"/>
  <c r="M26" i="2"/>
  <c r="U26" i="2"/>
  <c r="AC26" i="2"/>
  <c r="AK26" i="2"/>
  <c r="AS26" i="2"/>
  <c r="F26" i="2"/>
  <c r="N26" i="2"/>
  <c r="V26" i="2"/>
  <c r="AD26" i="2"/>
  <c r="AL26" i="2"/>
  <c r="AT26" i="2"/>
  <c r="G26" i="2"/>
  <c r="O26" i="2"/>
  <c r="W26" i="2"/>
  <c r="AE26" i="2"/>
  <c r="AM26" i="2"/>
  <c r="AU26" i="2"/>
  <c r="H26" i="2"/>
  <c r="P26" i="2"/>
  <c r="X26" i="2"/>
  <c r="AF26" i="2"/>
  <c r="AN26" i="2"/>
  <c r="AV26" i="2"/>
  <c r="J26" i="2"/>
  <c r="R26" i="2"/>
  <c r="Z26" i="2"/>
  <c r="AH26" i="2"/>
  <c r="AP26" i="2"/>
  <c r="AX26" i="2"/>
  <c r="K26" i="2"/>
  <c r="S26" i="2"/>
  <c r="AA26" i="2"/>
  <c r="AI26" i="2"/>
  <c r="AQ26" i="2"/>
  <c r="AY26" i="2"/>
  <c r="I26" i="2"/>
  <c r="Q26" i="2"/>
  <c r="Y26" i="2"/>
  <c r="AG26" i="2"/>
  <c r="C26" i="2"/>
  <c r="AO26" i="2"/>
  <c r="AW26" i="2"/>
  <c r="D36" i="2"/>
  <c r="L36" i="2"/>
  <c r="T36" i="2"/>
  <c r="AB36" i="2"/>
  <c r="AJ36" i="2"/>
  <c r="AR36" i="2"/>
  <c r="E36" i="2"/>
  <c r="M36" i="2"/>
  <c r="U36" i="2"/>
  <c r="AC36" i="2"/>
  <c r="AK36" i="2"/>
  <c r="AS36" i="2"/>
  <c r="F36" i="2"/>
  <c r="N36" i="2"/>
  <c r="V36" i="2"/>
  <c r="AD36" i="2"/>
  <c r="AL36" i="2"/>
  <c r="AT36" i="2"/>
  <c r="G36" i="2"/>
  <c r="O36" i="2"/>
  <c r="W36" i="2"/>
  <c r="AE36" i="2"/>
  <c r="AM36" i="2"/>
  <c r="AU36" i="2"/>
  <c r="H36" i="2"/>
  <c r="P36" i="2"/>
  <c r="X36" i="2"/>
  <c r="AF36" i="2"/>
  <c r="AN36" i="2"/>
  <c r="AV36" i="2"/>
  <c r="J36" i="2"/>
  <c r="R36" i="2"/>
  <c r="Z36" i="2"/>
  <c r="AH36" i="2"/>
  <c r="AP36" i="2"/>
  <c r="AX36" i="2"/>
  <c r="K36" i="2"/>
  <c r="S36" i="2"/>
  <c r="AA36" i="2"/>
  <c r="AI36" i="2"/>
  <c r="AQ36" i="2"/>
  <c r="AY36" i="2"/>
  <c r="Y36" i="2"/>
  <c r="AG36" i="2"/>
  <c r="C36" i="2"/>
  <c r="AO36" i="2"/>
  <c r="AW36" i="2"/>
  <c r="Q36" i="2"/>
  <c r="I36" i="2"/>
  <c r="C14" i="2"/>
  <c r="AS14" i="2" s="1"/>
  <c r="B31" i="2"/>
  <c r="D27" i="2"/>
  <c r="L27" i="2"/>
  <c r="T27" i="2"/>
  <c r="AB27" i="2"/>
  <c r="AJ27" i="2"/>
  <c r="AR27" i="2"/>
  <c r="E27" i="2"/>
  <c r="M27" i="2"/>
  <c r="U27" i="2"/>
  <c r="AC27" i="2"/>
  <c r="AK27" i="2"/>
  <c r="AS27" i="2"/>
  <c r="F27" i="2"/>
  <c r="N27" i="2"/>
  <c r="V27" i="2"/>
  <c r="AD27" i="2"/>
  <c r="AL27" i="2"/>
  <c r="AT27" i="2"/>
  <c r="G27" i="2"/>
  <c r="O27" i="2"/>
  <c r="W27" i="2"/>
  <c r="AE27" i="2"/>
  <c r="AM27" i="2"/>
  <c r="AU27" i="2"/>
  <c r="H27" i="2"/>
  <c r="P27" i="2"/>
  <c r="X27" i="2"/>
  <c r="AF27" i="2"/>
  <c r="AN27" i="2"/>
  <c r="AV27" i="2"/>
  <c r="J27" i="2"/>
  <c r="R27" i="2"/>
  <c r="Z27" i="2"/>
  <c r="AH27" i="2"/>
  <c r="AP27" i="2"/>
  <c r="AX27" i="2"/>
  <c r="K27" i="2"/>
  <c r="S27" i="2"/>
  <c r="AA27" i="2"/>
  <c r="AI27" i="2"/>
  <c r="AQ27" i="2"/>
  <c r="AY27" i="2"/>
  <c r="I27" i="2"/>
  <c r="C27" i="2"/>
  <c r="Q27" i="2"/>
  <c r="AW27" i="2"/>
  <c r="Y27" i="2"/>
  <c r="AG27" i="2"/>
  <c r="AO27" i="2"/>
  <c r="D37" i="2"/>
  <c r="E37" i="2"/>
  <c r="F37" i="2"/>
  <c r="G37" i="2"/>
  <c r="H37" i="2"/>
  <c r="J37" i="2"/>
  <c r="K37" i="2"/>
  <c r="O37" i="2"/>
  <c r="W37" i="2"/>
  <c r="AE37" i="2"/>
  <c r="AM37" i="2"/>
  <c r="AU37" i="2"/>
  <c r="P37" i="2"/>
  <c r="X37" i="2"/>
  <c r="AF37" i="2"/>
  <c r="AN37" i="2"/>
  <c r="AV37" i="2"/>
  <c r="T37" i="2"/>
  <c r="AJ37" i="2"/>
  <c r="Q37" i="2"/>
  <c r="Y37" i="2"/>
  <c r="AG37" i="2"/>
  <c r="AO37" i="2"/>
  <c r="AW37" i="2"/>
  <c r="C37" i="2"/>
  <c r="AB37" i="2"/>
  <c r="N37" i="2"/>
  <c r="V37" i="2"/>
  <c r="AL37" i="2"/>
  <c r="AT37" i="2"/>
  <c r="R37" i="2"/>
  <c r="Z37" i="2"/>
  <c r="AH37" i="2"/>
  <c r="AP37" i="2"/>
  <c r="AX37" i="2"/>
  <c r="I37" i="2"/>
  <c r="S37" i="2"/>
  <c r="AA37" i="2"/>
  <c r="AI37" i="2"/>
  <c r="AQ37" i="2"/>
  <c r="AY37" i="2"/>
  <c r="L37" i="2"/>
  <c r="AR37" i="2"/>
  <c r="AD37" i="2"/>
  <c r="M37" i="2"/>
  <c r="U37" i="2"/>
  <c r="AC37" i="2"/>
  <c r="AK37" i="2"/>
  <c r="AS37" i="2"/>
  <c r="D35" i="2"/>
  <c r="L35" i="2"/>
  <c r="T35" i="2"/>
  <c r="AB35" i="2"/>
  <c r="AJ35" i="2"/>
  <c r="AR35" i="2"/>
  <c r="E35" i="2"/>
  <c r="M35" i="2"/>
  <c r="U35" i="2"/>
  <c r="AC35" i="2"/>
  <c r="AK35" i="2"/>
  <c r="AS35" i="2"/>
  <c r="F35" i="2"/>
  <c r="N35" i="2"/>
  <c r="V35" i="2"/>
  <c r="AD35" i="2"/>
  <c r="AL35" i="2"/>
  <c r="AT35" i="2"/>
  <c r="G35" i="2"/>
  <c r="O35" i="2"/>
  <c r="W35" i="2"/>
  <c r="AE35" i="2"/>
  <c r="AM35" i="2"/>
  <c r="AU35" i="2"/>
  <c r="H35" i="2"/>
  <c r="P35" i="2"/>
  <c r="X35" i="2"/>
  <c r="AF35" i="2"/>
  <c r="AN35" i="2"/>
  <c r="AV35" i="2"/>
  <c r="J35" i="2"/>
  <c r="R35" i="2"/>
  <c r="Z35" i="2"/>
  <c r="AH35" i="2"/>
  <c r="AP35" i="2"/>
  <c r="AX35" i="2"/>
  <c r="K35" i="2"/>
  <c r="S35" i="2"/>
  <c r="AA35" i="2"/>
  <c r="AI35" i="2"/>
  <c r="AQ35" i="2"/>
  <c r="AY35" i="2"/>
  <c r="I35" i="2"/>
  <c r="C35" i="2"/>
  <c r="Q35" i="2"/>
  <c r="Y35" i="2"/>
  <c r="AW35" i="2"/>
  <c r="AG35" i="2"/>
  <c r="AO35" i="2"/>
  <c r="A26" i="1"/>
  <c r="D18" i="1"/>
  <c r="C10" i="2"/>
  <c r="C9" i="2"/>
  <c r="AJ9" i="2" s="1"/>
  <c r="C22" i="1"/>
  <c r="F19" i="1"/>
  <c r="D19" i="1"/>
  <c r="B24" i="1"/>
  <c r="E24" i="1" s="1"/>
  <c r="F24" i="1" s="1"/>
  <c r="C29" i="1"/>
  <c r="F29" i="1" s="1"/>
  <c r="F18" i="1"/>
  <c r="B22" i="1"/>
  <c r="E22" i="1" s="1"/>
  <c r="F15" i="1"/>
  <c r="D15" i="1"/>
  <c r="B25" i="1"/>
  <c r="E25" i="1" s="1"/>
  <c r="C25" i="1"/>
  <c r="F25" i="1" s="1"/>
  <c r="B20" i="1"/>
  <c r="E20" i="1" s="1"/>
  <c r="C20" i="1"/>
  <c r="D16" i="1"/>
  <c r="F16" i="1"/>
  <c r="D29" i="1"/>
  <c r="C34" i="1"/>
  <c r="B34" i="1"/>
  <c r="E34" i="1" s="1"/>
  <c r="C28" i="1"/>
  <c r="B28" i="1"/>
  <c r="E28" i="1" s="1"/>
  <c r="C21" i="1"/>
  <c r="B21" i="1"/>
  <c r="E21" i="1" s="1"/>
  <c r="F23" i="1"/>
  <c r="D23" i="1"/>
  <c r="C30" i="1"/>
  <c r="B30" i="1"/>
  <c r="E30" i="1" s="1"/>
  <c r="A18" i="2"/>
  <c r="B17" i="2" s="1"/>
  <c r="C18" i="2"/>
  <c r="AN18" i="2" s="1"/>
  <c r="E14" i="2"/>
  <c r="AJ14" i="2"/>
  <c r="I14" i="2"/>
  <c r="AF14" i="2"/>
  <c r="AS15" i="2"/>
  <c r="AK15" i="2"/>
  <c r="AC15" i="2"/>
  <c r="U15" i="2"/>
  <c r="M15" i="2"/>
  <c r="E15" i="2"/>
  <c r="AY15" i="2"/>
  <c r="AQ15" i="2"/>
  <c r="AI15" i="2"/>
  <c r="AA15" i="2"/>
  <c r="S15" i="2"/>
  <c r="K15" i="2"/>
  <c r="AX15" i="2"/>
  <c r="AP15" i="2"/>
  <c r="AH15" i="2"/>
  <c r="Z15" i="2"/>
  <c r="R15" i="2"/>
  <c r="J15" i="2"/>
  <c r="AW15" i="2"/>
  <c r="AO15" i="2"/>
  <c r="AG15" i="2"/>
  <c r="Y15" i="2"/>
  <c r="Q15" i="2"/>
  <c r="I15" i="2"/>
  <c r="AU15" i="2"/>
  <c r="AM15" i="2"/>
  <c r="AE15" i="2"/>
  <c r="W15" i="2"/>
  <c r="O15" i="2"/>
  <c r="G15" i="2"/>
  <c r="AD15" i="2"/>
  <c r="H15" i="2"/>
  <c r="AV15" i="2"/>
  <c r="AB15" i="2"/>
  <c r="F15" i="2"/>
  <c r="AT15" i="2"/>
  <c r="V15" i="2"/>
  <c r="D15" i="2"/>
  <c r="AR15" i="2"/>
  <c r="AN15" i="2"/>
  <c r="T15" i="2"/>
  <c r="AL15" i="2"/>
  <c r="AJ15" i="2"/>
  <c r="N15" i="2"/>
  <c r="AF15" i="2"/>
  <c r="L15" i="2"/>
  <c r="X15" i="2"/>
  <c r="P15" i="2"/>
  <c r="M9" i="2"/>
  <c r="AY9" i="2"/>
  <c r="Q9" i="2"/>
  <c r="AU9" i="2"/>
  <c r="P9" i="2"/>
  <c r="C51" i="2"/>
  <c r="C54" i="2" s="1"/>
  <c r="AU20" i="2"/>
  <c r="AM20" i="2"/>
  <c r="AE20" i="2"/>
  <c r="W20" i="2"/>
  <c r="O20" i="2"/>
  <c r="G20" i="2"/>
  <c r="AS20" i="2"/>
  <c r="AK20" i="2"/>
  <c r="AC20" i="2"/>
  <c r="U20" i="2"/>
  <c r="M20" i="2"/>
  <c r="E20" i="2"/>
  <c r="AR20" i="2"/>
  <c r="AJ20" i="2"/>
  <c r="AB20" i="2"/>
  <c r="T20" i="2"/>
  <c r="L20" i="2"/>
  <c r="D20" i="2"/>
  <c r="C52" i="2"/>
  <c r="AY20" i="2"/>
  <c r="AQ20" i="2"/>
  <c r="AI20" i="2"/>
  <c r="AA20" i="2"/>
  <c r="S20" i="2"/>
  <c r="K20" i="2"/>
  <c r="AW20" i="2"/>
  <c r="AO20" i="2"/>
  <c r="AG20" i="2"/>
  <c r="Y20" i="2"/>
  <c r="Q20" i="2"/>
  <c r="I20" i="2"/>
  <c r="AT20" i="2"/>
  <c r="X20" i="2"/>
  <c r="AN20" i="2"/>
  <c r="R20" i="2"/>
  <c r="AL20" i="2"/>
  <c r="P20" i="2"/>
  <c r="AH20" i="2"/>
  <c r="N20" i="2"/>
  <c r="AX20" i="2"/>
  <c r="AD20" i="2"/>
  <c r="H20" i="2"/>
  <c r="AV20" i="2"/>
  <c r="AP20" i="2"/>
  <c r="AF20" i="2"/>
  <c r="Z20" i="2"/>
  <c r="V20" i="2"/>
  <c r="J20" i="2"/>
  <c r="F20" i="2"/>
  <c r="AS18" i="2"/>
  <c r="F18" i="2"/>
  <c r="AU10" i="2"/>
  <c r="AM10" i="2"/>
  <c r="AE10" i="2"/>
  <c r="W10" i="2"/>
  <c r="O10" i="2"/>
  <c r="G10" i="2"/>
  <c r="AS10" i="2"/>
  <c r="AK10" i="2"/>
  <c r="AC10" i="2"/>
  <c r="U10" i="2"/>
  <c r="AR10" i="2"/>
  <c r="AJ10" i="2"/>
  <c r="AB10" i="2"/>
  <c r="T10" i="2"/>
  <c r="AY10" i="2"/>
  <c r="AQ10" i="2"/>
  <c r="AI10" i="2"/>
  <c r="AA10" i="2"/>
  <c r="S10" i="2"/>
  <c r="AW10" i="2"/>
  <c r="AO10" i="2"/>
  <c r="AG10" i="2"/>
  <c r="Y10" i="2"/>
  <c r="AV10" i="2"/>
  <c r="Z10" i="2"/>
  <c r="L10" i="2"/>
  <c r="AT10" i="2"/>
  <c r="X10" i="2"/>
  <c r="K10" i="2"/>
  <c r="V10" i="2"/>
  <c r="AP10" i="2"/>
  <c r="AN10" i="2"/>
  <c r="R10" i="2"/>
  <c r="I10" i="2"/>
  <c r="AL10" i="2"/>
  <c r="Q10" i="2"/>
  <c r="H10" i="2"/>
  <c r="AF10" i="2"/>
  <c r="N10" i="2"/>
  <c r="E10" i="2"/>
  <c r="AX10" i="2"/>
  <c r="AD10" i="2"/>
  <c r="M10" i="2"/>
  <c r="D10" i="2"/>
  <c r="J10" i="2"/>
  <c r="P10" i="2"/>
  <c r="AH10" i="2"/>
  <c r="F10" i="2"/>
  <c r="AW19" i="2"/>
  <c r="AO19" i="2"/>
  <c r="AG19" i="2"/>
  <c r="Y19" i="2"/>
  <c r="Q19" i="2"/>
  <c r="I19" i="2"/>
  <c r="AU19" i="2"/>
  <c r="AM19" i="2"/>
  <c r="AE19" i="2"/>
  <c r="W19" i="2"/>
  <c r="O19" i="2"/>
  <c r="G19" i="2"/>
  <c r="AT19" i="2"/>
  <c r="AL19" i="2"/>
  <c r="AD19" i="2"/>
  <c r="AS19" i="2"/>
  <c r="AK19" i="2"/>
  <c r="AC19" i="2"/>
  <c r="U19" i="2"/>
  <c r="M19" i="2"/>
  <c r="E19" i="2"/>
  <c r="AY19" i="2"/>
  <c r="AQ19" i="2"/>
  <c r="AI19" i="2"/>
  <c r="AA19" i="2"/>
  <c r="S19" i="2"/>
  <c r="K19" i="2"/>
  <c r="AF19" i="2"/>
  <c r="N19" i="2"/>
  <c r="AV19" i="2"/>
  <c r="Z19" i="2"/>
  <c r="J19" i="2"/>
  <c r="AR19" i="2"/>
  <c r="X19" i="2"/>
  <c r="H19" i="2"/>
  <c r="AP19" i="2"/>
  <c r="V19" i="2"/>
  <c r="F19" i="2"/>
  <c r="AJ19" i="2"/>
  <c r="R19" i="2"/>
  <c r="AX19" i="2"/>
  <c r="AN19" i="2"/>
  <c r="AH19" i="2"/>
  <c r="AB19" i="2"/>
  <c r="T19" i="2"/>
  <c r="P19" i="2"/>
  <c r="L19" i="2"/>
  <c r="D19" i="2"/>
  <c r="B30" i="2"/>
  <c r="C13" i="2"/>
  <c r="B8" i="2"/>
  <c r="I9" i="2" l="1"/>
  <c r="E9" i="2"/>
  <c r="N14" i="2"/>
  <c r="AR14" i="2"/>
  <c r="AF9" i="2"/>
  <c r="R9" i="2"/>
  <c r="U9" i="2"/>
  <c r="Q14" i="2"/>
  <c r="G14" i="2"/>
  <c r="AN9" i="2"/>
  <c r="Z9" i="2"/>
  <c r="AV14" i="2"/>
  <c r="Y14" i="2"/>
  <c r="O14" i="2"/>
  <c r="AD9" i="2"/>
  <c r="AH9" i="2"/>
  <c r="V14" i="2"/>
  <c r="AA14" i="2"/>
  <c r="W14" i="2"/>
  <c r="AL9" i="2"/>
  <c r="S9" i="2"/>
  <c r="AP14" i="2"/>
  <c r="AI14" i="2"/>
  <c r="AT9" i="2"/>
  <c r="AI9" i="2"/>
  <c r="J14" i="2"/>
  <c r="AQ14" i="2"/>
  <c r="AV9" i="2"/>
  <c r="G9" i="2"/>
  <c r="Y9" i="2"/>
  <c r="AP9" i="2"/>
  <c r="D9" i="2"/>
  <c r="AC9" i="2"/>
  <c r="X14" i="2"/>
  <c r="AH14" i="2"/>
  <c r="AG14" i="2"/>
  <c r="AY14" i="2"/>
  <c r="M14" i="2"/>
  <c r="AE14" i="2"/>
  <c r="AA9" i="2"/>
  <c r="O9" i="2"/>
  <c r="AG9" i="2"/>
  <c r="AX9" i="2"/>
  <c r="L9" i="2"/>
  <c r="AK9" i="2"/>
  <c r="AT14" i="2"/>
  <c r="P14" i="2"/>
  <c r="AO14" i="2"/>
  <c r="D14" i="2"/>
  <c r="U14" i="2"/>
  <c r="AM14" i="2"/>
  <c r="F9" i="2"/>
  <c r="W9" i="2"/>
  <c r="AO9" i="2"/>
  <c r="K9" i="2"/>
  <c r="T9" i="2"/>
  <c r="AS9" i="2"/>
  <c r="H14" i="2"/>
  <c r="AL14" i="2"/>
  <c r="AW14" i="2"/>
  <c r="L14" i="2"/>
  <c r="AC14" i="2"/>
  <c r="AU14" i="2"/>
  <c r="H9" i="2"/>
  <c r="N9" i="2"/>
  <c r="AE9" i="2"/>
  <c r="AW9" i="2"/>
  <c r="AQ9" i="2"/>
  <c r="AB9" i="2"/>
  <c r="F14" i="2"/>
  <c r="AD14" i="2"/>
  <c r="R14" i="2"/>
  <c r="K14" i="2"/>
  <c r="T14" i="2"/>
  <c r="AK14" i="2"/>
  <c r="X9" i="2"/>
  <c r="V9" i="2"/>
  <c r="AM9" i="2"/>
  <c r="J9" i="2"/>
  <c r="AR9" i="2"/>
  <c r="Z14" i="2"/>
  <c r="AX14" i="2"/>
  <c r="AN14" i="2"/>
  <c r="S14" i="2"/>
  <c r="AB14" i="2"/>
  <c r="AC18" i="2"/>
  <c r="AD18" i="2"/>
  <c r="AG18" i="2"/>
  <c r="P18" i="2"/>
  <c r="AP18" i="2"/>
  <c r="AW18" i="2"/>
  <c r="Z18" i="2"/>
  <c r="O18" i="2"/>
  <c r="AH18" i="2"/>
  <c r="AA18" i="2"/>
  <c r="AM18" i="2"/>
  <c r="AL18" i="2"/>
  <c r="L18" i="2"/>
  <c r="AK18" i="2"/>
  <c r="AQ18" i="2"/>
  <c r="T18" i="2"/>
  <c r="D30" i="2"/>
  <c r="L30" i="2"/>
  <c r="T30" i="2"/>
  <c r="AB30" i="2"/>
  <c r="AJ30" i="2"/>
  <c r="AR30" i="2"/>
  <c r="E30" i="2"/>
  <c r="M30" i="2"/>
  <c r="U30" i="2"/>
  <c r="AC30" i="2"/>
  <c r="AK30" i="2"/>
  <c r="AS30" i="2"/>
  <c r="F30" i="2"/>
  <c r="N30" i="2"/>
  <c r="V30" i="2"/>
  <c r="AD30" i="2"/>
  <c r="AL30" i="2"/>
  <c r="AT30" i="2"/>
  <c r="G30" i="2"/>
  <c r="O30" i="2"/>
  <c r="W30" i="2"/>
  <c r="AE30" i="2"/>
  <c r="AM30" i="2"/>
  <c r="AU30" i="2"/>
  <c r="H30" i="2"/>
  <c r="P30" i="2"/>
  <c r="X30" i="2"/>
  <c r="AF30" i="2"/>
  <c r="AN30" i="2"/>
  <c r="AV30" i="2"/>
  <c r="J30" i="2"/>
  <c r="R30" i="2"/>
  <c r="Z30" i="2"/>
  <c r="AH30" i="2"/>
  <c r="AP30" i="2"/>
  <c r="AX30" i="2"/>
  <c r="K30" i="2"/>
  <c r="S30" i="2"/>
  <c r="AA30" i="2"/>
  <c r="AI30" i="2"/>
  <c r="AQ30" i="2"/>
  <c r="AY30" i="2"/>
  <c r="I30" i="2"/>
  <c r="AG30" i="2"/>
  <c r="Q30" i="2"/>
  <c r="C30" i="2"/>
  <c r="Y30" i="2"/>
  <c r="AW30" i="2"/>
  <c r="AO30" i="2"/>
  <c r="D31" i="2"/>
  <c r="L31" i="2"/>
  <c r="T31" i="2"/>
  <c r="AB31" i="2"/>
  <c r="AJ31" i="2"/>
  <c r="AR31" i="2"/>
  <c r="E31" i="2"/>
  <c r="M31" i="2"/>
  <c r="U31" i="2"/>
  <c r="AC31" i="2"/>
  <c r="AK31" i="2"/>
  <c r="AS31" i="2"/>
  <c r="F31" i="2"/>
  <c r="N31" i="2"/>
  <c r="V31" i="2"/>
  <c r="AD31" i="2"/>
  <c r="AL31" i="2"/>
  <c r="AT31" i="2"/>
  <c r="G31" i="2"/>
  <c r="O31" i="2"/>
  <c r="W31" i="2"/>
  <c r="AE31" i="2"/>
  <c r="AM31" i="2"/>
  <c r="AU31" i="2"/>
  <c r="H31" i="2"/>
  <c r="P31" i="2"/>
  <c r="X31" i="2"/>
  <c r="AF31" i="2"/>
  <c r="AN31" i="2"/>
  <c r="AV31" i="2"/>
  <c r="J31" i="2"/>
  <c r="R31" i="2"/>
  <c r="Z31" i="2"/>
  <c r="AH31" i="2"/>
  <c r="AP31" i="2"/>
  <c r="AX31" i="2"/>
  <c r="K31" i="2"/>
  <c r="S31" i="2"/>
  <c r="AA31" i="2"/>
  <c r="AI31" i="2"/>
  <c r="AQ31" i="2"/>
  <c r="AY31" i="2"/>
  <c r="I31" i="2"/>
  <c r="Q31" i="2"/>
  <c r="Y31" i="2"/>
  <c r="AG31" i="2"/>
  <c r="AO31" i="2"/>
  <c r="C31" i="2"/>
  <c r="AW31" i="2"/>
  <c r="A31" i="1"/>
  <c r="D20" i="1"/>
  <c r="D24" i="1"/>
  <c r="R18" i="2"/>
  <c r="AX18" i="2"/>
  <c r="K18" i="2"/>
  <c r="AB18" i="2"/>
  <c r="AT18" i="2"/>
  <c r="AU18" i="2"/>
  <c r="AO18" i="2"/>
  <c r="H18" i="2"/>
  <c r="S18" i="2"/>
  <c r="AJ18" i="2"/>
  <c r="G18" i="2"/>
  <c r="AY18" i="2"/>
  <c r="J18" i="2"/>
  <c r="V18" i="2"/>
  <c r="I18" i="2"/>
  <c r="AI18" i="2"/>
  <c r="E18" i="2"/>
  <c r="W18" i="2"/>
  <c r="AF18" i="2"/>
  <c r="X18" i="2"/>
  <c r="Q18" i="2"/>
  <c r="AR18" i="2"/>
  <c r="M18" i="2"/>
  <c r="AE18" i="2"/>
  <c r="N18" i="2"/>
  <c r="AV18" i="2"/>
  <c r="Y18" i="2"/>
  <c r="D18" i="2"/>
  <c r="U18" i="2"/>
  <c r="D25" i="1"/>
  <c r="F22" i="1"/>
  <c r="D22" i="1"/>
  <c r="B27" i="1"/>
  <c r="E27" i="1" s="1"/>
  <c r="C27" i="1"/>
  <c r="F20" i="1"/>
  <c r="D28" i="1"/>
  <c r="F28" i="1"/>
  <c r="F34" i="1"/>
  <c r="D34" i="1"/>
  <c r="F30" i="1"/>
  <c r="D30" i="1"/>
  <c r="B39" i="1"/>
  <c r="E39" i="1" s="1"/>
  <c r="C39" i="1"/>
  <c r="B35" i="1"/>
  <c r="E35" i="1" s="1"/>
  <c r="C35" i="1"/>
  <c r="F21" i="1"/>
  <c r="D21" i="1"/>
  <c r="B26" i="1"/>
  <c r="E26" i="1" s="1"/>
  <c r="C26" i="1"/>
  <c r="C33" i="1"/>
  <c r="B33" i="1"/>
  <c r="E33" i="1" s="1"/>
  <c r="A17" i="2"/>
  <c r="B16" i="2" s="1"/>
  <c r="A16" i="2" s="1"/>
  <c r="B34" i="2"/>
  <c r="C17" i="2"/>
  <c r="B12" i="2"/>
  <c r="AR52" i="2"/>
  <c r="AR51" i="2"/>
  <c r="AR54" i="2" s="1"/>
  <c r="AP52" i="2"/>
  <c r="AP51" i="2"/>
  <c r="AP54" i="2" s="1"/>
  <c r="AL52" i="2"/>
  <c r="AL51" i="2"/>
  <c r="AL54" i="2" s="1"/>
  <c r="AG52" i="2"/>
  <c r="AG51" i="2"/>
  <c r="AG54" i="2" s="1"/>
  <c r="AY51" i="2"/>
  <c r="AY54" i="2" s="1"/>
  <c r="AY52" i="2"/>
  <c r="E52" i="2"/>
  <c r="E51" i="2"/>
  <c r="E54" i="2" s="1"/>
  <c r="W51" i="2"/>
  <c r="W54" i="2" s="1"/>
  <c r="W52" i="2"/>
  <c r="AQ51" i="2"/>
  <c r="AQ54" i="2" s="1"/>
  <c r="AQ52" i="2"/>
  <c r="B25" i="2"/>
  <c r="C8" i="2"/>
  <c r="AW13" i="2"/>
  <c r="AO13" i="2"/>
  <c r="AG13" i="2"/>
  <c r="Y13" i="2"/>
  <c r="Q13" i="2"/>
  <c r="I13" i="2"/>
  <c r="AU13" i="2"/>
  <c r="AM13" i="2"/>
  <c r="AE13" i="2"/>
  <c r="W13" i="2"/>
  <c r="O13" i="2"/>
  <c r="G13" i="2"/>
  <c r="AT13" i="2"/>
  <c r="AL13" i="2"/>
  <c r="AD13" i="2"/>
  <c r="V13" i="2"/>
  <c r="N13" i="2"/>
  <c r="F13" i="2"/>
  <c r="AS13" i="2"/>
  <c r="AK13" i="2"/>
  <c r="AC13" i="2"/>
  <c r="U13" i="2"/>
  <c r="M13" i="2"/>
  <c r="E13" i="2"/>
  <c r="AY13" i="2"/>
  <c r="AQ13" i="2"/>
  <c r="AI13" i="2"/>
  <c r="AA13" i="2"/>
  <c r="S13" i="2"/>
  <c r="K13" i="2"/>
  <c r="AV13" i="2"/>
  <c r="Z13" i="2"/>
  <c r="D13" i="2"/>
  <c r="AR13" i="2"/>
  <c r="X13" i="2"/>
  <c r="AP13" i="2"/>
  <c r="AN13" i="2"/>
  <c r="R13" i="2"/>
  <c r="AJ13" i="2"/>
  <c r="P13" i="2"/>
  <c r="AF13" i="2"/>
  <c r="J13" i="2"/>
  <c r="AX13" i="2"/>
  <c r="AB13" i="2"/>
  <c r="H13" i="2"/>
  <c r="T13" i="2"/>
  <c r="L13" i="2"/>
  <c r="AH13" i="2"/>
  <c r="AV52" i="2"/>
  <c r="AV51" i="2"/>
  <c r="AV54" i="2" s="1"/>
  <c r="R52" i="2"/>
  <c r="R51" i="2"/>
  <c r="R54" i="2" s="1"/>
  <c r="AO52" i="2"/>
  <c r="AO51" i="2"/>
  <c r="AO54" i="2" s="1"/>
  <c r="C55" i="2"/>
  <c r="C59" i="2" s="1"/>
  <c r="C53" i="2"/>
  <c r="M52" i="2"/>
  <c r="M51" i="2"/>
  <c r="M54" i="2" s="1"/>
  <c r="AE51" i="2"/>
  <c r="AE54" i="2" s="1"/>
  <c r="AE52" i="2"/>
  <c r="AF52" i="2"/>
  <c r="AF51" i="2"/>
  <c r="AF54" i="2" s="1"/>
  <c r="O51" i="2"/>
  <c r="O54" i="2" s="1"/>
  <c r="O52" i="2"/>
  <c r="H52" i="2"/>
  <c r="H51" i="2"/>
  <c r="H54" i="2" s="1"/>
  <c r="AN52" i="2"/>
  <c r="AN51" i="2"/>
  <c r="AN54" i="2" s="1"/>
  <c r="AW52" i="2"/>
  <c r="AW51" i="2"/>
  <c r="AW54" i="2" s="1"/>
  <c r="D52" i="2"/>
  <c r="D51" i="2"/>
  <c r="D54" i="2" s="1"/>
  <c r="U52" i="2"/>
  <c r="U51" i="2"/>
  <c r="U54" i="2" s="1"/>
  <c r="AM51" i="2"/>
  <c r="AM54" i="2" s="1"/>
  <c r="AM52" i="2"/>
  <c r="F52" i="2"/>
  <c r="F51" i="2"/>
  <c r="F54" i="2" s="1"/>
  <c r="AD52" i="2"/>
  <c r="AD51" i="2"/>
  <c r="AD54" i="2" s="1"/>
  <c r="X52" i="2"/>
  <c r="X51" i="2"/>
  <c r="X54" i="2" s="1"/>
  <c r="K51" i="2"/>
  <c r="K54" i="2" s="1"/>
  <c r="K52" i="2"/>
  <c r="L52" i="2"/>
  <c r="L51" i="2"/>
  <c r="L54" i="2" s="1"/>
  <c r="AC52" i="2"/>
  <c r="AC51" i="2"/>
  <c r="AC54" i="2" s="1"/>
  <c r="AU51" i="2"/>
  <c r="AU54" i="2" s="1"/>
  <c r="AU52" i="2"/>
  <c r="P52" i="2"/>
  <c r="P51" i="2"/>
  <c r="P54" i="2" s="1"/>
  <c r="J52" i="2"/>
  <c r="J51" i="2"/>
  <c r="J54" i="2" s="1"/>
  <c r="AX52" i="2"/>
  <c r="AX51" i="2"/>
  <c r="AX54" i="2" s="1"/>
  <c r="AT52" i="2"/>
  <c r="AT51" i="2"/>
  <c r="AT54" i="2" s="1"/>
  <c r="S51" i="2"/>
  <c r="S54" i="2" s="1"/>
  <c r="S52" i="2"/>
  <c r="T52" i="2"/>
  <c r="T51" i="2"/>
  <c r="T54" i="2" s="1"/>
  <c r="AK52" i="2"/>
  <c r="AK51" i="2"/>
  <c r="AK54" i="2" s="1"/>
  <c r="Y52" i="2"/>
  <c r="Y51" i="2"/>
  <c r="Y54" i="2" s="1"/>
  <c r="V52" i="2"/>
  <c r="V51" i="2"/>
  <c r="V54" i="2" s="1"/>
  <c r="N52" i="2"/>
  <c r="N51" i="2"/>
  <c r="N54" i="2" s="1"/>
  <c r="I52" i="2"/>
  <c r="I51" i="2"/>
  <c r="I54" i="2" s="1"/>
  <c r="AA51" i="2"/>
  <c r="AA54" i="2" s="1"/>
  <c r="AA52" i="2"/>
  <c r="AB52" i="2"/>
  <c r="AB51" i="2"/>
  <c r="AB54" i="2" s="1"/>
  <c r="AS52" i="2"/>
  <c r="AS51" i="2"/>
  <c r="AS54" i="2" s="1"/>
  <c r="Z52" i="2"/>
  <c r="Z51" i="2"/>
  <c r="Z54" i="2" s="1"/>
  <c r="AH52" i="2"/>
  <c r="AH51" i="2"/>
  <c r="AH54" i="2" s="1"/>
  <c r="Q52" i="2"/>
  <c r="Q51" i="2"/>
  <c r="Q54" i="2" s="1"/>
  <c r="AI51" i="2"/>
  <c r="AI54" i="2" s="1"/>
  <c r="AI52" i="2"/>
  <c r="AJ52" i="2"/>
  <c r="AJ51" i="2"/>
  <c r="AJ54" i="2" s="1"/>
  <c r="G51" i="2"/>
  <c r="G54" i="2" s="1"/>
  <c r="G52" i="2"/>
  <c r="D25" i="2" l="1"/>
  <c r="L25" i="2"/>
  <c r="T25" i="2"/>
  <c r="AB25" i="2"/>
  <c r="AJ25" i="2"/>
  <c r="AR25" i="2"/>
  <c r="E25" i="2"/>
  <c r="M25" i="2"/>
  <c r="U25" i="2"/>
  <c r="AC25" i="2"/>
  <c r="AK25" i="2"/>
  <c r="AS25" i="2"/>
  <c r="F25" i="2"/>
  <c r="N25" i="2"/>
  <c r="V25" i="2"/>
  <c r="AD25" i="2"/>
  <c r="AL25" i="2"/>
  <c r="AT25" i="2"/>
  <c r="G25" i="2"/>
  <c r="O25" i="2"/>
  <c r="W25" i="2"/>
  <c r="AE25" i="2"/>
  <c r="AM25" i="2"/>
  <c r="AU25" i="2"/>
  <c r="H25" i="2"/>
  <c r="P25" i="2"/>
  <c r="X25" i="2"/>
  <c r="AF25" i="2"/>
  <c r="AN25" i="2"/>
  <c r="AV25" i="2"/>
  <c r="J25" i="2"/>
  <c r="R25" i="2"/>
  <c r="Z25" i="2"/>
  <c r="AH25" i="2"/>
  <c r="AP25" i="2"/>
  <c r="AX25" i="2"/>
  <c r="K25" i="2"/>
  <c r="S25" i="2"/>
  <c r="AA25" i="2"/>
  <c r="AI25" i="2"/>
  <c r="AQ25" i="2"/>
  <c r="AY25" i="2"/>
  <c r="AO25" i="2"/>
  <c r="AW25" i="2"/>
  <c r="Q25" i="2"/>
  <c r="I25" i="2"/>
  <c r="Y25" i="2"/>
  <c r="C25" i="2"/>
  <c r="AG25" i="2"/>
  <c r="D34" i="2"/>
  <c r="L34" i="2"/>
  <c r="T34" i="2"/>
  <c r="AB34" i="2"/>
  <c r="AJ34" i="2"/>
  <c r="AR34" i="2"/>
  <c r="E34" i="2"/>
  <c r="M34" i="2"/>
  <c r="U34" i="2"/>
  <c r="AC34" i="2"/>
  <c r="AK34" i="2"/>
  <c r="AS34" i="2"/>
  <c r="F34" i="2"/>
  <c r="N34" i="2"/>
  <c r="V34" i="2"/>
  <c r="AD34" i="2"/>
  <c r="AL34" i="2"/>
  <c r="AT34" i="2"/>
  <c r="G34" i="2"/>
  <c r="O34" i="2"/>
  <c r="W34" i="2"/>
  <c r="AE34" i="2"/>
  <c r="AM34" i="2"/>
  <c r="AU34" i="2"/>
  <c r="H34" i="2"/>
  <c r="P34" i="2"/>
  <c r="X34" i="2"/>
  <c r="AF34" i="2"/>
  <c r="AN34" i="2"/>
  <c r="AV34" i="2"/>
  <c r="J34" i="2"/>
  <c r="R34" i="2"/>
  <c r="Z34" i="2"/>
  <c r="AH34" i="2"/>
  <c r="AP34" i="2"/>
  <c r="AX34" i="2"/>
  <c r="K34" i="2"/>
  <c r="S34" i="2"/>
  <c r="AA34" i="2"/>
  <c r="AI34" i="2"/>
  <c r="AQ34" i="2"/>
  <c r="AY34" i="2"/>
  <c r="AG34" i="2"/>
  <c r="I34" i="2"/>
  <c r="C34" i="2"/>
  <c r="Q34" i="2"/>
  <c r="Y34" i="2"/>
  <c r="AW34" i="2"/>
  <c r="AO34" i="2"/>
  <c r="A36" i="1"/>
  <c r="D27" i="1"/>
  <c r="F27" i="1"/>
  <c r="C32" i="1"/>
  <c r="B32" i="1"/>
  <c r="E32" i="1" s="1"/>
  <c r="C38" i="1"/>
  <c r="B38" i="1"/>
  <c r="E38" i="1" s="1"/>
  <c r="F26" i="1"/>
  <c r="D26" i="1"/>
  <c r="F35" i="1"/>
  <c r="D35" i="1"/>
  <c r="C40" i="1"/>
  <c r="B40" i="1"/>
  <c r="E40" i="1" s="1"/>
  <c r="D39" i="1"/>
  <c r="F39" i="1"/>
  <c r="F33" i="1"/>
  <c r="D33" i="1"/>
  <c r="B31" i="1"/>
  <c r="E31" i="1" s="1"/>
  <c r="C31" i="1"/>
  <c r="C44" i="1"/>
  <c r="B44" i="1"/>
  <c r="E44" i="1" s="1"/>
  <c r="B11" i="2"/>
  <c r="B33" i="2"/>
  <c r="C16" i="2"/>
  <c r="B29" i="2"/>
  <c r="B7" i="2"/>
  <c r="C12" i="2"/>
  <c r="AO17" i="2"/>
  <c r="W17" i="2"/>
  <c r="F17" i="2"/>
  <c r="AQ17" i="2"/>
  <c r="L17" i="2"/>
  <c r="Z17" i="2"/>
  <c r="X17" i="2"/>
  <c r="AG17" i="2"/>
  <c r="O17" i="2"/>
  <c r="AS17" i="2"/>
  <c r="AI17" i="2"/>
  <c r="AF17" i="2"/>
  <c r="D17" i="2"/>
  <c r="AU17" i="2"/>
  <c r="AN17" i="2"/>
  <c r="Y17" i="2"/>
  <c r="G17" i="2"/>
  <c r="AK17" i="2"/>
  <c r="AA17" i="2"/>
  <c r="J17" i="2"/>
  <c r="AR17" i="2"/>
  <c r="Q17" i="2"/>
  <c r="AT17" i="2"/>
  <c r="AC17" i="2"/>
  <c r="S17" i="2"/>
  <c r="AX17" i="2"/>
  <c r="AP17" i="2"/>
  <c r="AJ17" i="2"/>
  <c r="I17" i="2"/>
  <c r="AL17" i="2"/>
  <c r="U17" i="2"/>
  <c r="K17" i="2"/>
  <c r="H17" i="2"/>
  <c r="T17" i="2"/>
  <c r="M17" i="2"/>
  <c r="AM17" i="2"/>
  <c r="V17" i="2"/>
  <c r="E17" i="2"/>
  <c r="P17" i="2"/>
  <c r="AB17" i="2"/>
  <c r="R17" i="2"/>
  <c r="AW17" i="2"/>
  <c r="AE17" i="2"/>
  <c r="N17" i="2"/>
  <c r="AY17" i="2"/>
  <c r="AH17" i="2"/>
  <c r="AV17" i="2"/>
  <c r="AD17" i="2"/>
  <c r="AJ53" i="2"/>
  <c r="AJ55" i="2"/>
  <c r="S55" i="2"/>
  <c r="S53" i="2"/>
  <c r="U55" i="2"/>
  <c r="U53" i="2"/>
  <c r="AI55" i="2"/>
  <c r="AI53" i="2"/>
  <c r="AC55" i="2"/>
  <c r="AC53" i="2"/>
  <c r="AD55" i="2"/>
  <c r="AD53" i="2"/>
  <c r="R55" i="2"/>
  <c r="R53" i="2"/>
  <c r="AG53" i="2"/>
  <c r="AG55" i="2"/>
  <c r="AA55" i="2"/>
  <c r="AA53" i="2"/>
  <c r="D53" i="2"/>
  <c r="D55" i="2"/>
  <c r="O55" i="2"/>
  <c r="O53" i="2"/>
  <c r="W55" i="2"/>
  <c r="W53" i="2"/>
  <c r="Q53" i="2"/>
  <c r="Q55" i="2"/>
  <c r="Z55" i="2"/>
  <c r="Z53" i="2"/>
  <c r="H53" i="2"/>
  <c r="H55" i="2"/>
  <c r="AE55" i="2"/>
  <c r="AE53" i="2"/>
  <c r="I53" i="2"/>
  <c r="I55" i="2"/>
  <c r="Y53" i="2"/>
  <c r="Y55" i="2"/>
  <c r="AT55" i="2"/>
  <c r="AT53" i="2"/>
  <c r="L53" i="2"/>
  <c r="L55" i="2"/>
  <c r="F55" i="2"/>
  <c r="F53" i="2"/>
  <c r="M55" i="2"/>
  <c r="M53" i="2"/>
  <c r="AV53" i="2"/>
  <c r="AV55" i="2"/>
  <c r="AL55" i="2"/>
  <c r="AL53" i="2"/>
  <c r="G55" i="2"/>
  <c r="G53" i="2"/>
  <c r="AS55" i="2"/>
  <c r="AS53" i="2"/>
  <c r="N55" i="2"/>
  <c r="N53" i="2"/>
  <c r="AK55" i="2"/>
  <c r="AK53" i="2"/>
  <c r="AX55" i="2"/>
  <c r="AX53" i="2"/>
  <c r="P53" i="2"/>
  <c r="P55" i="2"/>
  <c r="AM55" i="2"/>
  <c r="AM53" i="2"/>
  <c r="AF53" i="2"/>
  <c r="AF55" i="2"/>
  <c r="D59" i="2"/>
  <c r="E55" i="2"/>
  <c r="E53" i="2"/>
  <c r="AP55" i="2"/>
  <c r="AP53" i="2"/>
  <c r="K55" i="2"/>
  <c r="K53" i="2"/>
  <c r="AU8" i="2"/>
  <c r="AM8" i="2"/>
  <c r="AE8" i="2"/>
  <c r="W8" i="2"/>
  <c r="O8" i="2"/>
  <c r="G8" i="2"/>
  <c r="AT8" i="2"/>
  <c r="AL8" i="2"/>
  <c r="AD8" i="2"/>
  <c r="V8" i="2"/>
  <c r="N8" i="2"/>
  <c r="F8" i="2"/>
  <c r="AC8" i="2"/>
  <c r="E8" i="2"/>
  <c r="AK8" i="2"/>
  <c r="M8" i="2"/>
  <c r="AR8" i="2"/>
  <c r="AJ8" i="2"/>
  <c r="AB8" i="2"/>
  <c r="T8" i="2"/>
  <c r="L8" i="2"/>
  <c r="D8" i="2"/>
  <c r="AY8" i="2"/>
  <c r="AQ8" i="2"/>
  <c r="AI8" i="2"/>
  <c r="AA8" i="2"/>
  <c r="S8" i="2"/>
  <c r="K8" i="2"/>
  <c r="AW8" i="2"/>
  <c r="AO8" i="2"/>
  <c r="AG8" i="2"/>
  <c r="Y8" i="2"/>
  <c r="Q8" i="2"/>
  <c r="I8" i="2"/>
  <c r="AV8" i="2"/>
  <c r="AN8" i="2"/>
  <c r="AF8" i="2"/>
  <c r="X8" i="2"/>
  <c r="P8" i="2"/>
  <c r="H8" i="2"/>
  <c r="AS8" i="2"/>
  <c r="U8" i="2"/>
  <c r="AP8" i="2"/>
  <c r="AH8" i="2"/>
  <c r="Z8" i="2"/>
  <c r="R8" i="2"/>
  <c r="J8" i="2"/>
  <c r="AX8" i="2"/>
  <c r="AU55" i="2"/>
  <c r="AU53" i="2"/>
  <c r="AN53" i="2"/>
  <c r="AN55" i="2"/>
  <c r="AQ55" i="2"/>
  <c r="AQ53" i="2"/>
  <c r="AY55" i="2"/>
  <c r="AY53" i="2"/>
  <c r="AW53" i="2"/>
  <c r="AW55" i="2"/>
  <c r="AH55" i="2"/>
  <c r="AH53" i="2"/>
  <c r="AB53" i="2"/>
  <c r="AB55" i="2"/>
  <c r="V55" i="2"/>
  <c r="V53" i="2"/>
  <c r="T53" i="2"/>
  <c r="T55" i="2"/>
  <c r="J55" i="2"/>
  <c r="J53" i="2"/>
  <c r="X53" i="2"/>
  <c r="X55" i="2"/>
  <c r="AO53" i="2"/>
  <c r="AO55" i="2"/>
  <c r="AR53" i="2"/>
  <c r="AR55" i="2"/>
  <c r="D29" i="2" l="1"/>
  <c r="L29" i="2"/>
  <c r="T29" i="2"/>
  <c r="AB29" i="2"/>
  <c r="AJ29" i="2"/>
  <c r="AR29" i="2"/>
  <c r="E29" i="2"/>
  <c r="M29" i="2"/>
  <c r="U29" i="2"/>
  <c r="AC29" i="2"/>
  <c r="AK29" i="2"/>
  <c r="AS29" i="2"/>
  <c r="F29" i="2"/>
  <c r="N29" i="2"/>
  <c r="V29" i="2"/>
  <c r="AD29" i="2"/>
  <c r="AL29" i="2"/>
  <c r="AT29" i="2"/>
  <c r="G29" i="2"/>
  <c r="O29" i="2"/>
  <c r="W29" i="2"/>
  <c r="AE29" i="2"/>
  <c r="AM29" i="2"/>
  <c r="AU29" i="2"/>
  <c r="H29" i="2"/>
  <c r="P29" i="2"/>
  <c r="X29" i="2"/>
  <c r="AF29" i="2"/>
  <c r="AN29" i="2"/>
  <c r="AV29" i="2"/>
  <c r="J29" i="2"/>
  <c r="R29" i="2"/>
  <c r="Z29" i="2"/>
  <c r="AH29" i="2"/>
  <c r="AP29" i="2"/>
  <c r="AX29" i="2"/>
  <c r="K29" i="2"/>
  <c r="S29" i="2"/>
  <c r="AA29" i="2"/>
  <c r="AI29" i="2"/>
  <c r="AQ29" i="2"/>
  <c r="AY29" i="2"/>
  <c r="AO29" i="2"/>
  <c r="AW29" i="2"/>
  <c r="Q29" i="2"/>
  <c r="C29" i="2"/>
  <c r="I29" i="2"/>
  <c r="Y29" i="2"/>
  <c r="AG29" i="2"/>
  <c r="D33" i="2"/>
  <c r="L33" i="2"/>
  <c r="T33" i="2"/>
  <c r="AB33" i="2"/>
  <c r="AJ33" i="2"/>
  <c r="AR33" i="2"/>
  <c r="E33" i="2"/>
  <c r="M33" i="2"/>
  <c r="U33" i="2"/>
  <c r="AC33" i="2"/>
  <c r="AK33" i="2"/>
  <c r="AS33" i="2"/>
  <c r="F33" i="2"/>
  <c r="N33" i="2"/>
  <c r="V33" i="2"/>
  <c r="AD33" i="2"/>
  <c r="AL33" i="2"/>
  <c r="AT33" i="2"/>
  <c r="G33" i="2"/>
  <c r="O33" i="2"/>
  <c r="W33" i="2"/>
  <c r="AE33" i="2"/>
  <c r="AM33" i="2"/>
  <c r="AU33" i="2"/>
  <c r="H33" i="2"/>
  <c r="P33" i="2"/>
  <c r="X33" i="2"/>
  <c r="AF33" i="2"/>
  <c r="AN33" i="2"/>
  <c r="AV33" i="2"/>
  <c r="J33" i="2"/>
  <c r="R33" i="2"/>
  <c r="Z33" i="2"/>
  <c r="AH33" i="2"/>
  <c r="AP33" i="2"/>
  <c r="AX33" i="2"/>
  <c r="K33" i="2"/>
  <c r="S33" i="2"/>
  <c r="AA33" i="2"/>
  <c r="AI33" i="2"/>
  <c r="AQ33" i="2"/>
  <c r="AY33" i="2"/>
  <c r="AO33" i="2"/>
  <c r="AW33" i="2"/>
  <c r="Q33" i="2"/>
  <c r="AG33" i="2"/>
  <c r="I33" i="2"/>
  <c r="Y33" i="2"/>
  <c r="C33" i="2"/>
  <c r="A41" i="1"/>
  <c r="C37" i="1"/>
  <c r="B37" i="1"/>
  <c r="E37" i="1" s="1"/>
  <c r="D32" i="1"/>
  <c r="F32" i="1"/>
  <c r="D40" i="1"/>
  <c r="F40" i="1"/>
  <c r="D44" i="1"/>
  <c r="F44" i="1"/>
  <c r="B45" i="1"/>
  <c r="E45" i="1" s="1"/>
  <c r="C45" i="1"/>
  <c r="F38" i="1"/>
  <c r="D38" i="1"/>
  <c r="C36" i="1"/>
  <c r="B36" i="1"/>
  <c r="E36" i="1" s="1"/>
  <c r="C49" i="1"/>
  <c r="B49" i="1"/>
  <c r="E49" i="1" s="1"/>
  <c r="F31" i="1"/>
  <c r="D31" i="1"/>
  <c r="B43" i="1"/>
  <c r="E43" i="1" s="1"/>
  <c r="C43" i="1"/>
  <c r="S12" i="2"/>
  <c r="AV12" i="2"/>
  <c r="AE12" i="2"/>
  <c r="M12" i="2"/>
  <c r="AX12" i="2"/>
  <c r="AJ12" i="2"/>
  <c r="X12" i="2"/>
  <c r="K12" i="2"/>
  <c r="AN12" i="2"/>
  <c r="W12" i="2"/>
  <c r="E12" i="2"/>
  <c r="AT12" i="2"/>
  <c r="N12" i="2"/>
  <c r="L12" i="2"/>
  <c r="AY12" i="2"/>
  <c r="H12" i="2"/>
  <c r="AW12" i="2"/>
  <c r="AF12" i="2"/>
  <c r="O12" i="2"/>
  <c r="AH12" i="2"/>
  <c r="Z12" i="2"/>
  <c r="AP12" i="2"/>
  <c r="AD12" i="2"/>
  <c r="AO12" i="2"/>
  <c r="D12" i="2"/>
  <c r="AG12" i="2"/>
  <c r="AR12" i="2"/>
  <c r="AI12" i="2"/>
  <c r="Q12" i="2"/>
  <c r="AU12" i="2"/>
  <c r="AC12" i="2"/>
  <c r="AB12" i="2"/>
  <c r="AL12" i="2"/>
  <c r="T12" i="2"/>
  <c r="AS12" i="2"/>
  <c r="Y12" i="2"/>
  <c r="J12" i="2"/>
  <c r="AA12" i="2"/>
  <c r="I12" i="2"/>
  <c r="AM12" i="2"/>
  <c r="U12" i="2"/>
  <c r="F12" i="2"/>
  <c r="R12" i="2"/>
  <c r="G12" i="2"/>
  <c r="P12" i="2"/>
  <c r="AQ12" i="2"/>
  <c r="AK12" i="2"/>
  <c r="V12" i="2"/>
  <c r="C7" i="2"/>
  <c r="B24" i="2"/>
  <c r="S16" i="2"/>
  <c r="AV16" i="2"/>
  <c r="AE16" i="2"/>
  <c r="M16" i="2"/>
  <c r="N16" i="2"/>
  <c r="Z16" i="2"/>
  <c r="K16" i="2"/>
  <c r="AN16" i="2"/>
  <c r="W16" i="2"/>
  <c r="E16" i="2"/>
  <c r="AJ16" i="2"/>
  <c r="D16" i="2"/>
  <c r="Y16" i="2"/>
  <c r="AW16" i="2"/>
  <c r="AF16" i="2"/>
  <c r="O16" i="2"/>
  <c r="AR16" i="2"/>
  <c r="AH16" i="2"/>
  <c r="J16" i="2"/>
  <c r="AK16" i="2"/>
  <c r="AO16" i="2"/>
  <c r="X16" i="2"/>
  <c r="G16" i="2"/>
  <c r="V16" i="2"/>
  <c r="L16" i="2"/>
  <c r="AD16" i="2"/>
  <c r="AB16" i="2"/>
  <c r="AY16" i="2"/>
  <c r="AG16" i="2"/>
  <c r="P16" i="2"/>
  <c r="AS16" i="2"/>
  <c r="AP16" i="2"/>
  <c r="AX16" i="2"/>
  <c r="AQ16" i="2"/>
  <c r="AI16" i="2"/>
  <c r="Q16" i="2"/>
  <c r="AU16" i="2"/>
  <c r="AC16" i="2"/>
  <c r="AL16" i="2"/>
  <c r="F16" i="2"/>
  <c r="H16" i="2"/>
  <c r="AA16" i="2"/>
  <c r="I16" i="2"/>
  <c r="AM16" i="2"/>
  <c r="U16" i="2"/>
  <c r="R16" i="2"/>
  <c r="AT16" i="2"/>
  <c r="T16" i="2"/>
  <c r="C11" i="2"/>
  <c r="B28" i="2"/>
  <c r="B6" i="2"/>
  <c r="E59" i="2"/>
  <c r="D28" i="2" l="1"/>
  <c r="L28" i="2"/>
  <c r="T28" i="2"/>
  <c r="AB28" i="2"/>
  <c r="AJ28" i="2"/>
  <c r="AR28" i="2"/>
  <c r="E28" i="2"/>
  <c r="M28" i="2"/>
  <c r="U28" i="2"/>
  <c r="AC28" i="2"/>
  <c r="AK28" i="2"/>
  <c r="AS28" i="2"/>
  <c r="F28" i="2"/>
  <c r="N28" i="2"/>
  <c r="V28" i="2"/>
  <c r="AD28" i="2"/>
  <c r="AL28" i="2"/>
  <c r="AT28" i="2"/>
  <c r="G28" i="2"/>
  <c r="O28" i="2"/>
  <c r="W28" i="2"/>
  <c r="AE28" i="2"/>
  <c r="AM28" i="2"/>
  <c r="AU28" i="2"/>
  <c r="H28" i="2"/>
  <c r="P28" i="2"/>
  <c r="X28" i="2"/>
  <c r="AF28" i="2"/>
  <c r="AN28" i="2"/>
  <c r="AV28" i="2"/>
  <c r="J28" i="2"/>
  <c r="R28" i="2"/>
  <c r="Z28" i="2"/>
  <c r="AH28" i="2"/>
  <c r="AP28" i="2"/>
  <c r="AX28" i="2"/>
  <c r="K28" i="2"/>
  <c r="S28" i="2"/>
  <c r="AA28" i="2"/>
  <c r="AI28" i="2"/>
  <c r="AQ28" i="2"/>
  <c r="AY28" i="2"/>
  <c r="Y28" i="2"/>
  <c r="AG28" i="2"/>
  <c r="C28" i="2"/>
  <c r="AO28" i="2"/>
  <c r="AW28" i="2"/>
  <c r="I28" i="2"/>
  <c r="Q28" i="2"/>
  <c r="D24" i="2"/>
  <c r="L24" i="2"/>
  <c r="T24" i="2"/>
  <c r="AB24" i="2"/>
  <c r="AJ24" i="2"/>
  <c r="AR24" i="2"/>
  <c r="E24" i="2"/>
  <c r="M24" i="2"/>
  <c r="U24" i="2"/>
  <c r="AC24" i="2"/>
  <c r="AK24" i="2"/>
  <c r="AS24" i="2"/>
  <c r="F24" i="2"/>
  <c r="N24" i="2"/>
  <c r="V24" i="2"/>
  <c r="AD24" i="2"/>
  <c r="AL24" i="2"/>
  <c r="AT24" i="2"/>
  <c r="G24" i="2"/>
  <c r="O24" i="2"/>
  <c r="W24" i="2"/>
  <c r="AE24" i="2"/>
  <c r="AM24" i="2"/>
  <c r="AU24" i="2"/>
  <c r="H24" i="2"/>
  <c r="P24" i="2"/>
  <c r="X24" i="2"/>
  <c r="AF24" i="2"/>
  <c r="AN24" i="2"/>
  <c r="AV24" i="2"/>
  <c r="J24" i="2"/>
  <c r="R24" i="2"/>
  <c r="Z24" i="2"/>
  <c r="AH24" i="2"/>
  <c r="AP24" i="2"/>
  <c r="AX24" i="2"/>
  <c r="K24" i="2"/>
  <c r="S24" i="2"/>
  <c r="AA24" i="2"/>
  <c r="AI24" i="2"/>
  <c r="AQ24" i="2"/>
  <c r="AY24" i="2"/>
  <c r="Y24" i="2"/>
  <c r="C24" i="2"/>
  <c r="AG24" i="2"/>
  <c r="AO24" i="2"/>
  <c r="AW24" i="2"/>
  <c r="I24" i="2"/>
  <c r="Q24" i="2"/>
  <c r="A46" i="1"/>
  <c r="B42" i="1"/>
  <c r="E42" i="1" s="1"/>
  <c r="C42" i="1"/>
  <c r="F37" i="1"/>
  <c r="D37" i="1"/>
  <c r="D36" i="1"/>
  <c r="F36" i="1"/>
  <c r="F45" i="1"/>
  <c r="D45" i="1"/>
  <c r="F49" i="1"/>
  <c r="D49" i="1"/>
  <c r="B50" i="1"/>
  <c r="E50" i="1" s="1"/>
  <c r="C50" i="1"/>
  <c r="B54" i="1"/>
  <c r="E54" i="1" s="1"/>
  <c r="C54" i="1"/>
  <c r="D43" i="1"/>
  <c r="F43" i="1"/>
  <c r="C48" i="1"/>
  <c r="B48" i="1"/>
  <c r="E48" i="1" s="1"/>
  <c r="B41" i="1"/>
  <c r="E41" i="1" s="1"/>
  <c r="C41" i="1"/>
  <c r="B23" i="2"/>
  <c r="C6" i="2"/>
  <c r="AN7" i="2"/>
  <c r="AL7" i="2"/>
  <c r="U7" i="2"/>
  <c r="K7" i="2"/>
  <c r="H7" i="2"/>
  <c r="D7" i="2"/>
  <c r="AF7" i="2"/>
  <c r="AD7" i="2"/>
  <c r="M7" i="2"/>
  <c r="AX7" i="2"/>
  <c r="AU7" i="2"/>
  <c r="AR7" i="2"/>
  <c r="AW7" i="2"/>
  <c r="X7" i="2"/>
  <c r="V7" i="2"/>
  <c r="E7" i="2"/>
  <c r="AP7" i="2"/>
  <c r="W7" i="2"/>
  <c r="AO7" i="2"/>
  <c r="P7" i="2"/>
  <c r="N7" i="2"/>
  <c r="AY7" i="2"/>
  <c r="AH7" i="2"/>
  <c r="G7" i="2"/>
  <c r="I7" i="2"/>
  <c r="AT7" i="2"/>
  <c r="AC7" i="2"/>
  <c r="S7" i="2"/>
  <c r="L7" i="2"/>
  <c r="AG7" i="2"/>
  <c r="AM7" i="2"/>
  <c r="F7" i="2"/>
  <c r="AQ7" i="2"/>
  <c r="Z7" i="2"/>
  <c r="AB7" i="2"/>
  <c r="Y7" i="2"/>
  <c r="O7" i="2"/>
  <c r="AS7" i="2"/>
  <c r="AI7" i="2"/>
  <c r="R7" i="2"/>
  <c r="T7" i="2"/>
  <c r="AV7" i="2"/>
  <c r="Q7" i="2"/>
  <c r="AE7" i="2"/>
  <c r="AK7" i="2"/>
  <c r="AA7" i="2"/>
  <c r="J7" i="2"/>
  <c r="AJ7" i="2"/>
  <c r="U11" i="2"/>
  <c r="K11" i="2"/>
  <c r="AO11" i="2"/>
  <c r="W11" i="2"/>
  <c r="AF11" i="2"/>
  <c r="V11" i="2"/>
  <c r="M11" i="2"/>
  <c r="AX11" i="2"/>
  <c r="AG11" i="2"/>
  <c r="O11" i="2"/>
  <c r="L11" i="2"/>
  <c r="AJ11" i="2"/>
  <c r="E11" i="2"/>
  <c r="AP11" i="2"/>
  <c r="Y11" i="2"/>
  <c r="G11" i="2"/>
  <c r="AD11" i="2"/>
  <c r="AV11" i="2"/>
  <c r="AU11" i="2"/>
  <c r="AY11" i="2"/>
  <c r="AH11" i="2"/>
  <c r="Q11" i="2"/>
  <c r="AN11" i="2"/>
  <c r="H11" i="2"/>
  <c r="AB11" i="2"/>
  <c r="R11" i="2"/>
  <c r="AQ11" i="2"/>
  <c r="Z11" i="2"/>
  <c r="I11" i="2"/>
  <c r="T11" i="2"/>
  <c r="AT11" i="2"/>
  <c r="F11" i="2"/>
  <c r="AK11" i="2"/>
  <c r="AA11" i="2"/>
  <c r="J11" i="2"/>
  <c r="AM11" i="2"/>
  <c r="P11" i="2"/>
  <c r="D11" i="2"/>
  <c r="AS11" i="2"/>
  <c r="X11" i="2"/>
  <c r="AC11" i="2"/>
  <c r="S11" i="2"/>
  <c r="AW11" i="2"/>
  <c r="AE11" i="2"/>
  <c r="N11" i="2"/>
  <c r="AR11" i="2"/>
  <c r="AI11" i="2"/>
  <c r="AL11" i="2"/>
  <c r="F59" i="2"/>
  <c r="D23" i="2" l="1"/>
  <c r="D40" i="2" s="1"/>
  <c r="L23" i="2"/>
  <c r="L40" i="2" s="1"/>
  <c r="T23" i="2"/>
  <c r="T40" i="2" s="1"/>
  <c r="AB23" i="2"/>
  <c r="AB40" i="2" s="1"/>
  <c r="AJ23" i="2"/>
  <c r="AJ40" i="2" s="1"/>
  <c r="AJ42" i="2" s="1"/>
  <c r="AR23" i="2"/>
  <c r="AR40" i="2" s="1"/>
  <c r="AR42" i="2" s="1"/>
  <c r="E23" i="2"/>
  <c r="E40" i="2" s="1"/>
  <c r="M23" i="2"/>
  <c r="U23" i="2"/>
  <c r="U40" i="2" s="1"/>
  <c r="AC23" i="2"/>
  <c r="AC40" i="2" s="1"/>
  <c r="AK23" i="2"/>
  <c r="AK40" i="2" s="1"/>
  <c r="AK42" i="2" s="1"/>
  <c r="AS23" i="2"/>
  <c r="AS40" i="2" s="1"/>
  <c r="AS42" i="2" s="1"/>
  <c r="F23" i="2"/>
  <c r="N23" i="2"/>
  <c r="N40" i="2" s="1"/>
  <c r="V23" i="2"/>
  <c r="V40" i="2" s="1"/>
  <c r="AD23" i="2"/>
  <c r="AD40" i="2" s="1"/>
  <c r="AD42" i="2" s="1"/>
  <c r="AL23" i="2"/>
  <c r="AL40" i="2" s="1"/>
  <c r="AL42" i="2" s="1"/>
  <c r="AT23" i="2"/>
  <c r="AT40" i="2" s="1"/>
  <c r="AT42" i="2" s="1"/>
  <c r="G23" i="2"/>
  <c r="G40" i="2" s="1"/>
  <c r="O23" i="2"/>
  <c r="O40" i="2" s="1"/>
  <c r="W23" i="2"/>
  <c r="W40" i="2" s="1"/>
  <c r="AE23" i="2"/>
  <c r="AE40" i="2" s="1"/>
  <c r="AE42" i="2" s="1"/>
  <c r="AM23" i="2"/>
  <c r="AM40" i="2" s="1"/>
  <c r="AM42" i="2" s="1"/>
  <c r="AU23" i="2"/>
  <c r="AU40" i="2" s="1"/>
  <c r="AU42" i="2" s="1"/>
  <c r="H23" i="2"/>
  <c r="H40" i="2" s="1"/>
  <c r="P23" i="2"/>
  <c r="P40" i="2" s="1"/>
  <c r="X23" i="2"/>
  <c r="X40" i="2" s="1"/>
  <c r="AF23" i="2"/>
  <c r="AF40" i="2" s="1"/>
  <c r="AF42" i="2" s="1"/>
  <c r="AN23" i="2"/>
  <c r="AN40" i="2" s="1"/>
  <c r="AN42" i="2" s="1"/>
  <c r="AV23" i="2"/>
  <c r="AV40" i="2" s="1"/>
  <c r="AV42" i="2" s="1"/>
  <c r="J23" i="2"/>
  <c r="J40" i="2" s="1"/>
  <c r="R23" i="2"/>
  <c r="R40" i="2" s="1"/>
  <c r="Z23" i="2"/>
  <c r="Z40" i="2" s="1"/>
  <c r="AH23" i="2"/>
  <c r="AH40" i="2" s="1"/>
  <c r="AH42" i="2" s="1"/>
  <c r="AP23" i="2"/>
  <c r="AP40" i="2" s="1"/>
  <c r="AP42" i="2" s="1"/>
  <c r="AX23" i="2"/>
  <c r="AX40" i="2" s="1"/>
  <c r="AX42" i="2" s="1"/>
  <c r="K23" i="2"/>
  <c r="S23" i="2"/>
  <c r="S40" i="2" s="1"/>
  <c r="AA23" i="2"/>
  <c r="AA40" i="2" s="1"/>
  <c r="AI23" i="2"/>
  <c r="AI40" i="2" s="1"/>
  <c r="AI42" i="2" s="1"/>
  <c r="AQ23" i="2"/>
  <c r="AQ40" i="2" s="1"/>
  <c r="AQ42" i="2" s="1"/>
  <c r="AY23" i="2"/>
  <c r="AY40" i="2" s="1"/>
  <c r="AY42" i="2" s="1"/>
  <c r="I23" i="2"/>
  <c r="I40" i="2" s="1"/>
  <c r="Q23" i="2"/>
  <c r="Q40" i="2" s="1"/>
  <c r="AW23" i="2"/>
  <c r="AW40" i="2" s="1"/>
  <c r="AW42" i="2" s="1"/>
  <c r="Y23" i="2"/>
  <c r="Y40" i="2" s="1"/>
  <c r="AG23" i="2"/>
  <c r="AG40" i="2" s="1"/>
  <c r="AG42" i="2" s="1"/>
  <c r="AO23" i="2"/>
  <c r="AO40" i="2" s="1"/>
  <c r="AO42" i="2" s="1"/>
  <c r="A51" i="1"/>
  <c r="D42" i="1"/>
  <c r="F42" i="1"/>
  <c r="B47" i="1"/>
  <c r="E47" i="1" s="1"/>
  <c r="C47" i="1"/>
  <c r="F41" i="1"/>
  <c r="D41" i="1"/>
  <c r="B59" i="1"/>
  <c r="E59" i="1" s="1"/>
  <c r="C59" i="1"/>
  <c r="C53" i="1"/>
  <c r="B53" i="1"/>
  <c r="E53" i="1" s="1"/>
  <c r="F50" i="1"/>
  <c r="D50" i="1"/>
  <c r="B46" i="1"/>
  <c r="E46" i="1" s="1"/>
  <c r="C46" i="1"/>
  <c r="F54" i="1"/>
  <c r="D54" i="1"/>
  <c r="D48" i="1"/>
  <c r="F48" i="1"/>
  <c r="B55" i="1"/>
  <c r="E55" i="1" s="1"/>
  <c r="C55" i="1"/>
  <c r="AI6" i="2"/>
  <c r="R6" i="2"/>
  <c r="H6" i="2"/>
  <c r="AK6" i="2"/>
  <c r="T6" i="2"/>
  <c r="N6" i="2"/>
  <c r="AA6" i="2"/>
  <c r="AW6" i="2"/>
  <c r="AU6" i="2"/>
  <c r="AC6" i="2"/>
  <c r="L6" i="2"/>
  <c r="F6" i="2"/>
  <c r="S6" i="2"/>
  <c r="Q6" i="2"/>
  <c r="AM6" i="2"/>
  <c r="U6" i="2"/>
  <c r="D6" i="2"/>
  <c r="AL6" i="2"/>
  <c r="K6" i="2"/>
  <c r="AV6" i="2"/>
  <c r="AE6" i="2"/>
  <c r="M6" i="2"/>
  <c r="AH6" i="2"/>
  <c r="AT6" i="2"/>
  <c r="AQ6" i="2"/>
  <c r="AG6" i="2"/>
  <c r="P6" i="2"/>
  <c r="AB6" i="2"/>
  <c r="I6" i="2"/>
  <c r="AX6" i="2"/>
  <c r="AN6" i="2"/>
  <c r="W6" i="2"/>
  <c r="E6" i="2"/>
  <c r="J6" i="2"/>
  <c r="AD6" i="2"/>
  <c r="AP6" i="2"/>
  <c r="AF6" i="2"/>
  <c r="O6" i="2"/>
  <c r="AR6" i="2"/>
  <c r="AO6" i="2"/>
  <c r="V6" i="2"/>
  <c r="AS6" i="2"/>
  <c r="AY6" i="2"/>
  <c r="Z6" i="2"/>
  <c r="X6" i="2"/>
  <c r="G6" i="2"/>
  <c r="AJ6" i="2"/>
  <c r="Y6" i="2"/>
  <c r="L56" i="2"/>
  <c r="H56" i="2"/>
  <c r="E56" i="2"/>
  <c r="D56" i="2"/>
  <c r="G56" i="2"/>
  <c r="I56" i="2"/>
  <c r="O56" i="2"/>
  <c r="G59" i="2"/>
  <c r="N56" i="2" l="1"/>
  <c r="R42" i="2"/>
  <c r="AY47" i="2"/>
  <c r="AA42" i="2"/>
  <c r="BH47" i="2"/>
  <c r="J42" i="2"/>
  <c r="AQ47" i="2"/>
  <c r="V42" i="2"/>
  <c r="BC47" i="2"/>
  <c r="E42" i="2"/>
  <c r="AL47" i="2"/>
  <c r="Y42" i="2"/>
  <c r="BF47" i="2"/>
  <c r="S42" i="2"/>
  <c r="AZ47" i="2"/>
  <c r="N42" i="2"/>
  <c r="AU47" i="2"/>
  <c r="W42" i="2"/>
  <c r="BD47" i="2"/>
  <c r="Q42" i="2"/>
  <c r="AX47" i="2"/>
  <c r="O42" i="2"/>
  <c r="AV47" i="2"/>
  <c r="AB42" i="2"/>
  <c r="BI47" i="2"/>
  <c r="I42" i="2"/>
  <c r="AP47" i="2"/>
  <c r="X42" i="2"/>
  <c r="BE47" i="2"/>
  <c r="G42" i="2"/>
  <c r="AN47" i="2"/>
  <c r="T42" i="2"/>
  <c r="BA47" i="2"/>
  <c r="P42" i="2"/>
  <c r="AW47" i="2"/>
  <c r="AC42" i="2"/>
  <c r="BJ47" i="2"/>
  <c r="L42" i="2"/>
  <c r="AS47" i="2"/>
  <c r="Z42" i="2"/>
  <c r="BG47" i="2"/>
  <c r="H42" i="2"/>
  <c r="AO47" i="2"/>
  <c r="U42" i="2"/>
  <c r="BB47" i="2"/>
  <c r="D42" i="2"/>
  <c r="AK47" i="2"/>
  <c r="K56" i="2"/>
  <c r="K40" i="2"/>
  <c r="F56" i="2"/>
  <c r="F40" i="2"/>
  <c r="J56" i="2"/>
  <c r="M56" i="2"/>
  <c r="M40" i="2"/>
  <c r="F60" i="2"/>
  <c r="A56" i="1"/>
  <c r="C52" i="1"/>
  <c r="B52" i="1"/>
  <c r="E52" i="1" s="1"/>
  <c r="F47" i="1"/>
  <c r="D47" i="1"/>
  <c r="D60" i="2"/>
  <c r="C60" i="1"/>
  <c r="B60" i="1"/>
  <c r="E60" i="1" s="1"/>
  <c r="B51" i="1"/>
  <c r="E51" i="1" s="1"/>
  <c r="C51" i="1"/>
  <c r="F53" i="1"/>
  <c r="D53" i="1"/>
  <c r="F59" i="1"/>
  <c r="D59" i="1"/>
  <c r="C64" i="1"/>
  <c r="B64" i="1"/>
  <c r="E64" i="1" s="1"/>
  <c r="F55" i="1"/>
  <c r="D55" i="1"/>
  <c r="B58" i="1"/>
  <c r="E58" i="1" s="1"/>
  <c r="C58" i="1"/>
  <c r="F46" i="1"/>
  <c r="D46" i="1"/>
  <c r="E60" i="2"/>
  <c r="P56" i="2"/>
  <c r="H59" i="2"/>
  <c r="K42" i="2" l="1"/>
  <c r="AR47" i="2"/>
  <c r="M42" i="2"/>
  <c r="AT47" i="2"/>
  <c r="F42" i="2"/>
  <c r="AM47" i="2"/>
  <c r="A61" i="1"/>
  <c r="B57" i="1"/>
  <c r="E57" i="1" s="1"/>
  <c r="C57" i="1"/>
  <c r="F52" i="1"/>
  <c r="D52" i="1"/>
  <c r="C69" i="1"/>
  <c r="B69" i="1"/>
  <c r="E69" i="1" s="1"/>
  <c r="D60" i="1"/>
  <c r="F60" i="1"/>
  <c r="B63" i="1"/>
  <c r="E63" i="1" s="1"/>
  <c r="C63" i="1"/>
  <c r="D51" i="1"/>
  <c r="F51" i="1"/>
  <c r="C56" i="1"/>
  <c r="B56" i="1"/>
  <c r="E56" i="1" s="1"/>
  <c r="D64" i="1"/>
  <c r="F64" i="1"/>
  <c r="B65" i="1"/>
  <c r="E65" i="1" s="1"/>
  <c r="C65" i="1"/>
  <c r="F58" i="1"/>
  <c r="D58" i="1"/>
  <c r="Q56" i="2"/>
  <c r="G60" i="2" s="1"/>
  <c r="I59" i="2"/>
  <c r="A66" i="1" l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F57" i="1"/>
  <c r="D57" i="1"/>
  <c r="C62" i="1"/>
  <c r="B62" i="1"/>
  <c r="E62" i="1" s="1"/>
  <c r="F65" i="1"/>
  <c r="D65" i="1"/>
  <c r="F63" i="1"/>
  <c r="D63" i="1"/>
  <c r="D56" i="1"/>
  <c r="F56" i="1"/>
  <c r="C74" i="1"/>
  <c r="B74" i="1"/>
  <c r="E74" i="1" s="1"/>
  <c r="F69" i="1"/>
  <c r="D69" i="1"/>
  <c r="C68" i="1"/>
  <c r="B68" i="1"/>
  <c r="E68" i="1" s="1"/>
  <c r="C70" i="1"/>
  <c r="B70" i="1"/>
  <c r="E70" i="1" s="1"/>
  <c r="C61" i="1"/>
  <c r="B61" i="1"/>
  <c r="E61" i="1" s="1"/>
  <c r="R56" i="2"/>
  <c r="J59" i="2"/>
  <c r="C67" i="1" l="1"/>
  <c r="B67" i="1"/>
  <c r="E67" i="1" s="1"/>
  <c r="F62" i="1"/>
  <c r="D62" i="1"/>
  <c r="F61" i="1"/>
  <c r="D61" i="1"/>
  <c r="C66" i="1"/>
  <c r="B66" i="1"/>
  <c r="E66" i="1" s="1"/>
  <c r="F70" i="1"/>
  <c r="D70" i="1"/>
  <c r="B79" i="1"/>
  <c r="E79" i="1" s="1"/>
  <c r="C79" i="1"/>
  <c r="B75" i="1"/>
  <c r="E75" i="1" s="1"/>
  <c r="C75" i="1"/>
  <c r="F74" i="1"/>
  <c r="D74" i="1"/>
  <c r="D68" i="1"/>
  <c r="F68" i="1"/>
  <c r="C73" i="1"/>
  <c r="B73" i="1"/>
  <c r="E73" i="1" s="1"/>
  <c r="K59" i="2"/>
  <c r="S56" i="2"/>
  <c r="C72" i="1" l="1"/>
  <c r="B72" i="1"/>
  <c r="E72" i="1" s="1"/>
  <c r="F67" i="1"/>
  <c r="D67" i="1"/>
  <c r="D79" i="1"/>
  <c r="F79" i="1"/>
  <c r="B71" i="1"/>
  <c r="E71" i="1" s="1"/>
  <c r="C71" i="1"/>
  <c r="F73" i="1"/>
  <c r="D73" i="1"/>
  <c r="F66" i="1"/>
  <c r="D66" i="1"/>
  <c r="C84" i="1"/>
  <c r="B84" i="1"/>
  <c r="E84" i="1" s="1"/>
  <c r="C80" i="1"/>
  <c r="B80" i="1"/>
  <c r="E80" i="1" s="1"/>
  <c r="C78" i="1"/>
  <c r="B78" i="1"/>
  <c r="E78" i="1" s="1"/>
  <c r="D75" i="1"/>
  <c r="F75" i="1"/>
  <c r="T56" i="2"/>
  <c r="H60" i="2" s="1"/>
  <c r="L59" i="2"/>
  <c r="B77" i="1" l="1"/>
  <c r="E77" i="1" s="1"/>
  <c r="C77" i="1"/>
  <c r="F72" i="1"/>
  <c r="D72" i="1"/>
  <c r="B85" i="1"/>
  <c r="E85" i="1" s="1"/>
  <c r="C85" i="1"/>
  <c r="D80" i="1"/>
  <c r="F80" i="1"/>
  <c r="D71" i="1"/>
  <c r="F71" i="1"/>
  <c r="C83" i="1"/>
  <c r="B83" i="1"/>
  <c r="E83" i="1" s="1"/>
  <c r="F84" i="1"/>
  <c r="D84" i="1"/>
  <c r="C89" i="1"/>
  <c r="B89" i="1"/>
  <c r="E89" i="1" s="1"/>
  <c r="C76" i="1"/>
  <c r="B76" i="1"/>
  <c r="E76" i="1" s="1"/>
  <c r="F78" i="1"/>
  <c r="D78" i="1"/>
  <c r="M59" i="2"/>
  <c r="U56" i="2"/>
  <c r="F77" i="1" l="1"/>
  <c r="D77" i="1"/>
  <c r="C82" i="1"/>
  <c r="B82" i="1"/>
  <c r="E82" i="1" s="1"/>
  <c r="B94" i="1"/>
  <c r="E94" i="1" s="1"/>
  <c r="C94" i="1"/>
  <c r="F85" i="1"/>
  <c r="D85" i="1"/>
  <c r="C81" i="1"/>
  <c r="B81" i="1"/>
  <c r="E81" i="1" s="1"/>
  <c r="C88" i="1"/>
  <c r="B88" i="1"/>
  <c r="E88" i="1" s="1"/>
  <c r="D83" i="1"/>
  <c r="F83" i="1"/>
  <c r="D76" i="1"/>
  <c r="F76" i="1"/>
  <c r="B90" i="1"/>
  <c r="E90" i="1" s="1"/>
  <c r="C90" i="1"/>
  <c r="F89" i="1"/>
  <c r="D89" i="1"/>
  <c r="V56" i="2"/>
  <c r="N59" i="2"/>
  <c r="B87" i="1" l="1"/>
  <c r="E87" i="1" s="1"/>
  <c r="C87" i="1"/>
  <c r="F82" i="1"/>
  <c r="D82" i="1"/>
  <c r="B86" i="1"/>
  <c r="E86" i="1" s="1"/>
  <c r="C86" i="1"/>
  <c r="B93" i="1"/>
  <c r="E93" i="1" s="1"/>
  <c r="C93" i="1"/>
  <c r="F94" i="1"/>
  <c r="D94" i="1"/>
  <c r="F81" i="1"/>
  <c r="D81" i="1"/>
  <c r="F90" i="1"/>
  <c r="D90" i="1"/>
  <c r="C99" i="1"/>
  <c r="B99" i="1"/>
  <c r="E99" i="1" s="1"/>
  <c r="C95" i="1"/>
  <c r="B95" i="1"/>
  <c r="E95" i="1" s="1"/>
  <c r="F88" i="1"/>
  <c r="D88" i="1"/>
  <c r="O59" i="2"/>
  <c r="W56" i="2"/>
  <c r="I60" i="2" s="1"/>
  <c r="D87" i="1" l="1"/>
  <c r="F87" i="1"/>
  <c r="B92" i="1"/>
  <c r="E92" i="1" s="1"/>
  <c r="C92" i="1"/>
  <c r="C100" i="1"/>
  <c r="B100" i="1"/>
  <c r="E100" i="1" s="1"/>
  <c r="D95" i="1"/>
  <c r="F95" i="1"/>
  <c r="C104" i="1"/>
  <c r="B104" i="1"/>
  <c r="E104" i="1" s="1"/>
  <c r="F93" i="1"/>
  <c r="D93" i="1"/>
  <c r="F86" i="1"/>
  <c r="D86" i="1"/>
  <c r="D99" i="1"/>
  <c r="F99" i="1"/>
  <c r="C91" i="1"/>
  <c r="B91" i="1"/>
  <c r="E91" i="1" s="1"/>
  <c r="B98" i="1"/>
  <c r="E98" i="1" s="1"/>
  <c r="C98" i="1"/>
  <c r="X56" i="2"/>
  <c r="P59" i="2"/>
  <c r="F92" i="1" l="1"/>
  <c r="D92" i="1"/>
  <c r="B97" i="1"/>
  <c r="E97" i="1" s="1"/>
  <c r="C97" i="1"/>
  <c r="C105" i="1"/>
  <c r="B105" i="1"/>
  <c r="E105" i="1" s="1"/>
  <c r="C103" i="1"/>
  <c r="B103" i="1"/>
  <c r="E103" i="1" s="1"/>
  <c r="F104" i="1"/>
  <c r="D104" i="1"/>
  <c r="F100" i="1"/>
  <c r="D100" i="1"/>
  <c r="C96" i="1"/>
  <c r="B96" i="1"/>
  <c r="E96" i="1" s="1"/>
  <c r="D91" i="1"/>
  <c r="F91" i="1"/>
  <c r="C109" i="1"/>
  <c r="B109" i="1"/>
  <c r="E109" i="1" s="1"/>
  <c r="F98" i="1"/>
  <c r="D98" i="1"/>
  <c r="Y56" i="2"/>
  <c r="Q59" i="2"/>
  <c r="F97" i="1" l="1"/>
  <c r="D97" i="1"/>
  <c r="C102" i="1"/>
  <c r="B102" i="1"/>
  <c r="E102" i="1" s="1"/>
  <c r="D103" i="1"/>
  <c r="F103" i="1"/>
  <c r="F105" i="1"/>
  <c r="D105" i="1"/>
  <c r="C108" i="1"/>
  <c r="B108" i="1"/>
  <c r="E108" i="1" s="1"/>
  <c r="C101" i="1"/>
  <c r="B101" i="1"/>
  <c r="E101" i="1" s="1"/>
  <c r="B110" i="1"/>
  <c r="E110" i="1" s="1"/>
  <c r="C110" i="1"/>
  <c r="F96" i="1"/>
  <c r="D96" i="1"/>
  <c r="F109" i="1"/>
  <c r="D109" i="1"/>
  <c r="B114" i="1"/>
  <c r="E114" i="1" s="1"/>
  <c r="C114" i="1"/>
  <c r="Z56" i="2"/>
  <c r="J60" i="2" s="1"/>
  <c r="R59" i="2"/>
  <c r="D102" i="1" l="1"/>
  <c r="F102" i="1"/>
  <c r="C107" i="1"/>
  <c r="B107" i="1"/>
  <c r="E107" i="1" s="1"/>
  <c r="C119" i="1"/>
  <c r="B119" i="1"/>
  <c r="E119" i="1" s="1"/>
  <c r="C113" i="1"/>
  <c r="B113" i="1"/>
  <c r="E113" i="1" s="1"/>
  <c r="F110" i="1"/>
  <c r="D110" i="1"/>
  <c r="F108" i="1"/>
  <c r="D108" i="1"/>
  <c r="B106" i="1"/>
  <c r="E106" i="1" s="1"/>
  <c r="C106" i="1"/>
  <c r="C115" i="1"/>
  <c r="B115" i="1"/>
  <c r="E115" i="1" s="1"/>
  <c r="F114" i="1"/>
  <c r="D114" i="1"/>
  <c r="F101" i="1"/>
  <c r="D101" i="1"/>
  <c r="AA56" i="2"/>
  <c r="S59" i="2"/>
  <c r="C112" i="1" l="1"/>
  <c r="B112" i="1"/>
  <c r="E112" i="1" s="1"/>
  <c r="D107" i="1"/>
  <c r="F107" i="1"/>
  <c r="D115" i="1"/>
  <c r="F115" i="1"/>
  <c r="D119" i="1"/>
  <c r="F119" i="1"/>
  <c r="F106" i="1"/>
  <c r="D106" i="1"/>
  <c r="F113" i="1"/>
  <c r="D113" i="1"/>
  <c r="C111" i="1"/>
  <c r="B111" i="1"/>
  <c r="E111" i="1" s="1"/>
  <c r="C124" i="1"/>
  <c r="B124" i="1"/>
  <c r="E124" i="1" s="1"/>
  <c r="B118" i="1"/>
  <c r="E118" i="1" s="1"/>
  <c r="C118" i="1"/>
  <c r="C120" i="1"/>
  <c r="B120" i="1"/>
  <c r="E120" i="1" s="1"/>
  <c r="AB56" i="2"/>
  <c r="B117" i="1" l="1"/>
  <c r="E117" i="1" s="1"/>
  <c r="C117" i="1"/>
  <c r="F112" i="1"/>
  <c r="D112" i="1"/>
  <c r="F120" i="1"/>
  <c r="D120" i="1"/>
  <c r="F124" i="1"/>
  <c r="D124" i="1"/>
  <c r="C123" i="1"/>
  <c r="B123" i="1"/>
  <c r="E123" i="1" s="1"/>
  <c r="C116" i="1"/>
  <c r="B116" i="1"/>
  <c r="E116" i="1" s="1"/>
  <c r="B125" i="1"/>
  <c r="E125" i="1" s="1"/>
  <c r="C125" i="1"/>
  <c r="F118" i="1"/>
  <c r="D118" i="1"/>
  <c r="B129" i="1"/>
  <c r="E129" i="1" s="1"/>
  <c r="C129" i="1"/>
  <c r="D111" i="1"/>
  <c r="F111" i="1"/>
  <c r="AC56" i="2"/>
  <c r="K60" i="2"/>
  <c r="B122" i="1" l="1"/>
  <c r="E122" i="1" s="1"/>
  <c r="C122" i="1"/>
  <c r="F117" i="1"/>
  <c r="D117" i="1"/>
  <c r="B130" i="1"/>
  <c r="E130" i="1" s="1"/>
  <c r="C130" i="1"/>
  <c r="F129" i="1"/>
  <c r="D129" i="1"/>
  <c r="B121" i="1"/>
  <c r="E121" i="1" s="1"/>
  <c r="C121" i="1"/>
  <c r="B134" i="1"/>
  <c r="E134" i="1" s="1"/>
  <c r="C134" i="1"/>
  <c r="F116" i="1"/>
  <c r="D116" i="1"/>
  <c r="C128" i="1"/>
  <c r="B128" i="1"/>
  <c r="E128" i="1" s="1"/>
  <c r="F125" i="1"/>
  <c r="D125" i="1"/>
  <c r="D123" i="1"/>
  <c r="F123" i="1"/>
  <c r="AD56" i="2"/>
  <c r="F122" i="1" l="1"/>
  <c r="D122" i="1"/>
  <c r="C127" i="1"/>
  <c r="B127" i="1"/>
  <c r="E127" i="1" s="1"/>
  <c r="F134" i="1"/>
  <c r="D134" i="1"/>
  <c r="F121" i="1"/>
  <c r="D121" i="1"/>
  <c r="C139" i="1"/>
  <c r="B139" i="1"/>
  <c r="E139" i="1" s="1"/>
  <c r="C133" i="1"/>
  <c r="B133" i="1"/>
  <c r="E133" i="1" s="1"/>
  <c r="F130" i="1"/>
  <c r="D130" i="1"/>
  <c r="B126" i="1"/>
  <c r="E126" i="1" s="1"/>
  <c r="C126" i="1"/>
  <c r="F128" i="1"/>
  <c r="D128" i="1"/>
  <c r="C135" i="1"/>
  <c r="B135" i="1"/>
  <c r="E135" i="1" s="1"/>
  <c r="AE56" i="2"/>
  <c r="B132" i="1" l="1"/>
  <c r="E132" i="1" s="1"/>
  <c r="C132" i="1"/>
  <c r="D127" i="1"/>
  <c r="F127" i="1"/>
  <c r="C140" i="1"/>
  <c r="B140" i="1"/>
  <c r="E140" i="1" s="1"/>
  <c r="B138" i="1"/>
  <c r="E138" i="1" s="1"/>
  <c r="C138" i="1"/>
  <c r="D135" i="1"/>
  <c r="F135" i="1"/>
  <c r="C144" i="1"/>
  <c r="B144" i="1"/>
  <c r="E144" i="1" s="1"/>
  <c r="D139" i="1"/>
  <c r="F139" i="1"/>
  <c r="F133" i="1"/>
  <c r="D133" i="1"/>
  <c r="F126" i="1"/>
  <c r="D126" i="1"/>
  <c r="C131" i="1"/>
  <c r="B131" i="1"/>
  <c r="E131" i="1" s="1"/>
  <c r="AF56" i="2"/>
  <c r="L60" i="2" s="1"/>
  <c r="F132" i="1" l="1"/>
  <c r="D132" i="1"/>
  <c r="C137" i="1"/>
  <c r="B137" i="1"/>
  <c r="E137" i="1" s="1"/>
  <c r="C143" i="1"/>
  <c r="B143" i="1"/>
  <c r="E143" i="1" s="1"/>
  <c r="C136" i="1"/>
  <c r="B136" i="1"/>
  <c r="E136" i="1" s="1"/>
  <c r="B149" i="1"/>
  <c r="E149" i="1" s="1"/>
  <c r="C149" i="1"/>
  <c r="C145" i="1"/>
  <c r="B145" i="1"/>
  <c r="E145" i="1" s="1"/>
  <c r="D131" i="1"/>
  <c r="F131" i="1"/>
  <c r="F138" i="1"/>
  <c r="D138" i="1"/>
  <c r="F144" i="1"/>
  <c r="D144" i="1"/>
  <c r="F140" i="1"/>
  <c r="D140" i="1"/>
  <c r="AG56" i="2"/>
  <c r="B142" i="1" l="1"/>
  <c r="E142" i="1" s="1"/>
  <c r="C142" i="1"/>
  <c r="F137" i="1"/>
  <c r="D137" i="1"/>
  <c r="C141" i="1"/>
  <c r="B141" i="1"/>
  <c r="E141" i="1" s="1"/>
  <c r="F145" i="1"/>
  <c r="D145" i="1"/>
  <c r="C148" i="1"/>
  <c r="B148" i="1"/>
  <c r="E148" i="1" s="1"/>
  <c r="B150" i="1"/>
  <c r="E150" i="1" s="1"/>
  <c r="C150" i="1"/>
  <c r="B154" i="1"/>
  <c r="E154" i="1" s="1"/>
  <c r="C154" i="1"/>
  <c r="F136" i="1"/>
  <c r="D136" i="1"/>
  <c r="F149" i="1"/>
  <c r="D149" i="1"/>
  <c r="D143" i="1"/>
  <c r="F143" i="1"/>
  <c r="AH56" i="2"/>
  <c r="F142" i="1" l="1"/>
  <c r="D142" i="1"/>
  <c r="C147" i="1"/>
  <c r="B147" i="1"/>
  <c r="E147" i="1" s="1"/>
  <c r="C153" i="1"/>
  <c r="B153" i="1"/>
  <c r="E153" i="1" s="1"/>
  <c r="F148" i="1"/>
  <c r="D148" i="1"/>
  <c r="C155" i="1"/>
  <c r="B155" i="1"/>
  <c r="E155" i="1" s="1"/>
  <c r="C159" i="1"/>
  <c r="B159" i="1"/>
  <c r="E159" i="1" s="1"/>
  <c r="F150" i="1"/>
  <c r="D150" i="1"/>
  <c r="F141" i="1"/>
  <c r="D141" i="1"/>
  <c r="F154" i="1"/>
  <c r="D154" i="1"/>
  <c r="B146" i="1"/>
  <c r="E146" i="1" s="1"/>
  <c r="C146" i="1"/>
  <c r="AI56" i="2"/>
  <c r="M60" i="2" s="1"/>
  <c r="C152" i="1" l="1"/>
  <c r="B152" i="1"/>
  <c r="E152" i="1" s="1"/>
  <c r="F147" i="1"/>
  <c r="D147" i="1"/>
  <c r="D155" i="1"/>
  <c r="F155" i="1"/>
  <c r="D159" i="1"/>
  <c r="F159" i="1"/>
  <c r="C151" i="1"/>
  <c r="B151" i="1"/>
  <c r="E151" i="1" s="1"/>
  <c r="C160" i="1"/>
  <c r="B160" i="1"/>
  <c r="E160" i="1" s="1"/>
  <c r="C164" i="1"/>
  <c r="B164" i="1"/>
  <c r="E164" i="1" s="1"/>
  <c r="F153" i="1"/>
  <c r="D153" i="1"/>
  <c r="F146" i="1"/>
  <c r="D146" i="1"/>
  <c r="B158" i="1"/>
  <c r="E158" i="1" s="1"/>
  <c r="C158" i="1"/>
  <c r="AJ56" i="2"/>
  <c r="F152" i="1" l="1"/>
  <c r="D152" i="1"/>
  <c r="B157" i="1"/>
  <c r="E157" i="1" s="1"/>
  <c r="C157" i="1"/>
  <c r="D151" i="1"/>
  <c r="F151" i="1"/>
  <c r="C156" i="1"/>
  <c r="B156" i="1"/>
  <c r="E156" i="1" s="1"/>
  <c r="C163" i="1"/>
  <c r="B163" i="1"/>
  <c r="E163" i="1" s="1"/>
  <c r="F164" i="1"/>
  <c r="D164" i="1"/>
  <c r="C165" i="1"/>
  <c r="B165" i="1"/>
  <c r="E165" i="1" s="1"/>
  <c r="F160" i="1"/>
  <c r="D160" i="1"/>
  <c r="C169" i="1"/>
  <c r="B169" i="1"/>
  <c r="E169" i="1" s="1"/>
  <c r="F158" i="1"/>
  <c r="D158" i="1"/>
  <c r="AK56" i="2"/>
  <c r="F157" i="1" l="1"/>
  <c r="D157" i="1"/>
  <c r="B162" i="1"/>
  <c r="E162" i="1" s="1"/>
  <c r="C162" i="1"/>
  <c r="F169" i="1"/>
  <c r="D169" i="1"/>
  <c r="C161" i="1"/>
  <c r="B161" i="1"/>
  <c r="E161" i="1" s="1"/>
  <c r="F165" i="1"/>
  <c r="D165" i="1"/>
  <c r="C168" i="1"/>
  <c r="B168" i="1"/>
  <c r="E168" i="1" s="1"/>
  <c r="D163" i="1"/>
  <c r="F163" i="1"/>
  <c r="F156" i="1"/>
  <c r="D156" i="1"/>
  <c r="B170" i="1"/>
  <c r="E170" i="1" s="1"/>
  <c r="C170" i="1"/>
  <c r="B174" i="1"/>
  <c r="E174" i="1" s="1"/>
  <c r="C174" i="1"/>
  <c r="AL56" i="2"/>
  <c r="N60" i="2"/>
  <c r="F162" i="1" l="1"/>
  <c r="D162" i="1"/>
  <c r="B167" i="1"/>
  <c r="E167" i="1" s="1"/>
  <c r="C167" i="1"/>
  <c r="F168" i="1"/>
  <c r="D168" i="1"/>
  <c r="F161" i="1"/>
  <c r="D161" i="1"/>
  <c r="C175" i="1"/>
  <c r="B175" i="1"/>
  <c r="E175" i="1" s="1"/>
  <c r="B166" i="1"/>
  <c r="E166" i="1" s="1"/>
  <c r="C166" i="1"/>
  <c r="F170" i="1"/>
  <c r="D170" i="1"/>
  <c r="C173" i="1"/>
  <c r="B173" i="1"/>
  <c r="E173" i="1" s="1"/>
  <c r="C179" i="1"/>
  <c r="B179" i="1"/>
  <c r="E179" i="1" s="1"/>
  <c r="F174" i="1"/>
  <c r="D174" i="1"/>
  <c r="AM56" i="2"/>
  <c r="D167" i="1" l="1"/>
  <c r="F167" i="1"/>
  <c r="C172" i="1"/>
  <c r="B172" i="1"/>
  <c r="E172" i="1" s="1"/>
  <c r="D175" i="1"/>
  <c r="F175" i="1"/>
  <c r="F166" i="1"/>
  <c r="D166" i="1"/>
  <c r="C180" i="1"/>
  <c r="B180" i="1"/>
  <c r="E180" i="1" s="1"/>
  <c r="D179" i="1"/>
  <c r="F179" i="1"/>
  <c r="C171" i="1"/>
  <c r="B171" i="1"/>
  <c r="E171" i="1" s="1"/>
  <c r="F173" i="1"/>
  <c r="D173" i="1"/>
  <c r="C184" i="1"/>
  <c r="B184" i="1"/>
  <c r="E184" i="1" s="1"/>
  <c r="B178" i="1"/>
  <c r="E178" i="1" s="1"/>
  <c r="C178" i="1"/>
  <c r="AN56" i="2"/>
  <c r="D172" i="1" l="1"/>
  <c r="F172" i="1"/>
  <c r="B177" i="1"/>
  <c r="E177" i="1" s="1"/>
  <c r="C177" i="1"/>
  <c r="F180" i="1"/>
  <c r="D180" i="1"/>
  <c r="C183" i="1"/>
  <c r="B183" i="1"/>
  <c r="E183" i="1" s="1"/>
  <c r="C176" i="1"/>
  <c r="B176" i="1"/>
  <c r="E176" i="1" s="1"/>
  <c r="D171" i="1"/>
  <c r="F171" i="1"/>
  <c r="F178" i="1"/>
  <c r="D178" i="1"/>
  <c r="C189" i="1"/>
  <c r="B189" i="1"/>
  <c r="E189" i="1" s="1"/>
  <c r="F184" i="1"/>
  <c r="D184" i="1"/>
  <c r="C185" i="1"/>
  <c r="B185" i="1"/>
  <c r="E185" i="1" s="1"/>
  <c r="AO56" i="2"/>
  <c r="O60" i="2" s="1"/>
  <c r="F177" i="1" l="1"/>
  <c r="D177" i="1"/>
  <c r="C182" i="1"/>
  <c r="B182" i="1"/>
  <c r="E182" i="1" s="1"/>
  <c r="C190" i="1"/>
  <c r="B190" i="1"/>
  <c r="E190" i="1" s="1"/>
  <c r="D189" i="1"/>
  <c r="F189" i="1"/>
  <c r="D185" i="1"/>
  <c r="F185" i="1"/>
  <c r="F176" i="1"/>
  <c r="D176" i="1"/>
  <c r="C181" i="1"/>
  <c r="B181" i="1"/>
  <c r="E181" i="1" s="1"/>
  <c r="F183" i="1"/>
  <c r="D183" i="1"/>
  <c r="C188" i="1"/>
  <c r="B188" i="1"/>
  <c r="E188" i="1" s="1"/>
  <c r="C194" i="1"/>
  <c r="B194" i="1"/>
  <c r="E194" i="1" s="1"/>
  <c r="AP56" i="2"/>
  <c r="C187" i="1" l="1"/>
  <c r="B187" i="1"/>
  <c r="E187" i="1" s="1"/>
  <c r="D182" i="1"/>
  <c r="F182" i="1"/>
  <c r="B199" i="1"/>
  <c r="E199" i="1" s="1"/>
  <c r="C199" i="1"/>
  <c r="D188" i="1"/>
  <c r="F188" i="1"/>
  <c r="F194" i="1"/>
  <c r="D194" i="1"/>
  <c r="B186" i="1"/>
  <c r="E186" i="1" s="1"/>
  <c r="C186" i="1"/>
  <c r="D181" i="1"/>
  <c r="F181" i="1"/>
  <c r="F190" i="1"/>
  <c r="D190" i="1"/>
  <c r="C193" i="1"/>
  <c r="B193" i="1"/>
  <c r="E193" i="1" s="1"/>
  <c r="B195" i="1"/>
  <c r="E195" i="1" s="1"/>
  <c r="C195" i="1"/>
  <c r="AQ56" i="2"/>
  <c r="D187" i="1" l="1"/>
  <c r="F187" i="1"/>
  <c r="C192" i="1"/>
  <c r="B192" i="1"/>
  <c r="E192" i="1" s="1"/>
  <c r="C200" i="1"/>
  <c r="B200" i="1"/>
  <c r="E200" i="1" s="1"/>
  <c r="C198" i="1"/>
  <c r="B198" i="1"/>
  <c r="E198" i="1" s="1"/>
  <c r="F195" i="1"/>
  <c r="D195" i="1"/>
  <c r="F186" i="1"/>
  <c r="D186" i="1"/>
  <c r="F199" i="1"/>
  <c r="D199" i="1"/>
  <c r="C204" i="1"/>
  <c r="B204" i="1"/>
  <c r="E204" i="1" s="1"/>
  <c r="D193" i="1"/>
  <c r="F193" i="1"/>
  <c r="C191" i="1"/>
  <c r="B191" i="1"/>
  <c r="E191" i="1" s="1"/>
  <c r="AR56" i="2"/>
  <c r="P60" i="2" s="1"/>
  <c r="B197" i="1" l="1"/>
  <c r="E197" i="1" s="1"/>
  <c r="C197" i="1"/>
  <c r="D192" i="1"/>
  <c r="F192" i="1"/>
  <c r="F198" i="1"/>
  <c r="D198" i="1"/>
  <c r="C203" i="1"/>
  <c r="B203" i="1"/>
  <c r="E203" i="1" s="1"/>
  <c r="F200" i="1"/>
  <c r="D200" i="1"/>
  <c r="C209" i="1"/>
  <c r="B209" i="1"/>
  <c r="E209" i="1" s="1"/>
  <c r="F191" i="1"/>
  <c r="D191" i="1"/>
  <c r="C196" i="1"/>
  <c r="B196" i="1"/>
  <c r="E196" i="1" s="1"/>
  <c r="C205" i="1"/>
  <c r="B205" i="1"/>
  <c r="E205" i="1" s="1"/>
  <c r="F204" i="1"/>
  <c r="D204" i="1"/>
  <c r="AS56" i="2"/>
  <c r="D197" i="1" l="1"/>
  <c r="F197" i="1"/>
  <c r="C202" i="1"/>
  <c r="B202" i="1"/>
  <c r="E202" i="1" s="1"/>
  <c r="C210" i="1"/>
  <c r="B210" i="1"/>
  <c r="E210" i="1" s="1"/>
  <c r="C214" i="1"/>
  <c r="B214" i="1"/>
  <c r="E214" i="1" s="1"/>
  <c r="D205" i="1"/>
  <c r="F205" i="1"/>
  <c r="D209" i="1"/>
  <c r="F209" i="1"/>
  <c r="C201" i="1"/>
  <c r="B201" i="1"/>
  <c r="E201" i="1" s="1"/>
  <c r="F203" i="1"/>
  <c r="D203" i="1"/>
  <c r="C208" i="1"/>
  <c r="B208" i="1"/>
  <c r="E208" i="1" s="1"/>
  <c r="F196" i="1"/>
  <c r="D196" i="1"/>
  <c r="AT56" i="2"/>
  <c r="D202" i="1" l="1"/>
  <c r="F202" i="1"/>
  <c r="C207" i="1"/>
  <c r="B207" i="1"/>
  <c r="E207" i="1" s="1"/>
  <c r="C206" i="1"/>
  <c r="B206" i="1"/>
  <c r="E206" i="1" s="1"/>
  <c r="C213" i="1"/>
  <c r="B213" i="1"/>
  <c r="E213" i="1" s="1"/>
  <c r="F214" i="1"/>
  <c r="D214" i="1"/>
  <c r="F208" i="1"/>
  <c r="D208" i="1"/>
  <c r="D201" i="1"/>
  <c r="F201" i="1"/>
  <c r="F210" i="1"/>
  <c r="D210" i="1"/>
  <c r="C219" i="1"/>
  <c r="B219" i="1"/>
  <c r="E219" i="1" s="1"/>
  <c r="C215" i="1"/>
  <c r="B215" i="1"/>
  <c r="E215" i="1" s="1"/>
  <c r="AU56" i="2"/>
  <c r="Q60" i="2" s="1"/>
  <c r="F207" i="1" l="1"/>
  <c r="D207" i="1"/>
  <c r="B212" i="1"/>
  <c r="E212" i="1" s="1"/>
  <c r="C212" i="1"/>
  <c r="C224" i="1"/>
  <c r="B224" i="1"/>
  <c r="E224" i="1" s="1"/>
  <c r="F215" i="1"/>
  <c r="D215" i="1"/>
  <c r="C220" i="1"/>
  <c r="B220" i="1"/>
  <c r="E220" i="1" s="1"/>
  <c r="B218" i="1"/>
  <c r="E218" i="1" s="1"/>
  <c r="C218" i="1"/>
  <c r="D213" i="1"/>
  <c r="F213" i="1"/>
  <c r="C211" i="1"/>
  <c r="B211" i="1"/>
  <c r="E211" i="1" s="1"/>
  <c r="F219" i="1"/>
  <c r="D219" i="1"/>
  <c r="F206" i="1"/>
  <c r="D206" i="1"/>
  <c r="AV56" i="2"/>
  <c r="F212" i="1" l="1"/>
  <c r="D212" i="1"/>
  <c r="C217" i="1"/>
  <c r="B217" i="1"/>
  <c r="E217" i="1" s="1"/>
  <c r="C225" i="1"/>
  <c r="B225" i="1"/>
  <c r="E225" i="1" s="1"/>
  <c r="C216" i="1"/>
  <c r="B216" i="1"/>
  <c r="E216" i="1" s="1"/>
  <c r="F218" i="1"/>
  <c r="D218" i="1"/>
  <c r="C229" i="1"/>
  <c r="B229" i="1"/>
  <c r="E229" i="1" s="1"/>
  <c r="D211" i="1"/>
  <c r="F211" i="1"/>
  <c r="D220" i="1"/>
  <c r="F220" i="1"/>
  <c r="B223" i="1"/>
  <c r="E223" i="1" s="1"/>
  <c r="C223" i="1"/>
  <c r="D224" i="1"/>
  <c r="F224" i="1"/>
  <c r="AW56" i="2"/>
  <c r="C222" i="1" l="1"/>
  <c r="B222" i="1"/>
  <c r="E222" i="1" s="1"/>
  <c r="F217" i="1"/>
  <c r="D217" i="1"/>
  <c r="C221" i="1"/>
  <c r="B221" i="1"/>
  <c r="E221" i="1" s="1"/>
  <c r="C228" i="1"/>
  <c r="B228" i="1"/>
  <c r="E228" i="1" s="1"/>
  <c r="C230" i="1"/>
  <c r="B230" i="1"/>
  <c r="E230" i="1" s="1"/>
  <c r="F223" i="1"/>
  <c r="D223" i="1"/>
  <c r="F216" i="1"/>
  <c r="D216" i="1"/>
  <c r="D229" i="1"/>
  <c r="F229" i="1"/>
  <c r="D225" i="1"/>
  <c r="F225" i="1"/>
  <c r="AX56" i="2"/>
  <c r="R60" i="2" s="1"/>
  <c r="F222" i="1" l="1"/>
  <c r="D222" i="1"/>
  <c r="C227" i="1"/>
  <c r="B227" i="1"/>
  <c r="E227" i="1" s="1"/>
  <c r="F230" i="1"/>
  <c r="D230" i="1"/>
  <c r="F228" i="1"/>
  <c r="D228" i="1"/>
  <c r="C226" i="1"/>
  <c r="B226" i="1"/>
  <c r="E226" i="1" s="1"/>
  <c r="D221" i="1"/>
  <c r="F221" i="1"/>
  <c r="AY56" i="2"/>
  <c r="S60" i="2" s="1"/>
  <c r="F227" i="1" l="1"/>
  <c r="D227" i="1"/>
  <c r="B231" i="1"/>
  <c r="E231" i="1" s="1"/>
  <c r="C231" i="1"/>
  <c r="F226" i="1"/>
  <c r="D226" i="1"/>
  <c r="F231" i="1" l="1"/>
  <c r="D231" i="1"/>
  <c r="C23" i="2" l="1"/>
  <c r="C56" i="2" l="1"/>
  <c r="C60" i="2" s="1"/>
  <c r="C40" i="2"/>
  <c r="C42" i="2" l="1"/>
  <c r="AJ4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<sst xmlns="http://schemas.openxmlformats.org/spreadsheetml/2006/main" count="789" uniqueCount="512">
  <si>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</si>
  <si>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</si>
  <si>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</si>
  <si>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</si>
  <si>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</si>
  <si>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</si>
  <si>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</si>
  <si>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</si>
  <si>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</si>
  <si>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</si>
  <si>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</si>
  <si>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</si>
  <si>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</si>
  <si>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</si>
  <si>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</si>
  <si>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</si>
  <si>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</si>
  <si>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</si>
  <si>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</si>
  <si>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</si>
  <si>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</si>
  <si>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</si>
  <si>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</si>
  <si>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</si>
  <si>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</si>
  <si>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</si>
  <si>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</si>
  <si>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</si>
  <si>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</si>
  <si>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</si>
  <si>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</si>
  <si>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</si>
  <si>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</si>
  <si>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</si>
  <si>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</si>
  <si>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</si>
  <si>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</si>
  <si>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</si>
  <si>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</si>
  <si>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</si>
  <si>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</si>
  <si>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</si>
  <si>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</si>
  <si>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</si>
  <si>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</si>
  <si>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</si>
  <si>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</si>
  <si>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</si>
  <si>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</si>
  <si>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</si>
  <si>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</si>
  <si>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</si>
  <si>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</si>
  <si>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</si>
  <si>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</si>
  <si>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</si>
  <si>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</si>
  <si>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</si>
  <si>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</si>
  <si>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</si>
  <si>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</si>
  <si>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</si>
  <si>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</si>
  <si>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</si>
  <si>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20240101 !D</t>
  </si>
  <si>
    <t>20240101</t>
  </si>
  <si>
    <t>.DTLM</t>
  </si>
  <si>
    <t>.LSOURCE</t>
  </si>
  <si>
    <t>.TN</t>
  </si>
  <si>
    <t>.T1</t>
  </si>
  <si>
    <t>.DESC</t>
  </si>
  <si>
    <t>Bank of England</t>
  </si>
  <si>
    <t>06-Nov-2024</t>
  </si>
  <si>
    <t>01-Jan-1953</t>
  </si>
  <si>
    <t>United Kingdom: Official Bank Rate (%)</t>
  </si>
  <si>
    <t>Nov-07-2024 09:31</t>
  </si>
  <si>
    <t>05-Nov-2024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</si>
  <si>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</si>
  <si>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</si>
  <si>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</si>
  <si>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</si>
  <si>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</si>
  <si>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</si>
  <si>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</si>
  <si>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</si>
  <si>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</si>
  <si>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</si>
  <si>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</si>
  <si>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</si>
  <si>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</si>
  <si>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</si>
  <si>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</si>
  <si>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</si>
  <si>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</si>
  <si>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</si>
  <si>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</si>
  <si>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</si>
  <si>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</si>
  <si>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</si>
  <si>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</si>
  <si>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</si>
  <si>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</si>
  <si>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</si>
  <si>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</si>
  <si>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</si>
  <si>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</si>
  <si>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</si>
  <si>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</si>
  <si>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</si>
  <si>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</si>
  <si>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</si>
  <si>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</si>
  <si>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</si>
  <si>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</si>
  <si>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</si>
  <si>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</si>
  <si>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</si>
  <si>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</si>
  <si>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</si>
  <si>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</si>
  <si>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</si>
  <si>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</si>
  <si>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</si>
  <si>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</si>
  <si>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</si>
  <si>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</si>
  <si>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</si>
  <si>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</si>
  <si>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</si>
  <si>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</si>
  <si>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</si>
  <si>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</si>
  <si>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</si>
  <si>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</si>
  <si>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</si>
  <si>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</si>
  <si>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</si>
  <si>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</si>
  <si>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</si>
  <si>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</si>
  <si>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</si>
  <si>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</si>
  <si>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</si>
  <si>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</si>
  <si>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</si>
  <si>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</si>
  <si>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</si>
  <si>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</si>
  <si>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</si>
  <si>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</si>
  <si>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</si>
  <si>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</si>
  <si>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</si>
  <si>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</si>
  <si>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</si>
  <si>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</si>
  <si>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</si>
  <si>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</si>
  <si>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</si>
  <si>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</si>
  <si>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</si>
  <si>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</si>
  <si>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</si>
  <si>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</si>
  <si>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</si>
  <si>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</si>
  <si>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</si>
  <si>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</si>
  <si>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</si>
  <si>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</si>
  <si>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</si>
  <si>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</si>
  <si>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</si>
  <si>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</si>
  <si>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</si>
  <si>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</si>
  <si>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</si>
  <si>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</si>
  <si>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</si>
  <si>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</si>
  <si>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</si>
  <si>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</si>
  <si>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</si>
  <si>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</si>
  <si>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</si>
  <si>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</si>
  <si>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</si>
  <si>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</si>
  <si>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</si>
  <si>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</si>
  <si>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</si>
  <si>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</si>
  <si>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</si>
  <si>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</si>
  <si>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</si>
  <si>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</si>
  <si>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</si>
  <si>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</si>
  <si>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</si>
  <si>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</si>
  <si>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</si>
  <si>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</si>
  <si>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</si>
  <si>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</si>
  <si>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</si>
  <si>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</si>
  <si>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</si>
  <si>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</si>
  <si>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</si>
  <si>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</si>
  <si>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</si>
  <si>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</si>
  <si>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</si>
  <si>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</si>
  <si>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</si>
  <si>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</si>
  <si>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</si>
  <si>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</si>
  <si>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</si>
  <si>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</si>
  <si>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</si>
  <si>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</si>
  <si>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</si>
  <si>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</si>
  <si>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</si>
  <si>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</si>
  <si>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</si>
  <si>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</si>
  <si>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</si>
  <si>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</si>
  <si>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</si>
  <si>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</si>
  <si>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</si>
  <si>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</si>
  <si>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</si>
  <si>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</si>
  <si>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</si>
  <si>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</si>
  <si>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</si>
  <si>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</si>
  <si>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</si>
  <si>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</si>
  <si>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</si>
  <si>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</si>
  <si>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</si>
  <si>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</si>
  <si>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</si>
  <si>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</si>
  <si>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</si>
  <si>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</si>
  <si>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</si>
  <si>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</si>
  <si>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</si>
  <si>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</si>
  <si>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</si>
  <si>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</si>
  <si>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</si>
  <si>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</si>
  <si>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</si>
  <si>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</si>
  <si>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</si>
  <si>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</si>
  <si>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</si>
  <si>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</si>
  <si>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</si>
  <si>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</si>
  <si>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</si>
  <si>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</si>
  <si>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</si>
  <si>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</si>
  <si>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</si>
  <si>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</si>
  <si>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</si>
  <si>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</si>
  <si>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</si>
  <si>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</si>
  <si>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</si>
  <si>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</si>
  <si>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</si>
  <si>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</si>
  <si>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</si>
  <si>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</si>
  <si>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</si>
  <si>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</si>
  <si>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</si>
  <si>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</si>
  <si>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</si>
  <si>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</si>
  <si>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</si>
  <si>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</si>
  <si>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</si>
  <si>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</si>
  <si>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</si>
  <si>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</si>
  <si>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</si>
  <si>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</si>
  <si>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</si>
  <si>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</si>
  <si>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</si>
  <si>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</si>
  <si>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</si>
  <si>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</si>
  <si>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</si>
  <si>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</si>
  <si>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</si>
  <si>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</si>
  <si>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</si>
  <si>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</si>
  <si>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</si>
  <si>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</si>
  <si>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</si>
  <si>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</si>
  <si>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</si>
  <si>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</si>
  <si>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</si>
  <si>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</si>
  <si>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</si>
  <si>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</si>
  <si>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</si>
  <si>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</si>
  <si>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</si>
  <si>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</si>
  <si>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</si>
  <si>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</si>
  <si>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</si>
  <si>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</si>
  <si>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</si>
  <si>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</si>
  <si>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</si>
  <si>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</si>
  <si>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</si>
  <si>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</si>
  <si>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</si>
  <si>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</si>
  <si>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</si>
  <si>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</si>
  <si>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</si>
  <si>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</si>
  <si>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</si>
  <si>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</si>
  <si>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</si>
  <si>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</si>
  <si>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</si>
  <si>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</si>
  <si>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</si>
  <si>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</si>
  <si>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</si>
  <si>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</si>
  <si>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</si>
  <si>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</si>
  <si>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</si>
  <si>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</si>
  <si>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</si>
  <si>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</si>
  <si>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</si>
  <si>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</si>
  <si>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</si>
  <si>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</si>
  <si>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</si>
  <si>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</si>
  <si>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</si>
  <si>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</si>
  <si>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</si>
  <si>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</si>
  <si>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</si>
  <si>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</si>
  <si>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</si>
  <si>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</si>
  <si>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</si>
  <si>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</si>
  <si>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</si>
  <si>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</si>
  <si>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</si>
  <si>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</si>
  <si>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</si>
  <si>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</si>
  <si>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</si>
  <si>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November MPR</t>
  </si>
  <si>
    <t>15 working days to 28 Oct 2024</t>
  </si>
  <si>
    <t>Date</t>
  </si>
  <si>
    <t>Bank Rate</t>
  </si>
  <si>
    <t>Overnight</t>
  </si>
  <si>
    <t>5.5yrs</t>
  </si>
  <si>
    <t>6yrs</t>
  </si>
  <si>
    <t>6th November</t>
  </si>
  <si>
    <t>Difference</t>
  </si>
  <si>
    <t>202001 !M</t>
  </si>
  <si>
    <t>202001</t>
  </si>
  <si>
    <t>Jan-1953 &lt;- 01-Jan-1953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</si>
  <si>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</si>
  <si>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</si>
  <si>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</si>
  <si>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</si>
  <si>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</si>
  <si>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</si>
  <si>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</si>
  <si>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</si>
  <si>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</si>
  <si>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</si>
  <si>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</si>
  <si>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</si>
  <si>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</si>
  <si>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</si>
  <si>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</si>
  <si>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</si>
  <si>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</si>
  <si>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</si>
  <si>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</si>
  <si>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</si>
  <si>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</si>
  <si>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</si>
  <si>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</si>
  <si>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</si>
  <si>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</si>
  <si>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</si>
  <si>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</si>
  <si>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</si>
  <si>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</si>
  <si>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</si>
  <si>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</si>
  <si>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</si>
  <si>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</si>
  <si>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</si>
  <si>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</si>
  <si>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</si>
  <si>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</si>
  <si>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</si>
  <si>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</si>
  <si>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</si>
  <si>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</si>
  <si>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</si>
  <si>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</si>
  <si>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</si>
  <si>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</si>
  <si>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</si>
  <si>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</si>
  <si>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</si>
  <si>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</si>
  <si>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</si>
  <si>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</si>
  <si>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</si>
  <si>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</si>
  <si>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</si>
  <si>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</si>
  <si>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</si>
  <si>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</si>
  <si>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Chart data</t>
  </si>
  <si>
    <t>Nov-07-2024 12:05</t>
  </si>
  <si>
    <t>07-Nov-2024</t>
  </si>
  <si>
    <t>Oct-2024 &lt;- 07-Nov-2024</t>
  </si>
  <si>
    <t>Nov-07-2024 12:47</t>
  </si>
  <si>
    <t>November meeting</t>
  </si>
  <si>
    <t>August meeting</t>
  </si>
  <si>
    <t>UNPD@UK</t>
  </si>
  <si>
    <t>UNPM@UK</t>
  </si>
  <si>
    <t>yryr%(D7BT@UK)</t>
  </si>
  <si>
    <t>UNPD243@UK</t>
  </si>
  <si>
    <t>UNPM243@UK</t>
  </si>
  <si>
    <t>20191 !Q</t>
  </si>
  <si>
    <t>20191</t>
  </si>
  <si>
    <t>Nov-07-2024 12:04</t>
  </si>
  <si>
    <t>Q4-2027</t>
  </si>
  <si>
    <t>Q4-2024</t>
  </si>
  <si>
    <t>UK: BoE CPI Projections Based on Expected Interest Rate: Mode (Y/Y % Chg)</t>
  </si>
  <si>
    <t>UK: BoE CPI Projections Based on Expected Interest Rate: Median (Y/Y % Chg)</t>
  </si>
  <si>
    <t>Oct-16-2024 07:06</t>
  </si>
  <si>
    <t>Office for National Statistics</t>
  </si>
  <si>
    <t>Q3-2024 &lt;- Sep-2024</t>
  </si>
  <si>
    <t>Q1-1988 &lt;- Jan-1988</t>
  </si>
  <si>
    <t>UK: Consumer Price Index: All Items (NSA, 2015=100) % Change - Year to Year</t>
  </si>
  <si>
    <t>Aug-01-2024 13:36</t>
  </si>
  <si>
    <t>Discontinued</t>
  </si>
  <si>
    <t>Q3-2027</t>
  </si>
  <si>
    <t>Q3-2024</t>
  </si>
  <si>
    <t>UK: BoE CPI Projections Based on Exp Interest Rate: Mode [Q3-24] (Y/Y % Chg)</t>
  </si>
  <si>
    <t>UK: BoE CPI Proj Based on Expected Interest Rate: Median [Q3-24] (Y/Y % Chg)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</si>
  <si>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</si>
  <si>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</si>
  <si>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</si>
  <si>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</si>
  <si>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</si>
  <si>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</si>
  <si>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</si>
  <si>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</si>
  <si>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</si>
  <si>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</si>
  <si>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</si>
  <si>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</si>
  <si>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</si>
  <si>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</si>
  <si>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</si>
  <si>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</si>
  <si>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</si>
  <si>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</si>
  <si>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</si>
  <si>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</si>
  <si>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</si>
  <si>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</si>
  <si>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</si>
  <si>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</si>
  <si>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</si>
  <si>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</si>
  <si>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</si>
  <si>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</si>
  <si>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</si>
  <si>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</si>
  <si>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</si>
  <si>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</si>
  <si>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</si>
  <si>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20273</t>
  </si>
  <si>
    <t>20274</t>
  </si>
  <si>
    <t>2%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</si>
</sst>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7" fontId="1" fillId="0" borderId="0" xfId="0" applyNumberFormat="1" applyFont="1"/>
    <xf numFmtId="0" fontId="1" fillId="0" borderId="0" xfId="0" applyFont="1"/>
    <xf numFmtId="14" fontId="0" fillId="0" borderId="0" xfId="0" applyNumberFormat="1"/>
    <xf numFmtId="14" fontId="0" fillId="2" borderId="0" xfId="0" applyNumberFormat="1" applyFill="1"/>
    <xf numFmtId="2" fontId="0" fillId="0" borderId="0" xfId="0" applyNumberFormat="1"/>
    <xf numFmtId="14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3" fillId="0" borderId="0" xfId="1"/>
    <xf numFmtId="10" fontId="0" fillId="0" borderId="0" xfId="0" applyNumberFormat="1"/>
    <xf numFmtId="17" fontId="0" fillId="0" borderId="0" xfId="0" applyNumberFormat="1"/>
    <xf numFmtId="2" fontId="2" fillId="0" borderId="0" xfId="0" applyNumberFormat="1" applyFont="1"/>
    <xf numFmtId="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microsoft.com/office/2017/06/relationships/rdRichValue" Target="richData/rdrichvalue.xml"/><Relationship Id="rId5" Type="http://schemas.openxmlformats.org/officeDocument/2006/relationships/chartsheet" Target="chartsheets/sheet2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36027055427005E-2"/>
          <c:y val="0.14710460839166137"/>
          <c:w val="0.88236298715802419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Data'!$C$46:$BJ$46</c:f>
              <c:numCache>
                <c:formatCode>0.00</c:formatCode>
                <c:ptCount val="60"/>
                <c:pt idx="0">
                  <c:v>0.25</c:v>
                </c:pt>
                <c:pt idx="1">
                  <c:v>0.47499999999999998</c:v>
                </c:pt>
                <c:pt idx="2">
                  <c:v>0.61956521739130432</c:v>
                </c:pt>
                <c:pt idx="3">
                  <c:v>0.75</c:v>
                </c:pt>
                <c:pt idx="4">
                  <c:v>0.96590909090909094</c:v>
                </c:pt>
                <c:pt idx="5">
                  <c:v>1.125</c:v>
                </c:pt>
                <c:pt idx="6">
                  <c:v>1.25</c:v>
                </c:pt>
                <c:pt idx="7">
                  <c:v>1.6847826086956521</c:v>
                </c:pt>
                <c:pt idx="8">
                  <c:v>1.9090909090909092</c:v>
                </c:pt>
                <c:pt idx="9">
                  <c:v>2.25</c:v>
                </c:pt>
                <c:pt idx="10">
                  <c:v>2.9318181818181817</c:v>
                </c:pt>
                <c:pt idx="11">
                  <c:v>3.2727272727272729</c:v>
                </c:pt>
                <c:pt idx="12">
                  <c:v>3.5</c:v>
                </c:pt>
                <c:pt idx="13">
                  <c:v>3.9750000000000001</c:v>
                </c:pt>
                <c:pt idx="14">
                  <c:v>4.0760869565217392</c:v>
                </c:pt>
                <c:pt idx="15">
                  <c:v>4.25</c:v>
                </c:pt>
                <c:pt idx="16">
                  <c:v>4.4130434782608692</c:v>
                </c:pt>
                <c:pt idx="17">
                  <c:v>4.6590909090909092</c:v>
                </c:pt>
                <c:pt idx="18">
                  <c:v>5</c:v>
                </c:pt>
                <c:pt idx="19">
                  <c:v>5.2282608695652177</c:v>
                </c:pt>
                <c:pt idx="20">
                  <c:v>5.25</c:v>
                </c:pt>
                <c:pt idx="21">
                  <c:v>5.25</c:v>
                </c:pt>
                <c:pt idx="22">
                  <c:v>5.25</c:v>
                </c:pt>
                <c:pt idx="23">
                  <c:v>5.25</c:v>
                </c:pt>
                <c:pt idx="24">
                  <c:v>5.25</c:v>
                </c:pt>
                <c:pt idx="25">
                  <c:v>5.25</c:v>
                </c:pt>
                <c:pt idx="26">
                  <c:v>5.25</c:v>
                </c:pt>
                <c:pt idx="27">
                  <c:v>5.25</c:v>
                </c:pt>
                <c:pt idx="28">
                  <c:v>5.25</c:v>
                </c:pt>
                <c:pt idx="29">
                  <c:v>5.25</c:v>
                </c:pt>
                <c:pt idx="30">
                  <c:v>5.25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Data'!$B$47</c:f>
              <c:strCache>
                <c:ptCount val="1"/>
                <c:pt idx="0">
                  <c:v>November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Data'!$C$47:$BJ$47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4.9500000000000011</c:v>
                </c:pt>
                <c:pt idx="34">
                  <c:v>4.7578201533333324</c:v>
                </c:pt>
                <c:pt idx="35">
                  <c:v>4.6327905800000009</c:v>
                </c:pt>
                <c:pt idx="36">
                  <c:v>4.5073895000000004</c:v>
                </c:pt>
                <c:pt idx="37">
                  <c:v>4.3782998599999994</c:v>
                </c:pt>
                <c:pt idx="38">
                  <c:v>4.2492231866666668</c:v>
                </c:pt>
                <c:pt idx="39">
                  <c:v>4.1275688800000001</c:v>
                </c:pt>
                <c:pt idx="40">
                  <c:v>4.019783686666667</c:v>
                </c:pt>
                <c:pt idx="41">
                  <c:v>3.9295368000000002</c:v>
                </c:pt>
                <c:pt idx="42">
                  <c:v>3.8578716466666667</c:v>
                </c:pt>
                <c:pt idx="43">
                  <c:v>3.8034497733333335</c:v>
                </c:pt>
                <c:pt idx="44">
                  <c:v>3.7639751933333327</c:v>
                </c:pt>
                <c:pt idx="45">
                  <c:v>3.7365498866666664</c:v>
                </c:pt>
                <c:pt idx="46">
                  <c:v>3.7168122066666665</c:v>
                </c:pt>
                <c:pt idx="47">
                  <c:v>3.7028005266666661</c:v>
                </c:pt>
                <c:pt idx="48">
                  <c:v>3.6933273200000003</c:v>
                </c:pt>
                <c:pt idx="49">
                  <c:v>3.6872050133333336</c:v>
                </c:pt>
                <c:pt idx="50">
                  <c:v>3.6832461333333333</c:v>
                </c:pt>
                <c:pt idx="51">
                  <c:v>3.6802631199999998</c:v>
                </c:pt>
                <c:pt idx="52">
                  <c:v>3.6772711400000007</c:v>
                </c:pt>
                <c:pt idx="53">
                  <c:v>3.6740797733333328</c:v>
                </c:pt>
                <c:pt idx="54">
                  <c:v>3.670694066666667</c:v>
                </c:pt>
                <c:pt idx="55">
                  <c:v>3.6671191733333335</c:v>
                </c:pt>
                <c:pt idx="56">
                  <c:v>3.6633601733333325</c:v>
                </c:pt>
                <c:pt idx="57">
                  <c:v>3.6594222200000006</c:v>
                </c:pt>
                <c:pt idx="58">
                  <c:v>3.6553149533333329</c:v>
                </c:pt>
                <c:pt idx="59">
                  <c:v>3.6510663866666673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Data'!$B$48</c:f>
              <c:strCache>
                <c:ptCount val="1"/>
                <c:pt idx="0">
                  <c:v>6th November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Data'!$C$45:$BJ$45</c:f>
              <c:numCache>
                <c:formatCode>m/d/yyyy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Data'!$C$48:$BJ$48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4.95</c:v>
                </c:pt>
                <c:pt idx="34">
                  <c:v>4.7055059999999997</c:v>
                </c:pt>
                <c:pt idx="35">
                  <c:v>4.6352969999999996</c:v>
                </c:pt>
                <c:pt idx="36">
                  <c:v>4.5488242000000003</c:v>
                </c:pt>
                <c:pt idx="37">
                  <c:v>4.4563582999999998</c:v>
                </c:pt>
                <c:pt idx="38">
                  <c:v>4.3713069000000004</c:v>
                </c:pt>
                <c:pt idx="39">
                  <c:v>4.2991425999999997</c:v>
                </c:pt>
                <c:pt idx="40">
                  <c:v>4.2425509999999997</c:v>
                </c:pt>
                <c:pt idx="41">
                  <c:v>4.2017391999999996</c:v>
                </c:pt>
                <c:pt idx="42">
                  <c:v>4.1752247000000002</c:v>
                </c:pt>
                <c:pt idx="43">
                  <c:v>4.1602588999999996</c:v>
                </c:pt>
                <c:pt idx="44">
                  <c:v>4.1541492</c:v>
                </c:pt>
                <c:pt idx="45">
                  <c:v>4.1539543999999999</c:v>
                </c:pt>
                <c:pt idx="46">
                  <c:v>4.1559362000000002</c:v>
                </c:pt>
                <c:pt idx="47">
                  <c:v>4.1587442000000001</c:v>
                </c:pt>
                <c:pt idx="48">
                  <c:v>4.1617227000000003</c:v>
                </c:pt>
                <c:pt idx="49">
                  <c:v>4.1642158</c:v>
                </c:pt>
                <c:pt idx="50">
                  <c:v>4.1655677999999998</c:v>
                </c:pt>
                <c:pt idx="51">
                  <c:v>4.1651230000000004</c:v>
                </c:pt>
                <c:pt idx="52">
                  <c:v>4.1624097999999998</c:v>
                </c:pt>
                <c:pt idx="53">
                  <c:v>4.1575927000000004</c:v>
                </c:pt>
                <c:pt idx="54">
                  <c:v>4.1509733999999998</c:v>
                </c:pt>
                <c:pt idx="55">
                  <c:v>4.1428533999999999</c:v>
                </c:pt>
                <c:pt idx="56">
                  <c:v>4.1335344000000003</c:v>
                </c:pt>
                <c:pt idx="57">
                  <c:v>4.1233179</c:v>
                </c:pt>
                <c:pt idx="58">
                  <c:v>4.1124688000000003</c:v>
                </c:pt>
                <c:pt idx="59">
                  <c:v>4.1011052000000001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4006877790334218"/>
          <c:y val="0.11617917315780725"/>
          <c:w val="0.38546435409986413"/>
          <c:h val="0.1805600472160378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5483601095628879"/>
          <c:w val="0.92953574675323647"/>
          <c:h val="0.72830331407327764"/>
        </c:manualLayout>
      </c:layout>
      <c:lineChart>
        <c:grouping val="standard"/>
        <c:varyColors val="0"/>
        <c:ser>
          <c:idx val="0"/>
          <c:order val="0"/>
          <c:tx>
            <c:strRef>
              <c:f>'Haver Q'!$K$9</c:f>
              <c:strCache>
                <c:ptCount val="1"/>
                <c:pt idx="0">
                  <c:v>Nov-24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'Haver Q'!$J$10:$J$44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Q'!$K$10:$K$44</c:f>
              <c:numCache>
                <c:formatCode>General</c:formatCode>
                <c:ptCount val="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2.1108850457782102</c:v>
                </c:pt>
                <c:pt idx="22">
                  <c:v>2.0547945205479312</c:v>
                </c:pt>
                <c:pt idx="23" formatCode="0.00">
                  <c:v>2.4</c:v>
                </c:pt>
                <c:pt idx="24" formatCode="0.00">
                  <c:v>2.4</c:v>
                </c:pt>
                <c:pt idx="25" formatCode="0.00">
                  <c:v>2.6</c:v>
                </c:pt>
                <c:pt idx="26" formatCode="0.00">
                  <c:v>2.8</c:v>
                </c:pt>
                <c:pt idx="27" formatCode="0.00">
                  <c:v>2.7</c:v>
                </c:pt>
                <c:pt idx="28" formatCode="0.00">
                  <c:v>2.6</c:v>
                </c:pt>
                <c:pt idx="29" formatCode="0.00">
                  <c:v>2.4</c:v>
                </c:pt>
                <c:pt idx="30" formatCode="0.00">
                  <c:v>2.2999999999999998</c:v>
                </c:pt>
                <c:pt idx="31" formatCode="0.00">
                  <c:v>2.2000000000000002</c:v>
                </c:pt>
                <c:pt idx="32" formatCode="0.00">
                  <c:v>2.1</c:v>
                </c:pt>
                <c:pt idx="33" formatCode="0.00">
                  <c:v>1.9</c:v>
                </c:pt>
                <c:pt idx="34" formatCode="0.00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'Haver Q'!$L$9</c:f>
              <c:strCache>
                <c:ptCount val="1"/>
                <c:pt idx="0">
                  <c:v>Aug-24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'Haver Q'!$J$10:$J$44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Q'!$L$10:$L$44</c:f>
              <c:numCache>
                <c:formatCode>0.00</c:formatCode>
                <c:ptCount val="35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2.1108850457782102</c:v>
                </c:pt>
                <c:pt idx="22">
                  <c:v>2.2999999999999998</c:v>
                </c:pt>
                <c:pt idx="23">
                  <c:v>2.7</c:v>
                </c:pt>
                <c:pt idx="24">
                  <c:v>2.7</c:v>
                </c:pt>
                <c:pt idx="25">
                  <c:v>2.6</c:v>
                </c:pt>
                <c:pt idx="26">
                  <c:v>2.4</c:v>
                </c:pt>
                <c:pt idx="27">
                  <c:v>2.2000000000000002</c:v>
                </c:pt>
                <c:pt idx="28">
                  <c:v>2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'Haver Q'!$M$9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cat>
            <c:strRef>
              <c:f>'Haver Q'!$J$10:$J$44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Q'!$M$10:$M$44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3140645487200112"/>
          <c:y val="0.22606901949497807"/>
          <c:w val="0.18243667006214853"/>
          <c:h val="0.1204684817121736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529AED-AF33-40CE-AD99-6B80B27D610D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392160-8859-4D91-9CC6-2A54B0E84C93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79F2A-0C7D-2F30-192C-623DF28042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81A13D-B88B-7091-C529-FE6E998CF1B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2.25514E-17</cdr:x>
      <cdr:y>0.93914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B77CE1E-8317-C021-7C2E-DCD5E1CF7BD3}"/>
            </a:ext>
          </a:extLst>
        </cdr:cNvPr>
        <cdr:cNvSpPr/>
      </cdr:nvSpPr>
      <cdr:spPr>
        <a:xfrm xmlns:a="http://schemas.openxmlformats.org/drawingml/2006/main">
          <a:off x="50800" y="5899081"/>
          <a:ext cx="865831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0.07546</cdr:y>
    </cdr:from>
    <cdr:to>
      <cdr:x>0.21363</cdr:x>
      <cdr:y>0.1264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D0C38B9-3AD4-F894-F6C5-87AFBC4050DE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12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BCDA0-1FB9-D237-696C-386BE34F4B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0.00392</cdr:x>
      <cdr:y>0.0054</cdr:y>
    </cdr:from>
    <cdr:to>
      <cdr:x>0.68915</cdr:x>
      <cdr:y>0.07432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F1418E-A1D2-44F1-2759-D9FA1A98A566}"/>
            </a:ext>
          </a:extLst>
        </cdr:cNvPr>
        <cdr:cNvSpPr txBox="1"/>
      </cdr:nvSpPr>
      <cdr:spPr>
        <a:xfrm xmlns:a="http://schemas.openxmlformats.org/drawingml/2006/main">
          <a:off x="32927" y="36239"/>
          <a:ext cx="5762263" cy="4626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CPI inflation forecast*</a:t>
          </a:r>
        </a:p>
      </cdr:txBody>
    </cdr:sp>
  </cdr:relSizeAnchor>
  <cdr:relSizeAnchor xmlns:cdr="http://schemas.openxmlformats.org/drawingml/2006/chartDrawing">
    <cdr:from>
      <cdr:x>0</cdr:x>
      <cdr:y>0.94767</cdr:y>
    </cdr:from>
    <cdr:to>
      <cdr:x>0.68523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3099AAB-3093-EDC5-2818-2F5AB2DC518A}"/>
            </a:ext>
          </a:extLst>
        </cdr:cNvPr>
        <cdr:cNvSpPr/>
      </cdr:nvSpPr>
      <cdr:spPr>
        <a:xfrm xmlns:a="http://schemas.openxmlformats.org/drawingml/2006/main">
          <a:off x="0" y="6361583"/>
          <a:ext cx="5762263" cy="351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0.12996</cdr:x>
      <cdr:y>0.68907</cdr:y>
    </cdr:from>
    <cdr:to>
      <cdr:x>0.29126</cdr:x>
      <cdr:y>0.74324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4221B0F-0AB0-B1F2-6EEB-E15DD513EDA8}"/>
            </a:ext>
          </a:extLst>
        </cdr:cNvPr>
        <cdr:cNvSpPr txBox="1"/>
      </cdr:nvSpPr>
      <cdr:spPr>
        <a:xfrm xmlns:a="http://schemas.openxmlformats.org/drawingml/2006/main">
          <a:off x="1092850" y="4625634"/>
          <a:ext cx="1356435" cy="363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</cdr:x>
      <cdr:y>0.07463</cdr:y>
    </cdr:from>
    <cdr:to>
      <cdr:x>0.70326</cdr:x>
      <cdr:y>0.12973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6A0B329-5769-A358-A7D9-5B0C3488F175}"/>
            </a:ext>
          </a:extLst>
        </cdr:cNvPr>
        <cdr:cNvSpPr txBox="1"/>
      </cdr:nvSpPr>
      <cdr:spPr>
        <a:xfrm xmlns:a="http://schemas.openxmlformats.org/drawingml/2006/main">
          <a:off x="0" y="500949"/>
          <a:ext cx="5913828" cy="36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0.16256</cdr:x>
      <cdr:y>0.07636</cdr:y>
    </cdr:from>
    <cdr:to>
      <cdr:x>0.99676</cdr:x>
      <cdr:y>0.14447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64DFBC6-F31A-65F0-98B3-6EA575C9287A}"/>
            </a:ext>
          </a:extLst>
        </cdr:cNvPr>
        <cdr:cNvSpPr txBox="1"/>
      </cdr:nvSpPr>
      <cdr:spPr>
        <a:xfrm xmlns:a="http://schemas.openxmlformats.org/drawingml/2006/main">
          <a:off x="1366982" y="512618"/>
          <a:ext cx="7015018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BoE modal forecast based on market interest rate expectations</a:t>
          </a:r>
        </a:p>
      </cdr:txBody>
    </cdr:sp>
  </cdr:relSizeAnchor>
</c:userShape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NPD243@UK" TargetMode="External"/><Relationship Id="rId2" Type="http://schemas.openxmlformats.org/officeDocument/2006/relationships/hyperlink" Target="mailto:UNPM@UK" TargetMode="External"/><Relationship Id="rId1" Type="http://schemas.openxmlformats.org/officeDocument/2006/relationships/hyperlink" Target="mailto:UNPD@UK" TargetMode="External"/><Relationship Id="rId4" Type="http://schemas.openxmlformats.org/officeDocument/2006/relationships/hyperlink" Target="mailto:UNPM243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2E12-D3B9-406C-9BBF-84829857A24E}">
  <dimension ref="A1:BJ60"/>
  <sheetViews>
    <sheetView topLeftCell="A20" workbookViewId="0">
      <selection activeCell="A41" sqref="A41"/>
    </sheetView>
  </sheetViews>
  <sheetFormatPr defaultRowHeight="14.5" x14ac:dyDescent="0.35"/>
  <cols>
    <col min="1" max="1" width="10.453125" customWidth="1"/>
    <col min="2" max="2" width="15.26953125" customWidth="1"/>
    <col min="3" max="62" width="10.7265625" bestFit="1" customWidth="1"/>
  </cols>
  <sheetData>
    <row r="1" spans="1:62" x14ac:dyDescent="0.35">
      <c r="B1" s="4" t="s">
        <v>377</v>
      </c>
      <c r="D1" t="s">
        <v>378</v>
      </c>
    </row>
    <row r="2" spans="1:62" x14ac:dyDescent="0.35">
      <c r="B2" t="s">
        <v>365</v>
      </c>
      <c r="C2">
        <f>HAVERD!I1</f>
        <v>9</v>
      </c>
      <c r="D2">
        <f>HAVERD!J1</f>
        <v>10</v>
      </c>
      <c r="E2">
        <f>HAVERD!K1</f>
        <v>11</v>
      </c>
      <c r="F2">
        <f>HAVERD!L1</f>
        <v>12</v>
      </c>
      <c r="G2">
        <f>HAVERD!M1</f>
        <v>13</v>
      </c>
      <c r="H2">
        <f>HAVERD!N1</f>
        <v>14</v>
      </c>
      <c r="I2">
        <f>HAVERD!O1</f>
        <v>15</v>
      </c>
      <c r="J2">
        <f>HAVERD!P1</f>
        <v>16</v>
      </c>
      <c r="K2">
        <f>HAVERD!Q1</f>
        <v>17</v>
      </c>
      <c r="L2">
        <f>HAVERD!R1</f>
        <v>18</v>
      </c>
      <c r="M2">
        <f>HAVERD!S1</f>
        <v>19</v>
      </c>
      <c r="N2">
        <f>HAVERD!T1</f>
        <v>20</v>
      </c>
      <c r="O2">
        <f>HAVERD!U1</f>
        <v>21</v>
      </c>
      <c r="P2">
        <f>HAVERD!V1</f>
        <v>22</v>
      </c>
      <c r="Q2">
        <f>HAVERD!W1</f>
        <v>23</v>
      </c>
      <c r="R2">
        <f>HAVERD!X1</f>
        <v>24</v>
      </c>
      <c r="S2">
        <f>HAVERD!Y1</f>
        <v>25</v>
      </c>
      <c r="T2">
        <f>HAVERD!Z1</f>
        <v>26</v>
      </c>
      <c r="U2">
        <f>HAVERD!AA1</f>
        <v>27</v>
      </c>
      <c r="V2">
        <f>HAVERD!AB1</f>
        <v>28</v>
      </c>
      <c r="W2">
        <f>HAVERD!AC1</f>
        <v>29</v>
      </c>
      <c r="X2">
        <f>HAVERD!AD1</f>
        <v>30</v>
      </c>
      <c r="Y2">
        <f>HAVERD!AE1</f>
        <v>31</v>
      </c>
      <c r="Z2">
        <f>HAVERD!AF1</f>
        <v>32</v>
      </c>
      <c r="AA2">
        <f>HAVERD!AG1</f>
        <v>33</v>
      </c>
      <c r="AB2">
        <f>HAVERD!AH1</f>
        <v>34</v>
      </c>
      <c r="AC2">
        <f>HAVERD!AI1</f>
        <v>35</v>
      </c>
      <c r="AD2">
        <f>HAVERD!AJ1</f>
        <v>36</v>
      </c>
      <c r="AE2">
        <f>HAVERD!AK1</f>
        <v>37</v>
      </c>
      <c r="AF2">
        <f>HAVERD!AL1</f>
        <v>38</v>
      </c>
      <c r="AG2">
        <f>HAVERD!AM1</f>
        <v>39</v>
      </c>
      <c r="AH2">
        <f>HAVERD!AN1</f>
        <v>40</v>
      </c>
      <c r="AI2">
        <f>HAVERD!AO1</f>
        <v>41</v>
      </c>
      <c r="AJ2">
        <f>HAVERD!AP1</f>
        <v>42</v>
      </c>
      <c r="AK2">
        <f>HAVERD!AQ1</f>
        <v>43</v>
      </c>
      <c r="AL2">
        <f>HAVERD!AR1</f>
        <v>44</v>
      </c>
      <c r="AM2">
        <f>HAVERD!AS1</f>
        <v>45</v>
      </c>
      <c r="AN2">
        <f>HAVERD!AT1</f>
        <v>46</v>
      </c>
      <c r="AO2">
        <f>HAVERD!AU1</f>
        <v>47</v>
      </c>
      <c r="AP2">
        <f>HAVERD!AV1</f>
        <v>48</v>
      </c>
      <c r="AQ2">
        <f>HAVERD!AW1</f>
        <v>49</v>
      </c>
      <c r="AR2">
        <f>HAVERD!AX1</f>
        <v>50</v>
      </c>
      <c r="AS2">
        <f>HAVERD!AY1</f>
        <v>51</v>
      </c>
      <c r="AT2">
        <f>HAVERD!AZ1</f>
        <v>52</v>
      </c>
      <c r="AU2">
        <f>HAVERD!BA1</f>
        <v>53</v>
      </c>
      <c r="AV2">
        <f>HAVERD!BB1</f>
        <v>54</v>
      </c>
      <c r="AW2">
        <f>HAVERD!BC1</f>
        <v>55</v>
      </c>
      <c r="AX2">
        <f>HAVERD!BD1</f>
        <v>56</v>
      </c>
      <c r="AY2">
        <f>HAVERD!BE1</f>
        <v>57</v>
      </c>
    </row>
    <row r="3" spans="1:62" x14ac:dyDescent="0.35">
      <c r="B3" t="s">
        <v>366</v>
      </c>
      <c r="C3" t="str">
        <f>HAVERD!I2</f>
        <v>Overnight</v>
      </c>
      <c r="D3">
        <f>HAVERD!J2</f>
        <v>1</v>
      </c>
      <c r="E3">
        <f>HAVERD!K2</f>
        <v>2</v>
      </c>
      <c r="F3">
        <f>HAVERD!L2</f>
        <v>3</v>
      </c>
      <c r="G3">
        <f>HAVERD!M2</f>
        <v>4</v>
      </c>
      <c r="H3">
        <f>HAVERD!N2</f>
        <v>5</v>
      </c>
      <c r="I3">
        <f>HAVERD!O2</f>
        <v>6</v>
      </c>
      <c r="J3">
        <f>HAVERD!P2</f>
        <v>7</v>
      </c>
      <c r="K3">
        <f>HAVERD!Q2</f>
        <v>8</v>
      </c>
      <c r="L3">
        <f>HAVERD!R2</f>
        <v>9</v>
      </c>
      <c r="M3">
        <f>HAVERD!S2</f>
        <v>10</v>
      </c>
      <c r="N3">
        <f>HAVERD!T2</f>
        <v>11</v>
      </c>
      <c r="O3">
        <f>HAVERD!U2</f>
        <v>12</v>
      </c>
      <c r="P3">
        <f>HAVERD!V2</f>
        <v>13</v>
      </c>
      <c r="Q3">
        <f>HAVERD!W2</f>
        <v>14</v>
      </c>
      <c r="R3">
        <f>HAVERD!X2</f>
        <v>15</v>
      </c>
      <c r="S3">
        <f>HAVERD!Y2</f>
        <v>16</v>
      </c>
      <c r="T3">
        <f>HAVERD!Z2</f>
        <v>17</v>
      </c>
      <c r="U3">
        <f>HAVERD!AA2</f>
        <v>18</v>
      </c>
      <c r="V3">
        <f>HAVERD!AB2</f>
        <v>19</v>
      </c>
      <c r="W3">
        <f>HAVERD!AC2</f>
        <v>20</v>
      </c>
      <c r="X3">
        <f>HAVERD!AD2</f>
        <v>21</v>
      </c>
      <c r="Y3">
        <f>HAVERD!AE2</f>
        <v>22</v>
      </c>
      <c r="Z3">
        <f>HAVERD!AF2</f>
        <v>23</v>
      </c>
      <c r="AA3">
        <f>HAVERD!AG2</f>
        <v>24</v>
      </c>
      <c r="AB3">
        <f>HAVERD!AH2</f>
        <v>25</v>
      </c>
      <c r="AC3">
        <f>HAVERD!AI2</f>
        <v>26</v>
      </c>
      <c r="AD3">
        <f>HAVERD!AJ2</f>
        <v>27</v>
      </c>
      <c r="AE3">
        <f>HAVERD!AK2</f>
        <v>28</v>
      </c>
      <c r="AF3">
        <f>HAVERD!AL2</f>
        <v>29</v>
      </c>
      <c r="AG3">
        <f>HAVERD!AM2</f>
        <v>30</v>
      </c>
      <c r="AH3">
        <f>HAVERD!AN2</f>
        <v>31</v>
      </c>
      <c r="AI3">
        <f>HAVERD!AO2</f>
        <v>32</v>
      </c>
      <c r="AJ3">
        <f>HAVERD!AP2</f>
        <v>33</v>
      </c>
      <c r="AK3">
        <f>HAVERD!AQ2</f>
        <v>34</v>
      </c>
      <c r="AL3">
        <f>HAVERD!AR2</f>
        <v>35</v>
      </c>
      <c r="AM3">
        <f>HAVERD!AS2</f>
        <v>36</v>
      </c>
      <c r="AN3">
        <f>HAVERD!AT2</f>
        <v>37</v>
      </c>
      <c r="AO3">
        <f>HAVERD!AU2</f>
        <v>38</v>
      </c>
      <c r="AP3">
        <f>HAVERD!AV2</f>
        <v>39</v>
      </c>
      <c r="AQ3">
        <f>HAVERD!AW2</f>
        <v>40</v>
      </c>
      <c r="AR3">
        <f>HAVERD!AX2</f>
        <v>41</v>
      </c>
      <c r="AS3">
        <f>HAVERD!AY2</f>
        <v>42</v>
      </c>
      <c r="AT3">
        <f>HAVERD!AZ2</f>
        <v>43</v>
      </c>
      <c r="AU3">
        <f>HAVERD!BA2</f>
        <v>44</v>
      </c>
      <c r="AV3">
        <f>HAVERD!BB2</f>
        <v>45</v>
      </c>
      <c r="AW3">
        <f>HAVERD!BC2</f>
        <v>46</v>
      </c>
      <c r="AX3">
        <f>HAVERD!BD2</f>
        <v>47</v>
      </c>
      <c r="AY3">
        <f>HAVERD!BE2</f>
        <v>48</v>
      </c>
    </row>
    <row r="4" spans="1:62" x14ac:dyDescent="0.35">
      <c r="B4" t="s">
        <v>367</v>
      </c>
      <c r="D4">
        <v>30.4166667</v>
      </c>
      <c r="E4">
        <f>+D4+30.4166667</f>
        <v>60.833333400000001</v>
      </c>
      <c r="F4">
        <f t="shared" ref="F4:AY4" si="0">+E4+30.4166667</f>
        <v>91.250000099999994</v>
      </c>
      <c r="G4">
        <f t="shared" si="0"/>
        <v>121.6666668</v>
      </c>
      <c r="H4">
        <f t="shared" si="0"/>
        <v>152.08333350000001</v>
      </c>
      <c r="I4">
        <f t="shared" si="0"/>
        <v>182.50000020000002</v>
      </c>
      <c r="J4">
        <f t="shared" si="0"/>
        <v>212.91666690000002</v>
      </c>
      <c r="K4">
        <f t="shared" si="0"/>
        <v>243.33333360000003</v>
      </c>
      <c r="L4">
        <f t="shared" si="0"/>
        <v>273.75000030000001</v>
      </c>
      <c r="M4">
        <f t="shared" si="0"/>
        <v>304.16666700000002</v>
      </c>
      <c r="N4">
        <f t="shared" si="0"/>
        <v>334.58333370000003</v>
      </c>
      <c r="O4">
        <f t="shared" si="0"/>
        <v>365.00000040000003</v>
      </c>
      <c r="P4">
        <f t="shared" si="0"/>
        <v>395.41666710000004</v>
      </c>
      <c r="Q4">
        <f t="shared" si="0"/>
        <v>425.83333380000005</v>
      </c>
      <c r="R4">
        <f t="shared" si="0"/>
        <v>456.25000050000006</v>
      </c>
      <c r="S4">
        <f t="shared" si="0"/>
        <v>486.66666720000006</v>
      </c>
      <c r="T4">
        <f t="shared" si="0"/>
        <v>517.08333390000007</v>
      </c>
      <c r="U4">
        <f t="shared" si="0"/>
        <v>547.50000060000002</v>
      </c>
      <c r="V4">
        <f t="shared" si="0"/>
        <v>577.91666729999997</v>
      </c>
      <c r="W4">
        <f t="shared" si="0"/>
        <v>608.33333399999992</v>
      </c>
      <c r="X4">
        <f t="shared" si="0"/>
        <v>638.75000069999987</v>
      </c>
      <c r="Y4">
        <f t="shared" si="0"/>
        <v>669.16666739999982</v>
      </c>
      <c r="Z4">
        <f t="shared" si="0"/>
        <v>699.58333409999977</v>
      </c>
      <c r="AA4">
        <f t="shared" si="0"/>
        <v>730.00000079999973</v>
      </c>
      <c r="AB4">
        <f t="shared" si="0"/>
        <v>760.41666749999968</v>
      </c>
      <c r="AC4">
        <f t="shared" si="0"/>
        <v>790.83333419999963</v>
      </c>
      <c r="AD4">
        <f t="shared" si="0"/>
        <v>821.25000089999958</v>
      </c>
      <c r="AE4">
        <f t="shared" si="0"/>
        <v>851.66666759999953</v>
      </c>
      <c r="AF4">
        <f t="shared" si="0"/>
        <v>882.08333429999948</v>
      </c>
      <c r="AG4">
        <f t="shared" si="0"/>
        <v>912.50000099999943</v>
      </c>
      <c r="AH4">
        <f t="shared" si="0"/>
        <v>942.91666769999938</v>
      </c>
      <c r="AI4">
        <f t="shared" si="0"/>
        <v>973.33333439999933</v>
      </c>
      <c r="AJ4">
        <f t="shared" si="0"/>
        <v>1003.7500010999993</v>
      </c>
      <c r="AK4">
        <f t="shared" si="0"/>
        <v>1034.1666677999992</v>
      </c>
      <c r="AL4">
        <f t="shared" si="0"/>
        <v>1064.5833344999992</v>
      </c>
      <c r="AM4">
        <f t="shared" si="0"/>
        <v>1095.0000011999991</v>
      </c>
      <c r="AN4">
        <f t="shared" si="0"/>
        <v>1125.4166678999991</v>
      </c>
      <c r="AO4">
        <f t="shared" si="0"/>
        <v>1155.833334599999</v>
      </c>
      <c r="AP4">
        <f t="shared" si="0"/>
        <v>1186.250001299999</v>
      </c>
      <c r="AQ4">
        <f t="shared" si="0"/>
        <v>1216.6666679999989</v>
      </c>
      <c r="AR4">
        <f t="shared" si="0"/>
        <v>1247.0833346999989</v>
      </c>
      <c r="AS4">
        <f t="shared" si="0"/>
        <v>1277.5000013999988</v>
      </c>
      <c r="AT4">
        <f t="shared" si="0"/>
        <v>1307.9166680999988</v>
      </c>
      <c r="AU4">
        <f t="shared" si="0"/>
        <v>1338.3333347999987</v>
      </c>
      <c r="AV4">
        <f t="shared" si="0"/>
        <v>1368.7500014999987</v>
      </c>
      <c r="AW4">
        <f t="shared" si="0"/>
        <v>1399.1666681999986</v>
      </c>
      <c r="AX4">
        <f t="shared" si="0"/>
        <v>1429.5833348999986</v>
      </c>
      <c r="AY4">
        <f t="shared" si="0"/>
        <v>1460.0000015999985</v>
      </c>
    </row>
    <row r="5" spans="1:62" x14ac:dyDescent="0.35">
      <c r="B5" s="5" t="s">
        <v>368</v>
      </c>
    </row>
    <row r="6" spans="1:62" x14ac:dyDescent="0.35">
      <c r="B6" s="6">
        <f t="shared" ref="B6:B14" si="1">B11-7</f>
        <v>45574</v>
      </c>
      <c r="C6" s="6">
        <f>B6</f>
        <v>45574</v>
      </c>
      <c r="D6" s="6">
        <f>$C6+D$4</f>
        <v>45604.416666700003</v>
      </c>
      <c r="E6" s="6">
        <f t="shared" ref="E6:AY11" si="2">$C6+E$4</f>
        <v>45634.833333399998</v>
      </c>
      <c r="F6" s="6">
        <f t="shared" si="2"/>
        <v>45665.250000100001</v>
      </c>
      <c r="G6" s="6">
        <f t="shared" si="2"/>
        <v>45695.666666800003</v>
      </c>
      <c r="H6" s="6">
        <f t="shared" si="2"/>
        <v>45726.083333499999</v>
      </c>
      <c r="I6" s="6">
        <f t="shared" si="2"/>
        <v>45756.500000200002</v>
      </c>
      <c r="J6" s="6">
        <f t="shared" si="2"/>
        <v>45786.916666899997</v>
      </c>
      <c r="K6" s="6">
        <f t="shared" si="2"/>
        <v>45817.3333336</v>
      </c>
      <c r="L6" s="6">
        <f t="shared" si="2"/>
        <v>45847.750000300002</v>
      </c>
      <c r="M6" s="6">
        <f t="shared" si="2"/>
        <v>45878.166666999998</v>
      </c>
      <c r="N6" s="6">
        <f t="shared" si="2"/>
        <v>45908.5833337</v>
      </c>
      <c r="O6" s="6">
        <f t="shared" si="2"/>
        <v>45939.000000400003</v>
      </c>
      <c r="P6" s="6">
        <f t="shared" si="2"/>
        <v>45969.416667099998</v>
      </c>
      <c r="Q6" s="6">
        <f t="shared" si="2"/>
        <v>45999.833333800001</v>
      </c>
      <c r="R6" s="6">
        <f t="shared" si="2"/>
        <v>46030.250000499997</v>
      </c>
      <c r="S6" s="6">
        <f t="shared" si="2"/>
        <v>46060.666667199999</v>
      </c>
      <c r="T6" s="6">
        <f t="shared" si="2"/>
        <v>46091.083333900002</v>
      </c>
      <c r="U6" s="6">
        <f t="shared" si="2"/>
        <v>46121.500000599997</v>
      </c>
      <c r="V6" s="6">
        <f t="shared" si="2"/>
        <v>46151.9166673</v>
      </c>
      <c r="W6" s="6">
        <f t="shared" si="2"/>
        <v>46182.333334000003</v>
      </c>
      <c r="X6" s="6">
        <f t="shared" si="2"/>
        <v>46212.750000699998</v>
      </c>
      <c r="Y6" s="6">
        <f t="shared" si="2"/>
        <v>46243.166667400001</v>
      </c>
      <c r="Z6" s="6">
        <f t="shared" si="2"/>
        <v>46273.583334099996</v>
      </c>
      <c r="AA6" s="6">
        <f t="shared" si="2"/>
        <v>46304.000000799999</v>
      </c>
      <c r="AB6" s="6">
        <f t="shared" si="2"/>
        <v>46334.416667500001</v>
      </c>
      <c r="AC6" s="6">
        <f t="shared" si="2"/>
        <v>46364.833334199997</v>
      </c>
      <c r="AD6" s="6">
        <f t="shared" si="2"/>
        <v>46395.2500009</v>
      </c>
      <c r="AE6" s="6">
        <f t="shared" si="2"/>
        <v>46425.666667600002</v>
      </c>
      <c r="AF6" s="6">
        <f t="shared" si="2"/>
        <v>46456.083334299998</v>
      </c>
      <c r="AG6" s="6">
        <f t="shared" si="2"/>
        <v>46486.500001</v>
      </c>
      <c r="AH6" s="6">
        <f t="shared" si="2"/>
        <v>46516.916667700003</v>
      </c>
      <c r="AI6" s="6">
        <f t="shared" si="2"/>
        <v>46547.333334399998</v>
      </c>
      <c r="AJ6" s="6">
        <f t="shared" si="2"/>
        <v>46577.750001100001</v>
      </c>
      <c r="AK6" s="6">
        <f t="shared" si="2"/>
        <v>46608.166667799997</v>
      </c>
      <c r="AL6" s="6">
        <f t="shared" si="2"/>
        <v>46638.583334499999</v>
      </c>
      <c r="AM6" s="6">
        <f t="shared" si="2"/>
        <v>46669.000001200002</v>
      </c>
      <c r="AN6" s="6">
        <f t="shared" si="2"/>
        <v>46699.416667899997</v>
      </c>
      <c r="AO6" s="6">
        <f t="shared" si="2"/>
        <v>46729.8333346</v>
      </c>
      <c r="AP6" s="6">
        <f t="shared" si="2"/>
        <v>46760.250001299995</v>
      </c>
      <c r="AQ6" s="6">
        <f t="shared" si="2"/>
        <v>46790.666667999998</v>
      </c>
      <c r="AR6" s="6">
        <f t="shared" si="2"/>
        <v>46821.083334700001</v>
      </c>
      <c r="AS6" s="6">
        <f t="shared" si="2"/>
        <v>46851.500001399996</v>
      </c>
      <c r="AT6" s="6">
        <f t="shared" si="2"/>
        <v>46881.916668099999</v>
      </c>
      <c r="AU6" s="6">
        <f t="shared" si="2"/>
        <v>46912.333334800001</v>
      </c>
      <c r="AV6" s="6">
        <f t="shared" si="2"/>
        <v>46942.750001499997</v>
      </c>
      <c r="AW6" s="6">
        <f t="shared" si="2"/>
        <v>46973.1666682</v>
      </c>
      <c r="AX6" s="6">
        <f t="shared" si="2"/>
        <v>47003.583334900002</v>
      </c>
      <c r="AY6" s="6">
        <f t="shared" si="2"/>
        <v>47034.000001599998</v>
      </c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35">
      <c r="B7" s="6">
        <f t="shared" si="1"/>
        <v>45575</v>
      </c>
      <c r="C7" s="6">
        <f t="shared" ref="C7:C18" si="3">B7</f>
        <v>45575</v>
      </c>
      <c r="D7" s="6">
        <f t="shared" ref="D7:S20" si="4">$C7+D$4</f>
        <v>45605.416666700003</v>
      </c>
      <c r="E7" s="6">
        <f t="shared" si="2"/>
        <v>45635.833333399998</v>
      </c>
      <c r="F7" s="6">
        <f t="shared" si="2"/>
        <v>45666.250000100001</v>
      </c>
      <c r="G7" s="6">
        <f t="shared" si="2"/>
        <v>45696.666666800003</v>
      </c>
      <c r="H7" s="6">
        <f t="shared" si="2"/>
        <v>45727.083333499999</v>
      </c>
      <c r="I7" s="6">
        <f t="shared" si="2"/>
        <v>45757.500000200002</v>
      </c>
      <c r="J7" s="6">
        <f t="shared" si="2"/>
        <v>45787.916666899997</v>
      </c>
      <c r="K7" s="6">
        <f t="shared" si="2"/>
        <v>45818.3333336</v>
      </c>
      <c r="L7" s="6">
        <f t="shared" si="2"/>
        <v>45848.750000300002</v>
      </c>
      <c r="M7" s="6">
        <f t="shared" si="2"/>
        <v>45879.166666999998</v>
      </c>
      <c r="N7" s="6">
        <f t="shared" si="2"/>
        <v>45909.5833337</v>
      </c>
      <c r="O7" s="6">
        <f t="shared" si="2"/>
        <v>45940.000000400003</v>
      </c>
      <c r="P7" s="6">
        <f t="shared" si="2"/>
        <v>45970.416667099998</v>
      </c>
      <c r="Q7" s="6">
        <f t="shared" si="2"/>
        <v>46000.833333800001</v>
      </c>
      <c r="R7" s="6">
        <f t="shared" si="2"/>
        <v>46031.250000499997</v>
      </c>
      <c r="S7" s="6">
        <f t="shared" si="2"/>
        <v>46061.666667199999</v>
      </c>
      <c r="T7" s="6">
        <f t="shared" si="2"/>
        <v>46092.083333900002</v>
      </c>
      <c r="U7" s="6">
        <f t="shared" si="2"/>
        <v>46122.500000599997</v>
      </c>
      <c r="V7" s="6">
        <f t="shared" si="2"/>
        <v>46152.9166673</v>
      </c>
      <c r="W7" s="6">
        <f t="shared" si="2"/>
        <v>46183.333334000003</v>
      </c>
      <c r="X7" s="6">
        <f t="shared" si="2"/>
        <v>46213.750000699998</v>
      </c>
      <c r="Y7" s="6">
        <f t="shared" si="2"/>
        <v>46244.166667400001</v>
      </c>
      <c r="Z7" s="6">
        <f t="shared" si="2"/>
        <v>46274.583334099996</v>
      </c>
      <c r="AA7" s="6">
        <f t="shared" si="2"/>
        <v>46305.000000799999</v>
      </c>
      <c r="AB7" s="6">
        <f t="shared" si="2"/>
        <v>46335.416667500001</v>
      </c>
      <c r="AC7" s="6">
        <f t="shared" si="2"/>
        <v>46365.833334199997</v>
      </c>
      <c r="AD7" s="6">
        <f t="shared" si="2"/>
        <v>46396.2500009</v>
      </c>
      <c r="AE7" s="6">
        <f t="shared" si="2"/>
        <v>46426.666667600002</v>
      </c>
      <c r="AF7" s="6">
        <f t="shared" si="2"/>
        <v>46457.083334299998</v>
      </c>
      <c r="AG7" s="6">
        <f t="shared" si="2"/>
        <v>46487.500001</v>
      </c>
      <c r="AH7" s="6">
        <f t="shared" si="2"/>
        <v>46517.916667700003</v>
      </c>
      <c r="AI7" s="6">
        <f t="shared" si="2"/>
        <v>46548.333334399998</v>
      </c>
      <c r="AJ7" s="6">
        <f t="shared" si="2"/>
        <v>46578.750001100001</v>
      </c>
      <c r="AK7" s="6">
        <f t="shared" si="2"/>
        <v>46609.166667799997</v>
      </c>
      <c r="AL7" s="6">
        <f t="shared" si="2"/>
        <v>46639.583334499999</v>
      </c>
      <c r="AM7" s="6">
        <f t="shared" si="2"/>
        <v>46670.000001200002</v>
      </c>
      <c r="AN7" s="6">
        <f t="shared" si="2"/>
        <v>46700.416667899997</v>
      </c>
      <c r="AO7" s="6">
        <f t="shared" si="2"/>
        <v>46730.8333346</v>
      </c>
      <c r="AP7" s="6">
        <f t="shared" si="2"/>
        <v>46761.250001299995</v>
      </c>
      <c r="AQ7" s="6">
        <f t="shared" si="2"/>
        <v>46791.666667999998</v>
      </c>
      <c r="AR7" s="6">
        <f t="shared" si="2"/>
        <v>46822.083334700001</v>
      </c>
      <c r="AS7" s="6">
        <f t="shared" si="2"/>
        <v>46852.500001399996</v>
      </c>
      <c r="AT7" s="6">
        <f t="shared" si="2"/>
        <v>46882.916668099999</v>
      </c>
      <c r="AU7" s="6">
        <f t="shared" si="2"/>
        <v>46913.333334800001</v>
      </c>
      <c r="AV7" s="6">
        <f t="shared" si="2"/>
        <v>46943.750001499997</v>
      </c>
      <c r="AW7" s="6">
        <f t="shared" si="2"/>
        <v>46974.1666682</v>
      </c>
      <c r="AX7" s="6">
        <f t="shared" si="2"/>
        <v>47004.583334900002</v>
      </c>
      <c r="AY7" s="6">
        <f t="shared" si="2"/>
        <v>47035.000001599998</v>
      </c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2" x14ac:dyDescent="0.35">
      <c r="B8" s="6">
        <f t="shared" si="1"/>
        <v>45576</v>
      </c>
      <c r="C8" s="6">
        <f t="shared" si="3"/>
        <v>45576</v>
      </c>
      <c r="D8" s="6">
        <f t="shared" si="4"/>
        <v>45606.416666700003</v>
      </c>
      <c r="E8" s="6">
        <f t="shared" si="2"/>
        <v>45636.833333399998</v>
      </c>
      <c r="F8" s="6">
        <f t="shared" si="2"/>
        <v>45667.250000100001</v>
      </c>
      <c r="G8" s="6">
        <f t="shared" si="2"/>
        <v>45697.666666800003</v>
      </c>
      <c r="H8" s="6">
        <f t="shared" si="2"/>
        <v>45728.083333499999</v>
      </c>
      <c r="I8" s="6">
        <f t="shared" si="2"/>
        <v>45758.500000200002</v>
      </c>
      <c r="J8" s="6">
        <f t="shared" si="2"/>
        <v>45788.916666899997</v>
      </c>
      <c r="K8" s="6">
        <f t="shared" si="2"/>
        <v>45819.3333336</v>
      </c>
      <c r="L8" s="6">
        <f t="shared" si="2"/>
        <v>45849.750000300002</v>
      </c>
      <c r="M8" s="6">
        <f t="shared" si="2"/>
        <v>45880.166666999998</v>
      </c>
      <c r="N8" s="6">
        <f t="shared" si="2"/>
        <v>45910.5833337</v>
      </c>
      <c r="O8" s="6">
        <f t="shared" si="2"/>
        <v>45941.000000400003</v>
      </c>
      <c r="P8" s="6">
        <f t="shared" si="2"/>
        <v>45971.416667099998</v>
      </c>
      <c r="Q8" s="6">
        <f t="shared" si="2"/>
        <v>46001.833333800001</v>
      </c>
      <c r="R8" s="6">
        <f t="shared" si="2"/>
        <v>46032.250000499997</v>
      </c>
      <c r="S8" s="6">
        <f t="shared" si="2"/>
        <v>46062.666667199999</v>
      </c>
      <c r="T8" s="6">
        <f t="shared" si="2"/>
        <v>46093.083333900002</v>
      </c>
      <c r="U8" s="6">
        <f t="shared" si="2"/>
        <v>46123.500000599997</v>
      </c>
      <c r="V8" s="6">
        <f t="shared" si="2"/>
        <v>46153.9166673</v>
      </c>
      <c r="W8" s="6">
        <f t="shared" si="2"/>
        <v>46184.333334000003</v>
      </c>
      <c r="X8" s="6">
        <f t="shared" si="2"/>
        <v>46214.750000699998</v>
      </c>
      <c r="Y8" s="6">
        <f t="shared" si="2"/>
        <v>46245.166667400001</v>
      </c>
      <c r="Z8" s="6">
        <f t="shared" si="2"/>
        <v>46275.583334099996</v>
      </c>
      <c r="AA8" s="6">
        <f t="shared" si="2"/>
        <v>46306.000000799999</v>
      </c>
      <c r="AB8" s="6">
        <f t="shared" si="2"/>
        <v>46336.416667500001</v>
      </c>
      <c r="AC8" s="6">
        <f t="shared" si="2"/>
        <v>46366.833334199997</v>
      </c>
      <c r="AD8" s="6">
        <f t="shared" si="2"/>
        <v>46397.2500009</v>
      </c>
      <c r="AE8" s="6">
        <f t="shared" si="2"/>
        <v>46427.666667600002</v>
      </c>
      <c r="AF8" s="6">
        <f t="shared" si="2"/>
        <v>46458.083334299998</v>
      </c>
      <c r="AG8" s="6">
        <f t="shared" si="2"/>
        <v>46488.500001</v>
      </c>
      <c r="AH8" s="6">
        <f t="shared" si="2"/>
        <v>46518.916667700003</v>
      </c>
      <c r="AI8" s="6">
        <f t="shared" si="2"/>
        <v>46549.333334399998</v>
      </c>
      <c r="AJ8" s="6">
        <f t="shared" si="2"/>
        <v>46579.750001100001</v>
      </c>
      <c r="AK8" s="6">
        <f t="shared" si="2"/>
        <v>46610.166667799997</v>
      </c>
      <c r="AL8" s="6">
        <f t="shared" si="2"/>
        <v>46640.583334499999</v>
      </c>
      <c r="AM8" s="6">
        <f t="shared" si="2"/>
        <v>46671.000001200002</v>
      </c>
      <c r="AN8" s="6">
        <f t="shared" si="2"/>
        <v>46701.416667899997</v>
      </c>
      <c r="AO8" s="6">
        <f t="shared" si="2"/>
        <v>46731.8333346</v>
      </c>
      <c r="AP8" s="6">
        <f t="shared" si="2"/>
        <v>46762.250001299995</v>
      </c>
      <c r="AQ8" s="6">
        <f t="shared" si="2"/>
        <v>46792.666667999998</v>
      </c>
      <c r="AR8" s="6">
        <f t="shared" si="2"/>
        <v>46823.083334700001</v>
      </c>
      <c r="AS8" s="6">
        <f t="shared" si="2"/>
        <v>46853.500001399996</v>
      </c>
      <c r="AT8" s="6">
        <f t="shared" si="2"/>
        <v>46883.916668099999</v>
      </c>
      <c r="AU8" s="6">
        <f t="shared" si="2"/>
        <v>46914.333334800001</v>
      </c>
      <c r="AV8" s="6">
        <f t="shared" si="2"/>
        <v>46944.750001499997</v>
      </c>
      <c r="AW8" s="6">
        <f t="shared" si="2"/>
        <v>46975.1666682</v>
      </c>
      <c r="AX8" s="6">
        <f t="shared" si="2"/>
        <v>47005.583334900002</v>
      </c>
      <c r="AY8" s="6">
        <f t="shared" si="2"/>
        <v>47036.000001599998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2" x14ac:dyDescent="0.35">
      <c r="B9" s="6">
        <f t="shared" si="1"/>
        <v>45579</v>
      </c>
      <c r="C9" s="6">
        <f t="shared" si="3"/>
        <v>45579</v>
      </c>
      <c r="D9" s="6">
        <f t="shared" si="4"/>
        <v>45609.416666700003</v>
      </c>
      <c r="E9" s="6">
        <f t="shared" si="2"/>
        <v>45639.833333399998</v>
      </c>
      <c r="F9" s="6">
        <f t="shared" si="2"/>
        <v>45670.250000100001</v>
      </c>
      <c r="G9" s="6">
        <f t="shared" si="2"/>
        <v>45700.666666800003</v>
      </c>
      <c r="H9" s="6">
        <f t="shared" si="2"/>
        <v>45731.083333499999</v>
      </c>
      <c r="I9" s="6">
        <f t="shared" si="2"/>
        <v>45761.500000200002</v>
      </c>
      <c r="J9" s="6">
        <f t="shared" si="2"/>
        <v>45791.916666899997</v>
      </c>
      <c r="K9" s="6">
        <f t="shared" si="2"/>
        <v>45822.3333336</v>
      </c>
      <c r="L9" s="6">
        <f t="shared" si="2"/>
        <v>45852.750000300002</v>
      </c>
      <c r="M9" s="6">
        <f t="shared" si="2"/>
        <v>45883.166666999998</v>
      </c>
      <c r="N9" s="6">
        <f t="shared" si="2"/>
        <v>45913.5833337</v>
      </c>
      <c r="O9" s="6">
        <f t="shared" si="2"/>
        <v>45944.000000400003</v>
      </c>
      <c r="P9" s="6">
        <f t="shared" si="2"/>
        <v>45974.416667099998</v>
      </c>
      <c r="Q9" s="6">
        <f t="shared" si="2"/>
        <v>46004.833333800001</v>
      </c>
      <c r="R9" s="6">
        <f t="shared" si="2"/>
        <v>46035.250000499997</v>
      </c>
      <c r="S9" s="6">
        <f t="shared" si="2"/>
        <v>46065.666667199999</v>
      </c>
      <c r="T9" s="6">
        <f t="shared" si="2"/>
        <v>46096.083333900002</v>
      </c>
      <c r="U9" s="6">
        <f t="shared" si="2"/>
        <v>46126.500000599997</v>
      </c>
      <c r="V9" s="6">
        <f t="shared" si="2"/>
        <v>46156.9166673</v>
      </c>
      <c r="W9" s="6">
        <f t="shared" si="2"/>
        <v>46187.333334000003</v>
      </c>
      <c r="X9" s="6">
        <f t="shared" si="2"/>
        <v>46217.750000699998</v>
      </c>
      <c r="Y9" s="6">
        <f t="shared" si="2"/>
        <v>46248.166667400001</v>
      </c>
      <c r="Z9" s="6">
        <f t="shared" si="2"/>
        <v>46278.583334099996</v>
      </c>
      <c r="AA9" s="6">
        <f t="shared" si="2"/>
        <v>46309.000000799999</v>
      </c>
      <c r="AB9" s="6">
        <f t="shared" si="2"/>
        <v>46339.416667500001</v>
      </c>
      <c r="AC9" s="6">
        <f t="shared" si="2"/>
        <v>46369.833334199997</v>
      </c>
      <c r="AD9" s="6">
        <f t="shared" si="2"/>
        <v>46400.2500009</v>
      </c>
      <c r="AE9" s="6">
        <f t="shared" si="2"/>
        <v>46430.666667600002</v>
      </c>
      <c r="AF9" s="6">
        <f t="shared" si="2"/>
        <v>46461.083334299998</v>
      </c>
      <c r="AG9" s="6">
        <f t="shared" si="2"/>
        <v>46491.500001</v>
      </c>
      <c r="AH9" s="6">
        <f t="shared" si="2"/>
        <v>46521.916667700003</v>
      </c>
      <c r="AI9" s="6">
        <f t="shared" si="2"/>
        <v>46552.333334399998</v>
      </c>
      <c r="AJ9" s="6">
        <f t="shared" si="2"/>
        <v>46582.750001100001</v>
      </c>
      <c r="AK9" s="6">
        <f t="shared" si="2"/>
        <v>46613.166667799997</v>
      </c>
      <c r="AL9" s="6">
        <f t="shared" si="2"/>
        <v>46643.583334499999</v>
      </c>
      <c r="AM9" s="6">
        <f t="shared" si="2"/>
        <v>46674.000001200002</v>
      </c>
      <c r="AN9" s="6">
        <f t="shared" si="2"/>
        <v>46704.416667899997</v>
      </c>
      <c r="AO9" s="6">
        <f t="shared" si="2"/>
        <v>46734.8333346</v>
      </c>
      <c r="AP9" s="6">
        <f t="shared" si="2"/>
        <v>46765.250001299995</v>
      </c>
      <c r="AQ9" s="6">
        <f t="shared" si="2"/>
        <v>46795.666667999998</v>
      </c>
      <c r="AR9" s="6">
        <f t="shared" si="2"/>
        <v>46826.083334700001</v>
      </c>
      <c r="AS9" s="6">
        <f t="shared" si="2"/>
        <v>46856.500001399996</v>
      </c>
      <c r="AT9" s="6">
        <f t="shared" si="2"/>
        <v>46886.916668099999</v>
      </c>
      <c r="AU9" s="6">
        <f t="shared" si="2"/>
        <v>46917.333334800001</v>
      </c>
      <c r="AV9" s="6">
        <f t="shared" si="2"/>
        <v>46947.750001499997</v>
      </c>
      <c r="AW9" s="6">
        <f t="shared" si="2"/>
        <v>46978.1666682</v>
      </c>
      <c r="AX9" s="6">
        <f t="shared" si="2"/>
        <v>47008.583334900002</v>
      </c>
      <c r="AY9" s="6">
        <f t="shared" si="2"/>
        <v>47039.000001599998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 spans="1:62" x14ac:dyDescent="0.35">
      <c r="B10" s="6">
        <f t="shared" si="1"/>
        <v>45580</v>
      </c>
      <c r="C10" s="6">
        <f t="shared" si="3"/>
        <v>45580</v>
      </c>
      <c r="D10" s="6">
        <f t="shared" si="4"/>
        <v>45610.416666700003</v>
      </c>
      <c r="E10" s="6">
        <f t="shared" si="2"/>
        <v>45640.833333399998</v>
      </c>
      <c r="F10" s="6">
        <f t="shared" si="2"/>
        <v>45671.250000100001</v>
      </c>
      <c r="G10" s="6">
        <f t="shared" si="2"/>
        <v>45701.666666800003</v>
      </c>
      <c r="H10" s="6">
        <f t="shared" si="2"/>
        <v>45732.083333499999</v>
      </c>
      <c r="I10" s="6">
        <f t="shared" si="2"/>
        <v>45762.500000200002</v>
      </c>
      <c r="J10" s="6">
        <f t="shared" si="2"/>
        <v>45792.916666899997</v>
      </c>
      <c r="K10" s="6">
        <f t="shared" si="2"/>
        <v>45823.3333336</v>
      </c>
      <c r="L10" s="6">
        <f t="shared" si="2"/>
        <v>45853.750000300002</v>
      </c>
      <c r="M10" s="6">
        <f t="shared" si="2"/>
        <v>45884.166666999998</v>
      </c>
      <c r="N10" s="6">
        <f t="shared" si="2"/>
        <v>45914.5833337</v>
      </c>
      <c r="O10" s="6">
        <f t="shared" si="2"/>
        <v>45945.000000400003</v>
      </c>
      <c r="P10" s="6">
        <f t="shared" si="2"/>
        <v>45975.416667099998</v>
      </c>
      <c r="Q10" s="6">
        <f t="shared" si="2"/>
        <v>46005.833333800001</v>
      </c>
      <c r="R10" s="6">
        <f t="shared" si="2"/>
        <v>46036.250000499997</v>
      </c>
      <c r="S10" s="6">
        <f t="shared" si="2"/>
        <v>46066.666667199999</v>
      </c>
      <c r="T10" s="6">
        <f t="shared" si="2"/>
        <v>46097.083333900002</v>
      </c>
      <c r="U10" s="6">
        <f t="shared" si="2"/>
        <v>46127.500000599997</v>
      </c>
      <c r="V10" s="6">
        <f t="shared" si="2"/>
        <v>46157.9166673</v>
      </c>
      <c r="W10" s="6">
        <f t="shared" si="2"/>
        <v>46188.333334000003</v>
      </c>
      <c r="X10" s="6">
        <f t="shared" si="2"/>
        <v>46218.750000699998</v>
      </c>
      <c r="Y10" s="6">
        <f t="shared" si="2"/>
        <v>46249.166667400001</v>
      </c>
      <c r="Z10" s="6">
        <f t="shared" si="2"/>
        <v>46279.583334099996</v>
      </c>
      <c r="AA10" s="6">
        <f t="shared" si="2"/>
        <v>46310.000000799999</v>
      </c>
      <c r="AB10" s="6">
        <f t="shared" si="2"/>
        <v>46340.416667500001</v>
      </c>
      <c r="AC10" s="6">
        <f t="shared" si="2"/>
        <v>46370.833334199997</v>
      </c>
      <c r="AD10" s="6">
        <f t="shared" si="2"/>
        <v>46401.2500009</v>
      </c>
      <c r="AE10" s="6">
        <f t="shared" si="2"/>
        <v>46431.666667600002</v>
      </c>
      <c r="AF10" s="6">
        <f t="shared" si="2"/>
        <v>46462.083334299998</v>
      </c>
      <c r="AG10" s="6">
        <f t="shared" si="2"/>
        <v>46492.500001</v>
      </c>
      <c r="AH10" s="6">
        <f t="shared" si="2"/>
        <v>46522.916667700003</v>
      </c>
      <c r="AI10" s="6">
        <f t="shared" si="2"/>
        <v>46553.333334399998</v>
      </c>
      <c r="AJ10" s="6">
        <f t="shared" si="2"/>
        <v>46583.750001100001</v>
      </c>
      <c r="AK10" s="6">
        <f t="shared" si="2"/>
        <v>46614.166667799997</v>
      </c>
      <c r="AL10" s="6">
        <f t="shared" si="2"/>
        <v>46644.583334499999</v>
      </c>
      <c r="AM10" s="6">
        <f t="shared" si="2"/>
        <v>46675.000001200002</v>
      </c>
      <c r="AN10" s="6">
        <f t="shared" si="2"/>
        <v>46705.416667899997</v>
      </c>
      <c r="AO10" s="6">
        <f t="shared" si="2"/>
        <v>46735.8333346</v>
      </c>
      <c r="AP10" s="6">
        <f t="shared" si="2"/>
        <v>46766.250001299995</v>
      </c>
      <c r="AQ10" s="6">
        <f t="shared" si="2"/>
        <v>46796.666667999998</v>
      </c>
      <c r="AR10" s="6">
        <f t="shared" si="2"/>
        <v>46827.083334700001</v>
      </c>
      <c r="AS10" s="6">
        <f t="shared" si="2"/>
        <v>46857.500001399996</v>
      </c>
      <c r="AT10" s="6">
        <f t="shared" si="2"/>
        <v>46887.916668099999</v>
      </c>
      <c r="AU10" s="6">
        <f t="shared" si="2"/>
        <v>46918.333334800001</v>
      </c>
      <c r="AV10" s="6">
        <f t="shared" si="2"/>
        <v>46948.750001499997</v>
      </c>
      <c r="AW10" s="6">
        <f t="shared" si="2"/>
        <v>46979.1666682</v>
      </c>
      <c r="AX10" s="6">
        <f t="shared" si="2"/>
        <v>47009.583334900002</v>
      </c>
      <c r="AY10" s="6">
        <f t="shared" si="2"/>
        <v>47040.000001599998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 spans="1:62" x14ac:dyDescent="0.35">
      <c r="B11" s="6">
        <f t="shared" si="1"/>
        <v>45581</v>
      </c>
      <c r="C11" s="6">
        <f t="shared" si="3"/>
        <v>45581</v>
      </c>
      <c r="D11" s="6">
        <f t="shared" si="4"/>
        <v>45611.416666700003</v>
      </c>
      <c r="E11" s="6">
        <f t="shared" si="4"/>
        <v>45641.833333399998</v>
      </c>
      <c r="F11" s="6">
        <f t="shared" si="4"/>
        <v>45672.250000100001</v>
      </c>
      <c r="G11" s="6">
        <f t="shared" si="4"/>
        <v>45702.666666800003</v>
      </c>
      <c r="H11" s="6">
        <f t="shared" si="4"/>
        <v>45733.083333499999</v>
      </c>
      <c r="I11" s="6">
        <f t="shared" si="4"/>
        <v>45763.500000200002</v>
      </c>
      <c r="J11" s="6">
        <f t="shared" si="4"/>
        <v>45793.916666899997</v>
      </c>
      <c r="K11" s="6">
        <f t="shared" si="4"/>
        <v>45824.3333336</v>
      </c>
      <c r="L11" s="6">
        <f t="shared" si="4"/>
        <v>45854.750000300002</v>
      </c>
      <c r="M11" s="6">
        <f t="shared" si="4"/>
        <v>45885.166666999998</v>
      </c>
      <c r="N11" s="6">
        <f t="shared" si="4"/>
        <v>45915.5833337</v>
      </c>
      <c r="O11" s="6">
        <f t="shared" si="4"/>
        <v>45946.000000400003</v>
      </c>
      <c r="P11" s="6">
        <f t="shared" si="4"/>
        <v>45976.416667099998</v>
      </c>
      <c r="Q11" s="6">
        <f t="shared" si="4"/>
        <v>46006.833333800001</v>
      </c>
      <c r="R11" s="6">
        <f t="shared" si="4"/>
        <v>46037.250000499997</v>
      </c>
      <c r="S11" s="6">
        <f t="shared" si="4"/>
        <v>46067.666667199999</v>
      </c>
      <c r="T11" s="6">
        <f t="shared" si="2"/>
        <v>46098.083333900002</v>
      </c>
      <c r="U11" s="6">
        <f t="shared" si="2"/>
        <v>46128.500000599997</v>
      </c>
      <c r="V11" s="6">
        <f t="shared" si="2"/>
        <v>46158.9166673</v>
      </c>
      <c r="W11" s="6">
        <f t="shared" si="2"/>
        <v>46189.333334000003</v>
      </c>
      <c r="X11" s="6">
        <f t="shared" si="2"/>
        <v>46219.750000699998</v>
      </c>
      <c r="Y11" s="6">
        <f t="shared" si="2"/>
        <v>46250.166667400001</v>
      </c>
      <c r="Z11" s="6">
        <f t="shared" si="2"/>
        <v>46280.583334099996</v>
      </c>
      <c r="AA11" s="6">
        <f t="shared" si="2"/>
        <v>46311.000000799999</v>
      </c>
      <c r="AB11" s="6">
        <f t="shared" si="2"/>
        <v>46341.416667500001</v>
      </c>
      <c r="AC11" s="6">
        <f t="shared" si="2"/>
        <v>46371.833334199997</v>
      </c>
      <c r="AD11" s="6">
        <f t="shared" si="2"/>
        <v>46402.2500009</v>
      </c>
      <c r="AE11" s="6">
        <f t="shared" si="2"/>
        <v>46432.666667600002</v>
      </c>
      <c r="AF11" s="6">
        <f t="shared" si="2"/>
        <v>46463.083334299998</v>
      </c>
      <c r="AG11" s="6">
        <f t="shared" si="2"/>
        <v>46493.500001</v>
      </c>
      <c r="AH11" s="6">
        <f t="shared" si="2"/>
        <v>46523.916667700003</v>
      </c>
      <c r="AI11" s="6">
        <f t="shared" si="2"/>
        <v>46554.333334399998</v>
      </c>
      <c r="AJ11" s="6">
        <f t="shared" si="2"/>
        <v>46584.750001100001</v>
      </c>
      <c r="AK11" s="6">
        <f t="shared" si="2"/>
        <v>46615.166667799997</v>
      </c>
      <c r="AL11" s="6">
        <f t="shared" si="2"/>
        <v>46645.583334499999</v>
      </c>
      <c r="AM11" s="6">
        <f t="shared" si="2"/>
        <v>46676.000001200002</v>
      </c>
      <c r="AN11" s="6">
        <f t="shared" ref="AJ11:AY20" si="5">$C11+AN$4</f>
        <v>46706.416667899997</v>
      </c>
      <c r="AO11" s="6">
        <f t="shared" si="5"/>
        <v>46736.8333346</v>
      </c>
      <c r="AP11" s="6">
        <f t="shared" si="5"/>
        <v>46767.250001299995</v>
      </c>
      <c r="AQ11" s="6">
        <f t="shared" si="5"/>
        <v>46797.666667999998</v>
      </c>
      <c r="AR11" s="6">
        <f t="shared" si="5"/>
        <v>46828.083334700001</v>
      </c>
      <c r="AS11" s="6">
        <f t="shared" si="5"/>
        <v>46858.500001399996</v>
      </c>
      <c r="AT11" s="6">
        <f t="shared" si="5"/>
        <v>46888.916668099999</v>
      </c>
      <c r="AU11" s="6">
        <f t="shared" si="5"/>
        <v>46919.333334800001</v>
      </c>
      <c r="AV11" s="6">
        <f t="shared" si="5"/>
        <v>46949.750001499997</v>
      </c>
      <c r="AW11" s="6">
        <f t="shared" si="5"/>
        <v>46980.1666682</v>
      </c>
      <c r="AX11" s="6">
        <f t="shared" si="5"/>
        <v>47010.583334900002</v>
      </c>
      <c r="AY11" s="6">
        <f t="shared" si="5"/>
        <v>47041.000001599998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</row>
    <row r="12" spans="1:62" x14ac:dyDescent="0.35">
      <c r="B12" s="6">
        <f t="shared" si="1"/>
        <v>45582</v>
      </c>
      <c r="C12" s="6">
        <f t="shared" si="3"/>
        <v>45582</v>
      </c>
      <c r="D12" s="6">
        <f t="shared" si="4"/>
        <v>45612.416666700003</v>
      </c>
      <c r="E12" s="6">
        <f t="shared" si="4"/>
        <v>45642.833333399998</v>
      </c>
      <c r="F12" s="6">
        <f t="shared" si="4"/>
        <v>45673.250000100001</v>
      </c>
      <c r="G12" s="6">
        <f t="shared" si="4"/>
        <v>45703.666666800003</v>
      </c>
      <c r="H12" s="6">
        <f t="shared" si="4"/>
        <v>45734.083333499999</v>
      </c>
      <c r="I12" s="6">
        <f t="shared" si="4"/>
        <v>45764.500000200002</v>
      </c>
      <c r="J12" s="6">
        <f t="shared" si="4"/>
        <v>45794.916666899997</v>
      </c>
      <c r="K12" s="6">
        <f t="shared" si="4"/>
        <v>45825.3333336</v>
      </c>
      <c r="L12" s="6">
        <f t="shared" si="4"/>
        <v>45855.750000300002</v>
      </c>
      <c r="M12" s="6">
        <f t="shared" si="4"/>
        <v>45886.166666999998</v>
      </c>
      <c r="N12" s="6">
        <f t="shared" si="4"/>
        <v>45916.5833337</v>
      </c>
      <c r="O12" s="6">
        <f t="shared" si="4"/>
        <v>45947.000000400003</v>
      </c>
      <c r="P12" s="6">
        <f t="shared" si="4"/>
        <v>45977.416667099998</v>
      </c>
      <c r="Q12" s="6">
        <f t="shared" si="4"/>
        <v>46007.833333800001</v>
      </c>
      <c r="R12" s="6">
        <f t="shared" si="4"/>
        <v>46038.250000499997</v>
      </c>
      <c r="S12" s="6">
        <f t="shared" si="4"/>
        <v>46068.666667199999</v>
      </c>
      <c r="T12" s="6">
        <f t="shared" ref="T12:AI20" si="6">$C12+T$4</f>
        <v>46099.083333900002</v>
      </c>
      <c r="U12" s="6">
        <f t="shared" si="6"/>
        <v>46129.500000599997</v>
      </c>
      <c r="V12" s="6">
        <f t="shared" si="6"/>
        <v>46159.9166673</v>
      </c>
      <c r="W12" s="6">
        <f t="shared" si="6"/>
        <v>46190.333334000003</v>
      </c>
      <c r="X12" s="6">
        <f t="shared" si="6"/>
        <v>46220.750000699998</v>
      </c>
      <c r="Y12" s="6">
        <f t="shared" si="6"/>
        <v>46251.166667400001</v>
      </c>
      <c r="Z12" s="6">
        <f t="shared" si="6"/>
        <v>46281.583334099996</v>
      </c>
      <c r="AA12" s="6">
        <f t="shared" si="6"/>
        <v>46312.000000799999</v>
      </c>
      <c r="AB12" s="6">
        <f t="shared" si="6"/>
        <v>46342.416667500001</v>
      </c>
      <c r="AC12" s="6">
        <f t="shared" si="6"/>
        <v>46372.833334199997</v>
      </c>
      <c r="AD12" s="6">
        <f t="shared" si="6"/>
        <v>46403.2500009</v>
      </c>
      <c r="AE12" s="6">
        <f t="shared" si="6"/>
        <v>46433.666667600002</v>
      </c>
      <c r="AF12" s="6">
        <f t="shared" si="6"/>
        <v>46464.083334299998</v>
      </c>
      <c r="AG12" s="6">
        <f t="shared" si="6"/>
        <v>46494.500001</v>
      </c>
      <c r="AH12" s="6">
        <f t="shared" si="6"/>
        <v>46524.916667700003</v>
      </c>
      <c r="AI12" s="6">
        <f t="shared" si="6"/>
        <v>46555.333334399998</v>
      </c>
      <c r="AJ12" s="6">
        <f t="shared" si="5"/>
        <v>46585.750001100001</v>
      </c>
      <c r="AK12" s="6">
        <f t="shared" si="5"/>
        <v>46616.166667799997</v>
      </c>
      <c r="AL12" s="6">
        <f t="shared" si="5"/>
        <v>46646.583334499999</v>
      </c>
      <c r="AM12" s="6">
        <f t="shared" si="5"/>
        <v>46677.000001200002</v>
      </c>
      <c r="AN12" s="6">
        <f t="shared" si="5"/>
        <v>46707.416667899997</v>
      </c>
      <c r="AO12" s="6">
        <f t="shared" si="5"/>
        <v>46737.8333346</v>
      </c>
      <c r="AP12" s="6">
        <f t="shared" si="5"/>
        <v>46768.250001299995</v>
      </c>
      <c r="AQ12" s="6">
        <f t="shared" si="5"/>
        <v>46798.666667999998</v>
      </c>
      <c r="AR12" s="6">
        <f t="shared" si="5"/>
        <v>46829.083334700001</v>
      </c>
      <c r="AS12" s="6">
        <f t="shared" si="5"/>
        <v>46859.500001399996</v>
      </c>
      <c r="AT12" s="6">
        <f t="shared" si="5"/>
        <v>46889.916668099999</v>
      </c>
      <c r="AU12" s="6">
        <f t="shared" si="5"/>
        <v>46920.333334800001</v>
      </c>
      <c r="AV12" s="6">
        <f t="shared" si="5"/>
        <v>46950.750001499997</v>
      </c>
      <c r="AW12" s="6">
        <f t="shared" si="5"/>
        <v>46981.1666682</v>
      </c>
      <c r="AX12" s="6">
        <f t="shared" si="5"/>
        <v>47011.583334900002</v>
      </c>
      <c r="AY12" s="6">
        <f t="shared" si="5"/>
        <v>47042.000001599998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 spans="1:62" x14ac:dyDescent="0.35">
      <c r="B13" s="6">
        <f t="shared" si="1"/>
        <v>45583</v>
      </c>
      <c r="C13" s="6">
        <f t="shared" si="3"/>
        <v>45583</v>
      </c>
      <c r="D13" s="6">
        <f t="shared" si="4"/>
        <v>45613.416666700003</v>
      </c>
      <c r="E13" s="6">
        <f t="shared" si="4"/>
        <v>45643.833333399998</v>
      </c>
      <c r="F13" s="6">
        <f t="shared" si="4"/>
        <v>45674.250000100001</v>
      </c>
      <c r="G13" s="6">
        <f t="shared" si="4"/>
        <v>45704.666666800003</v>
      </c>
      <c r="H13" s="6">
        <f t="shared" si="4"/>
        <v>45735.083333499999</v>
      </c>
      <c r="I13" s="6">
        <f t="shared" si="4"/>
        <v>45765.500000200002</v>
      </c>
      <c r="J13" s="6">
        <f t="shared" si="4"/>
        <v>45795.916666899997</v>
      </c>
      <c r="K13" s="6">
        <f t="shared" si="4"/>
        <v>45826.3333336</v>
      </c>
      <c r="L13" s="6">
        <f t="shared" si="4"/>
        <v>45856.750000300002</v>
      </c>
      <c r="M13" s="6">
        <f t="shared" si="4"/>
        <v>45887.166666999998</v>
      </c>
      <c r="N13" s="6">
        <f t="shared" si="4"/>
        <v>45917.5833337</v>
      </c>
      <c r="O13" s="6">
        <f t="shared" si="4"/>
        <v>45948.000000400003</v>
      </c>
      <c r="P13" s="6">
        <f t="shared" si="4"/>
        <v>45978.416667099998</v>
      </c>
      <c r="Q13" s="6">
        <f t="shared" si="4"/>
        <v>46008.833333800001</v>
      </c>
      <c r="R13" s="6">
        <f t="shared" si="4"/>
        <v>46039.250000499997</v>
      </c>
      <c r="S13" s="6">
        <f t="shared" si="4"/>
        <v>46069.666667199999</v>
      </c>
      <c r="T13" s="6">
        <f t="shared" si="6"/>
        <v>46100.083333900002</v>
      </c>
      <c r="U13" s="6">
        <f t="shared" si="6"/>
        <v>46130.500000599997</v>
      </c>
      <c r="V13" s="6">
        <f t="shared" si="6"/>
        <v>46160.9166673</v>
      </c>
      <c r="W13" s="6">
        <f t="shared" si="6"/>
        <v>46191.333334000003</v>
      </c>
      <c r="X13" s="6">
        <f t="shared" si="6"/>
        <v>46221.750000699998</v>
      </c>
      <c r="Y13" s="6">
        <f t="shared" si="6"/>
        <v>46252.166667400001</v>
      </c>
      <c r="Z13" s="6">
        <f t="shared" si="6"/>
        <v>46282.583334099996</v>
      </c>
      <c r="AA13" s="6">
        <f t="shared" si="6"/>
        <v>46313.000000799999</v>
      </c>
      <c r="AB13" s="6">
        <f t="shared" si="6"/>
        <v>46343.416667500001</v>
      </c>
      <c r="AC13" s="6">
        <f t="shared" si="6"/>
        <v>46373.833334199997</v>
      </c>
      <c r="AD13" s="6">
        <f t="shared" si="6"/>
        <v>46404.2500009</v>
      </c>
      <c r="AE13" s="6">
        <f t="shared" si="6"/>
        <v>46434.666667600002</v>
      </c>
      <c r="AF13" s="6">
        <f t="shared" si="6"/>
        <v>46465.083334299998</v>
      </c>
      <c r="AG13" s="6">
        <f t="shared" si="6"/>
        <v>46495.500001</v>
      </c>
      <c r="AH13" s="6">
        <f t="shared" si="6"/>
        <v>46525.916667700003</v>
      </c>
      <c r="AI13" s="6">
        <f t="shared" si="6"/>
        <v>46556.333334399998</v>
      </c>
      <c r="AJ13" s="6">
        <f t="shared" si="5"/>
        <v>46586.750001100001</v>
      </c>
      <c r="AK13" s="6">
        <f t="shared" si="5"/>
        <v>46617.166667799997</v>
      </c>
      <c r="AL13" s="6">
        <f t="shared" si="5"/>
        <v>46647.583334499999</v>
      </c>
      <c r="AM13" s="6">
        <f t="shared" si="5"/>
        <v>46678.000001200002</v>
      </c>
      <c r="AN13" s="6">
        <f t="shared" si="5"/>
        <v>46708.416667899997</v>
      </c>
      <c r="AO13" s="6">
        <f t="shared" si="5"/>
        <v>46738.8333346</v>
      </c>
      <c r="AP13" s="6">
        <f t="shared" si="5"/>
        <v>46769.250001299995</v>
      </c>
      <c r="AQ13" s="6">
        <f t="shared" si="5"/>
        <v>46799.666667999998</v>
      </c>
      <c r="AR13" s="6">
        <f t="shared" si="5"/>
        <v>46830.083334700001</v>
      </c>
      <c r="AS13" s="6">
        <f t="shared" si="5"/>
        <v>46860.500001399996</v>
      </c>
      <c r="AT13" s="6">
        <f t="shared" si="5"/>
        <v>46890.916668099999</v>
      </c>
      <c r="AU13" s="6">
        <f t="shared" si="5"/>
        <v>46921.333334800001</v>
      </c>
      <c r="AV13" s="6">
        <f t="shared" si="5"/>
        <v>46951.750001499997</v>
      </c>
      <c r="AW13" s="6">
        <f t="shared" si="5"/>
        <v>46982.1666682</v>
      </c>
      <c r="AX13" s="6">
        <f t="shared" si="5"/>
        <v>47012.583334900002</v>
      </c>
      <c r="AY13" s="6">
        <f t="shared" si="5"/>
        <v>47043.000001599998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 spans="1:62" x14ac:dyDescent="0.35">
      <c r="B14" s="6">
        <f t="shared" si="1"/>
        <v>45586</v>
      </c>
      <c r="C14" s="6">
        <f t="shared" si="3"/>
        <v>45586</v>
      </c>
      <c r="D14" s="6">
        <f t="shared" si="4"/>
        <v>45616.416666700003</v>
      </c>
      <c r="E14" s="6">
        <f t="shared" si="4"/>
        <v>45646.833333399998</v>
      </c>
      <c r="F14" s="6">
        <f t="shared" si="4"/>
        <v>45677.250000100001</v>
      </c>
      <c r="G14" s="6">
        <f t="shared" si="4"/>
        <v>45707.666666800003</v>
      </c>
      <c r="H14" s="6">
        <f t="shared" si="4"/>
        <v>45738.083333499999</v>
      </c>
      <c r="I14" s="6">
        <f t="shared" si="4"/>
        <v>45768.500000200002</v>
      </c>
      <c r="J14" s="6">
        <f t="shared" si="4"/>
        <v>45798.916666899997</v>
      </c>
      <c r="K14" s="6">
        <f t="shared" si="4"/>
        <v>45829.3333336</v>
      </c>
      <c r="L14" s="6">
        <f t="shared" si="4"/>
        <v>45859.750000300002</v>
      </c>
      <c r="M14" s="6">
        <f t="shared" si="4"/>
        <v>45890.166666999998</v>
      </c>
      <c r="N14" s="6">
        <f t="shared" si="4"/>
        <v>45920.5833337</v>
      </c>
      <c r="O14" s="6">
        <f t="shared" si="4"/>
        <v>45951.000000400003</v>
      </c>
      <c r="P14" s="6">
        <f t="shared" si="4"/>
        <v>45981.416667099998</v>
      </c>
      <c r="Q14" s="6">
        <f t="shared" si="4"/>
        <v>46011.833333800001</v>
      </c>
      <c r="R14" s="6">
        <f t="shared" si="4"/>
        <v>46042.250000499997</v>
      </c>
      <c r="S14" s="6">
        <f t="shared" si="4"/>
        <v>46072.666667199999</v>
      </c>
      <c r="T14" s="6">
        <f t="shared" si="6"/>
        <v>46103.083333900002</v>
      </c>
      <c r="U14" s="6">
        <f t="shared" si="6"/>
        <v>46133.500000599997</v>
      </c>
      <c r="V14" s="6">
        <f t="shared" si="6"/>
        <v>46163.9166673</v>
      </c>
      <c r="W14" s="6">
        <f t="shared" si="6"/>
        <v>46194.333334000003</v>
      </c>
      <c r="X14" s="6">
        <f t="shared" si="6"/>
        <v>46224.750000699998</v>
      </c>
      <c r="Y14" s="6">
        <f t="shared" si="6"/>
        <v>46255.166667400001</v>
      </c>
      <c r="Z14" s="6">
        <f t="shared" si="6"/>
        <v>46285.583334099996</v>
      </c>
      <c r="AA14" s="6">
        <f t="shared" si="6"/>
        <v>46316.000000799999</v>
      </c>
      <c r="AB14" s="6">
        <f t="shared" si="6"/>
        <v>46346.416667500001</v>
      </c>
      <c r="AC14" s="6">
        <f t="shared" si="6"/>
        <v>46376.833334199997</v>
      </c>
      <c r="AD14" s="6">
        <f t="shared" si="6"/>
        <v>46407.2500009</v>
      </c>
      <c r="AE14" s="6">
        <f t="shared" si="6"/>
        <v>46437.666667600002</v>
      </c>
      <c r="AF14" s="6">
        <f t="shared" si="6"/>
        <v>46468.083334299998</v>
      </c>
      <c r="AG14" s="6">
        <f t="shared" si="6"/>
        <v>46498.500001</v>
      </c>
      <c r="AH14" s="6">
        <f t="shared" si="6"/>
        <v>46528.916667700003</v>
      </c>
      <c r="AI14" s="6">
        <f t="shared" si="6"/>
        <v>46559.333334399998</v>
      </c>
      <c r="AJ14" s="6">
        <f t="shared" si="5"/>
        <v>46589.750001100001</v>
      </c>
      <c r="AK14" s="6">
        <f t="shared" si="5"/>
        <v>46620.166667799997</v>
      </c>
      <c r="AL14" s="6">
        <f t="shared" si="5"/>
        <v>46650.583334499999</v>
      </c>
      <c r="AM14" s="6">
        <f t="shared" si="5"/>
        <v>46681.000001200002</v>
      </c>
      <c r="AN14" s="6">
        <f t="shared" si="5"/>
        <v>46711.416667899997</v>
      </c>
      <c r="AO14" s="6">
        <f t="shared" si="5"/>
        <v>46741.8333346</v>
      </c>
      <c r="AP14" s="6">
        <f t="shared" si="5"/>
        <v>46772.250001299995</v>
      </c>
      <c r="AQ14" s="6">
        <f t="shared" si="5"/>
        <v>46802.666667999998</v>
      </c>
      <c r="AR14" s="6">
        <f t="shared" si="5"/>
        <v>46833.083334700001</v>
      </c>
      <c r="AS14" s="6">
        <f t="shared" si="5"/>
        <v>46863.500001399996</v>
      </c>
      <c r="AT14" s="6">
        <f t="shared" si="5"/>
        <v>46893.916668099999</v>
      </c>
      <c r="AU14" s="6">
        <f t="shared" si="5"/>
        <v>46924.333334800001</v>
      </c>
      <c r="AV14" s="6">
        <f t="shared" si="5"/>
        <v>46954.750001499997</v>
      </c>
      <c r="AW14" s="6">
        <f t="shared" si="5"/>
        <v>46985.1666682</v>
      </c>
      <c r="AX14" s="6">
        <f t="shared" si="5"/>
        <v>47015.583334900002</v>
      </c>
      <c r="AY14" s="6">
        <f t="shared" si="5"/>
        <v>47046.000001599998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 spans="1:62" x14ac:dyDescent="0.35">
      <c r="B15" s="6">
        <f>B20-7</f>
        <v>45587</v>
      </c>
      <c r="C15" s="6">
        <f t="shared" si="3"/>
        <v>45587</v>
      </c>
      <c r="D15" s="6">
        <f t="shared" si="4"/>
        <v>45617.416666700003</v>
      </c>
      <c r="E15" s="6">
        <f t="shared" si="4"/>
        <v>45647.833333399998</v>
      </c>
      <c r="F15" s="6">
        <f t="shared" si="4"/>
        <v>45678.250000100001</v>
      </c>
      <c r="G15" s="6">
        <f t="shared" si="4"/>
        <v>45708.666666800003</v>
      </c>
      <c r="H15" s="6">
        <f t="shared" si="4"/>
        <v>45739.083333499999</v>
      </c>
      <c r="I15" s="6">
        <f t="shared" si="4"/>
        <v>45769.500000200002</v>
      </c>
      <c r="J15" s="6">
        <f t="shared" si="4"/>
        <v>45799.916666899997</v>
      </c>
      <c r="K15" s="6">
        <f t="shared" si="4"/>
        <v>45830.3333336</v>
      </c>
      <c r="L15" s="6">
        <f t="shared" si="4"/>
        <v>45860.750000300002</v>
      </c>
      <c r="M15" s="6">
        <f t="shared" si="4"/>
        <v>45891.166666999998</v>
      </c>
      <c r="N15" s="6">
        <f t="shared" si="4"/>
        <v>45921.5833337</v>
      </c>
      <c r="O15" s="6">
        <f t="shared" si="4"/>
        <v>45952.000000400003</v>
      </c>
      <c r="P15" s="6">
        <f t="shared" si="4"/>
        <v>45982.416667099998</v>
      </c>
      <c r="Q15" s="6">
        <f t="shared" si="4"/>
        <v>46012.833333800001</v>
      </c>
      <c r="R15" s="6">
        <f t="shared" si="4"/>
        <v>46043.250000499997</v>
      </c>
      <c r="S15" s="6">
        <f t="shared" si="4"/>
        <v>46073.666667199999</v>
      </c>
      <c r="T15" s="6">
        <f t="shared" si="6"/>
        <v>46104.083333900002</v>
      </c>
      <c r="U15" s="6">
        <f t="shared" si="6"/>
        <v>46134.500000599997</v>
      </c>
      <c r="V15" s="6">
        <f t="shared" si="6"/>
        <v>46164.9166673</v>
      </c>
      <c r="W15" s="6">
        <f t="shared" si="6"/>
        <v>46195.333334000003</v>
      </c>
      <c r="X15" s="6">
        <f t="shared" si="6"/>
        <v>46225.750000699998</v>
      </c>
      <c r="Y15" s="6">
        <f t="shared" si="6"/>
        <v>46256.166667400001</v>
      </c>
      <c r="Z15" s="6">
        <f t="shared" si="6"/>
        <v>46286.583334099996</v>
      </c>
      <c r="AA15" s="6">
        <f t="shared" si="6"/>
        <v>46317.000000799999</v>
      </c>
      <c r="AB15" s="6">
        <f t="shared" si="6"/>
        <v>46347.416667500001</v>
      </c>
      <c r="AC15" s="6">
        <f t="shared" si="6"/>
        <v>46377.833334199997</v>
      </c>
      <c r="AD15" s="6">
        <f t="shared" si="6"/>
        <v>46408.2500009</v>
      </c>
      <c r="AE15" s="6">
        <f t="shared" si="6"/>
        <v>46438.666667600002</v>
      </c>
      <c r="AF15" s="6">
        <f t="shared" si="6"/>
        <v>46469.083334299998</v>
      </c>
      <c r="AG15" s="6">
        <f t="shared" si="6"/>
        <v>46499.500001</v>
      </c>
      <c r="AH15" s="6">
        <f t="shared" si="6"/>
        <v>46529.916667700003</v>
      </c>
      <c r="AI15" s="6">
        <f t="shared" si="6"/>
        <v>46560.333334399998</v>
      </c>
      <c r="AJ15" s="6">
        <f t="shared" si="5"/>
        <v>46590.750001100001</v>
      </c>
      <c r="AK15" s="6">
        <f t="shared" si="5"/>
        <v>46621.166667799997</v>
      </c>
      <c r="AL15" s="6">
        <f t="shared" si="5"/>
        <v>46651.583334499999</v>
      </c>
      <c r="AM15" s="6">
        <f t="shared" si="5"/>
        <v>46682.000001200002</v>
      </c>
      <c r="AN15" s="6">
        <f t="shared" si="5"/>
        <v>46712.416667899997</v>
      </c>
      <c r="AO15" s="6">
        <f t="shared" si="5"/>
        <v>46742.8333346</v>
      </c>
      <c r="AP15" s="6">
        <f t="shared" si="5"/>
        <v>46773.250001299995</v>
      </c>
      <c r="AQ15" s="6">
        <f t="shared" si="5"/>
        <v>46803.666667999998</v>
      </c>
      <c r="AR15" s="6">
        <f t="shared" si="5"/>
        <v>46834.083334700001</v>
      </c>
      <c r="AS15" s="6">
        <f t="shared" si="5"/>
        <v>46864.500001399996</v>
      </c>
      <c r="AT15" s="6">
        <f t="shared" si="5"/>
        <v>46894.916668099999</v>
      </c>
      <c r="AU15" s="6">
        <f t="shared" si="5"/>
        <v>46925.333334800001</v>
      </c>
      <c r="AV15" s="6">
        <f t="shared" si="5"/>
        <v>46955.750001499997</v>
      </c>
      <c r="AW15" s="6">
        <f t="shared" si="5"/>
        <v>46986.1666682</v>
      </c>
      <c r="AX15" s="6">
        <f t="shared" si="5"/>
        <v>47016.583334900002</v>
      </c>
      <c r="AY15" s="6">
        <f t="shared" si="5"/>
        <v>47047.000001599998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 spans="1:62" x14ac:dyDescent="0.35">
      <c r="A16" t="str">
        <f t="shared" ref="A16:A19" si="7">TEXT(B16,"dddd")</f>
        <v>Wednesday</v>
      </c>
      <c r="B16" s="6">
        <f t="shared" ref="B16:B18" si="8">IF(A17="Monday",B17-3,B17-1)</f>
        <v>45588</v>
      </c>
      <c r="C16" s="6">
        <f t="shared" si="3"/>
        <v>45588</v>
      </c>
      <c r="D16" s="6">
        <f t="shared" si="4"/>
        <v>45618.416666700003</v>
      </c>
      <c r="E16" s="6">
        <f t="shared" si="4"/>
        <v>45648.833333399998</v>
      </c>
      <c r="F16" s="6">
        <f t="shared" si="4"/>
        <v>45679.250000100001</v>
      </c>
      <c r="G16" s="6">
        <f t="shared" si="4"/>
        <v>45709.666666800003</v>
      </c>
      <c r="H16" s="6">
        <f t="shared" si="4"/>
        <v>45740.083333499999</v>
      </c>
      <c r="I16" s="6">
        <f t="shared" si="4"/>
        <v>45770.500000200002</v>
      </c>
      <c r="J16" s="6">
        <f t="shared" si="4"/>
        <v>45800.916666899997</v>
      </c>
      <c r="K16" s="6">
        <f t="shared" si="4"/>
        <v>45831.3333336</v>
      </c>
      <c r="L16" s="6">
        <f t="shared" si="4"/>
        <v>45861.750000300002</v>
      </c>
      <c r="M16" s="6">
        <f t="shared" si="4"/>
        <v>45892.166666999998</v>
      </c>
      <c r="N16" s="6">
        <f t="shared" si="4"/>
        <v>45922.5833337</v>
      </c>
      <c r="O16" s="6">
        <f t="shared" si="4"/>
        <v>45953.000000400003</v>
      </c>
      <c r="P16" s="6">
        <f t="shared" si="4"/>
        <v>45983.416667099998</v>
      </c>
      <c r="Q16" s="6">
        <f t="shared" si="4"/>
        <v>46013.833333800001</v>
      </c>
      <c r="R16" s="6">
        <f t="shared" si="4"/>
        <v>46044.250000499997</v>
      </c>
      <c r="S16" s="6">
        <f t="shared" si="4"/>
        <v>46074.666667199999</v>
      </c>
      <c r="T16" s="6">
        <f t="shared" si="6"/>
        <v>46105.083333900002</v>
      </c>
      <c r="U16" s="6">
        <f t="shared" si="6"/>
        <v>46135.500000599997</v>
      </c>
      <c r="V16" s="6">
        <f t="shared" si="6"/>
        <v>46165.9166673</v>
      </c>
      <c r="W16" s="6">
        <f t="shared" si="6"/>
        <v>46196.333334000003</v>
      </c>
      <c r="X16" s="6">
        <f t="shared" si="6"/>
        <v>46226.750000699998</v>
      </c>
      <c r="Y16" s="6">
        <f t="shared" si="6"/>
        <v>46257.166667400001</v>
      </c>
      <c r="Z16" s="6">
        <f t="shared" si="6"/>
        <v>46287.583334099996</v>
      </c>
      <c r="AA16" s="6">
        <f t="shared" si="6"/>
        <v>46318.000000799999</v>
      </c>
      <c r="AB16" s="6">
        <f t="shared" si="6"/>
        <v>46348.416667500001</v>
      </c>
      <c r="AC16" s="6">
        <f t="shared" si="6"/>
        <v>46378.833334199997</v>
      </c>
      <c r="AD16" s="6">
        <f t="shared" si="6"/>
        <v>46409.2500009</v>
      </c>
      <c r="AE16" s="6">
        <f t="shared" si="6"/>
        <v>46439.666667600002</v>
      </c>
      <c r="AF16" s="6">
        <f t="shared" si="6"/>
        <v>46470.083334299998</v>
      </c>
      <c r="AG16" s="6">
        <f t="shared" si="6"/>
        <v>46500.500001</v>
      </c>
      <c r="AH16" s="6">
        <f t="shared" si="6"/>
        <v>46530.916667700003</v>
      </c>
      <c r="AI16" s="6">
        <f t="shared" si="6"/>
        <v>46561.333334399998</v>
      </c>
      <c r="AJ16" s="6">
        <f t="shared" si="5"/>
        <v>46591.750001100001</v>
      </c>
      <c r="AK16" s="6">
        <f t="shared" si="5"/>
        <v>46622.166667799997</v>
      </c>
      <c r="AL16" s="6">
        <f t="shared" si="5"/>
        <v>46652.583334499999</v>
      </c>
      <c r="AM16" s="6">
        <f t="shared" si="5"/>
        <v>46683.000001200002</v>
      </c>
      <c r="AN16" s="6">
        <f t="shared" si="5"/>
        <v>46713.416667899997</v>
      </c>
      <c r="AO16" s="6">
        <f t="shared" si="5"/>
        <v>46743.8333346</v>
      </c>
      <c r="AP16" s="6">
        <f t="shared" si="5"/>
        <v>46774.250001299995</v>
      </c>
      <c r="AQ16" s="6">
        <f t="shared" si="5"/>
        <v>46804.666667999998</v>
      </c>
      <c r="AR16" s="6">
        <f t="shared" si="5"/>
        <v>46835.083334700001</v>
      </c>
      <c r="AS16" s="6">
        <f t="shared" si="5"/>
        <v>46865.500001399996</v>
      </c>
      <c r="AT16" s="6">
        <f t="shared" si="5"/>
        <v>46895.916668099999</v>
      </c>
      <c r="AU16" s="6">
        <f t="shared" si="5"/>
        <v>46926.333334800001</v>
      </c>
      <c r="AV16" s="6">
        <f t="shared" si="5"/>
        <v>46956.750001499997</v>
      </c>
      <c r="AW16" s="6">
        <f t="shared" si="5"/>
        <v>46987.1666682</v>
      </c>
      <c r="AX16" s="6">
        <f t="shared" si="5"/>
        <v>47017.583334900002</v>
      </c>
      <c r="AY16" s="6">
        <f t="shared" si="5"/>
        <v>47048.000001599998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 spans="1:62" x14ac:dyDescent="0.35">
      <c r="A17" t="str">
        <f t="shared" si="7"/>
        <v>Thursday</v>
      </c>
      <c r="B17" s="6">
        <f t="shared" si="8"/>
        <v>45589</v>
      </c>
      <c r="C17" s="6">
        <f t="shared" si="3"/>
        <v>45589</v>
      </c>
      <c r="D17" s="6">
        <f t="shared" si="4"/>
        <v>45619.416666700003</v>
      </c>
      <c r="E17" s="6">
        <f t="shared" si="4"/>
        <v>45649.833333399998</v>
      </c>
      <c r="F17" s="6">
        <f t="shared" si="4"/>
        <v>45680.250000100001</v>
      </c>
      <c r="G17" s="6">
        <f t="shared" si="4"/>
        <v>45710.666666800003</v>
      </c>
      <c r="H17" s="6">
        <f t="shared" si="4"/>
        <v>45741.083333499999</v>
      </c>
      <c r="I17" s="6">
        <f t="shared" si="4"/>
        <v>45771.500000200002</v>
      </c>
      <c r="J17" s="6">
        <f t="shared" si="4"/>
        <v>45801.916666899997</v>
      </c>
      <c r="K17" s="6">
        <f t="shared" si="4"/>
        <v>45832.3333336</v>
      </c>
      <c r="L17" s="6">
        <f t="shared" si="4"/>
        <v>45862.750000300002</v>
      </c>
      <c r="M17" s="6">
        <f t="shared" si="4"/>
        <v>45893.166666999998</v>
      </c>
      <c r="N17" s="6">
        <f t="shared" si="4"/>
        <v>45923.5833337</v>
      </c>
      <c r="O17" s="6">
        <f t="shared" si="4"/>
        <v>45954.000000400003</v>
      </c>
      <c r="P17" s="6">
        <f t="shared" si="4"/>
        <v>45984.416667099998</v>
      </c>
      <c r="Q17" s="6">
        <f t="shared" si="4"/>
        <v>46014.833333800001</v>
      </c>
      <c r="R17" s="6">
        <f t="shared" si="4"/>
        <v>46045.250000499997</v>
      </c>
      <c r="S17" s="6">
        <f t="shared" si="4"/>
        <v>46075.666667199999</v>
      </c>
      <c r="T17" s="6">
        <f t="shared" si="6"/>
        <v>46106.083333900002</v>
      </c>
      <c r="U17" s="6">
        <f t="shared" si="6"/>
        <v>46136.500000599997</v>
      </c>
      <c r="V17" s="6">
        <f t="shared" si="6"/>
        <v>46166.9166673</v>
      </c>
      <c r="W17" s="6">
        <f t="shared" si="6"/>
        <v>46197.333334000003</v>
      </c>
      <c r="X17" s="6">
        <f t="shared" si="6"/>
        <v>46227.750000699998</v>
      </c>
      <c r="Y17" s="6">
        <f t="shared" si="6"/>
        <v>46258.166667400001</v>
      </c>
      <c r="Z17" s="6">
        <f t="shared" si="6"/>
        <v>46288.583334099996</v>
      </c>
      <c r="AA17" s="6">
        <f t="shared" si="6"/>
        <v>46319.000000799999</v>
      </c>
      <c r="AB17" s="6">
        <f t="shared" si="6"/>
        <v>46349.416667500001</v>
      </c>
      <c r="AC17" s="6">
        <f t="shared" si="6"/>
        <v>46379.833334199997</v>
      </c>
      <c r="AD17" s="6">
        <f t="shared" si="6"/>
        <v>46410.2500009</v>
      </c>
      <c r="AE17" s="6">
        <f t="shared" si="6"/>
        <v>46440.666667600002</v>
      </c>
      <c r="AF17" s="6">
        <f t="shared" si="6"/>
        <v>46471.083334299998</v>
      </c>
      <c r="AG17" s="6">
        <f t="shared" si="6"/>
        <v>46501.500001</v>
      </c>
      <c r="AH17" s="6">
        <f t="shared" si="6"/>
        <v>46531.916667700003</v>
      </c>
      <c r="AI17" s="6">
        <f t="shared" si="6"/>
        <v>46562.333334399998</v>
      </c>
      <c r="AJ17" s="6">
        <f t="shared" si="5"/>
        <v>46592.750001100001</v>
      </c>
      <c r="AK17" s="6">
        <f t="shared" si="5"/>
        <v>46623.166667799997</v>
      </c>
      <c r="AL17" s="6">
        <f t="shared" si="5"/>
        <v>46653.583334499999</v>
      </c>
      <c r="AM17" s="6">
        <f t="shared" si="5"/>
        <v>46684.000001200002</v>
      </c>
      <c r="AN17" s="6">
        <f t="shared" si="5"/>
        <v>46714.416667899997</v>
      </c>
      <c r="AO17" s="6">
        <f t="shared" si="5"/>
        <v>46744.8333346</v>
      </c>
      <c r="AP17" s="6">
        <f t="shared" si="5"/>
        <v>46775.250001299995</v>
      </c>
      <c r="AQ17" s="6">
        <f t="shared" si="5"/>
        <v>46805.666667999998</v>
      </c>
      <c r="AR17" s="6">
        <f t="shared" si="5"/>
        <v>46836.083334700001</v>
      </c>
      <c r="AS17" s="6">
        <f t="shared" si="5"/>
        <v>46866.500001399996</v>
      </c>
      <c r="AT17" s="6">
        <f t="shared" si="5"/>
        <v>46896.916668099999</v>
      </c>
      <c r="AU17" s="6">
        <f t="shared" si="5"/>
        <v>46927.333334800001</v>
      </c>
      <c r="AV17" s="6">
        <f t="shared" si="5"/>
        <v>46957.750001499997</v>
      </c>
      <c r="AW17" s="6">
        <f t="shared" si="5"/>
        <v>46988.1666682</v>
      </c>
      <c r="AX17" s="6">
        <f t="shared" si="5"/>
        <v>47018.583334900002</v>
      </c>
      <c r="AY17" s="6">
        <f t="shared" si="5"/>
        <v>47049.000001599998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 spans="1:62" x14ac:dyDescent="0.35">
      <c r="A18" t="str">
        <f t="shared" si="7"/>
        <v>Friday</v>
      </c>
      <c r="B18" s="6">
        <f t="shared" si="8"/>
        <v>45590</v>
      </c>
      <c r="C18" s="6">
        <f t="shared" si="3"/>
        <v>45590</v>
      </c>
      <c r="D18" s="6">
        <f t="shared" si="4"/>
        <v>45620.416666700003</v>
      </c>
      <c r="E18" s="6">
        <f t="shared" si="4"/>
        <v>45650.833333399998</v>
      </c>
      <c r="F18" s="6">
        <f t="shared" si="4"/>
        <v>45681.250000100001</v>
      </c>
      <c r="G18" s="6">
        <f t="shared" si="4"/>
        <v>45711.666666800003</v>
      </c>
      <c r="H18" s="6">
        <f t="shared" si="4"/>
        <v>45742.083333499999</v>
      </c>
      <c r="I18" s="6">
        <f t="shared" si="4"/>
        <v>45772.500000200002</v>
      </c>
      <c r="J18" s="6">
        <f t="shared" si="4"/>
        <v>45802.916666899997</v>
      </c>
      <c r="K18" s="6">
        <f t="shared" si="4"/>
        <v>45833.3333336</v>
      </c>
      <c r="L18" s="6">
        <f t="shared" si="4"/>
        <v>45863.750000300002</v>
      </c>
      <c r="M18" s="6">
        <f t="shared" si="4"/>
        <v>45894.166666999998</v>
      </c>
      <c r="N18" s="6">
        <f t="shared" si="4"/>
        <v>45924.5833337</v>
      </c>
      <c r="O18" s="6">
        <f t="shared" si="4"/>
        <v>45955.000000400003</v>
      </c>
      <c r="P18" s="6">
        <f t="shared" si="4"/>
        <v>45985.416667099998</v>
      </c>
      <c r="Q18" s="6">
        <f t="shared" si="4"/>
        <v>46015.833333800001</v>
      </c>
      <c r="R18" s="6">
        <f t="shared" si="4"/>
        <v>46046.250000499997</v>
      </c>
      <c r="S18" s="6">
        <f t="shared" si="4"/>
        <v>46076.666667199999</v>
      </c>
      <c r="T18" s="6">
        <f t="shared" si="6"/>
        <v>46107.083333900002</v>
      </c>
      <c r="U18" s="6">
        <f t="shared" si="6"/>
        <v>46137.500000599997</v>
      </c>
      <c r="V18" s="6">
        <f t="shared" si="6"/>
        <v>46167.9166673</v>
      </c>
      <c r="W18" s="6">
        <f t="shared" si="6"/>
        <v>46198.333334000003</v>
      </c>
      <c r="X18" s="6">
        <f t="shared" si="6"/>
        <v>46228.750000699998</v>
      </c>
      <c r="Y18" s="6">
        <f t="shared" si="6"/>
        <v>46259.166667400001</v>
      </c>
      <c r="Z18" s="6">
        <f t="shared" si="6"/>
        <v>46289.583334099996</v>
      </c>
      <c r="AA18" s="6">
        <f t="shared" si="6"/>
        <v>46320.000000799999</v>
      </c>
      <c r="AB18" s="6">
        <f t="shared" si="6"/>
        <v>46350.416667500001</v>
      </c>
      <c r="AC18" s="6">
        <f t="shared" si="6"/>
        <v>46380.833334199997</v>
      </c>
      <c r="AD18" s="6">
        <f t="shared" si="6"/>
        <v>46411.2500009</v>
      </c>
      <c r="AE18" s="6">
        <f t="shared" si="6"/>
        <v>46441.666667600002</v>
      </c>
      <c r="AF18" s="6">
        <f t="shared" si="6"/>
        <v>46472.083334299998</v>
      </c>
      <c r="AG18" s="6">
        <f t="shared" si="6"/>
        <v>46502.500001</v>
      </c>
      <c r="AH18" s="6">
        <f t="shared" si="6"/>
        <v>46532.916667700003</v>
      </c>
      <c r="AI18" s="6">
        <f t="shared" si="6"/>
        <v>46563.333334399998</v>
      </c>
      <c r="AJ18" s="6">
        <f t="shared" si="5"/>
        <v>46593.750001100001</v>
      </c>
      <c r="AK18" s="6">
        <f t="shared" si="5"/>
        <v>46624.166667799997</v>
      </c>
      <c r="AL18" s="6">
        <f t="shared" si="5"/>
        <v>46654.583334499999</v>
      </c>
      <c r="AM18" s="6">
        <f t="shared" si="5"/>
        <v>46685.000001200002</v>
      </c>
      <c r="AN18" s="6">
        <f t="shared" si="5"/>
        <v>46715.416667899997</v>
      </c>
      <c r="AO18" s="6">
        <f t="shared" si="5"/>
        <v>46745.8333346</v>
      </c>
      <c r="AP18" s="6">
        <f t="shared" si="5"/>
        <v>46776.250001299995</v>
      </c>
      <c r="AQ18" s="6">
        <f t="shared" si="5"/>
        <v>46806.666667999998</v>
      </c>
      <c r="AR18" s="6">
        <f t="shared" si="5"/>
        <v>46837.083334700001</v>
      </c>
      <c r="AS18" s="6">
        <f t="shared" si="5"/>
        <v>46867.500001399996</v>
      </c>
      <c r="AT18" s="6">
        <f t="shared" si="5"/>
        <v>46897.916668099999</v>
      </c>
      <c r="AU18" s="6">
        <f t="shared" si="5"/>
        <v>46928.333334800001</v>
      </c>
      <c r="AV18" s="6">
        <f t="shared" si="5"/>
        <v>46958.750001499997</v>
      </c>
      <c r="AW18" s="6">
        <f t="shared" si="5"/>
        <v>46989.1666682</v>
      </c>
      <c r="AX18" s="6">
        <f t="shared" si="5"/>
        <v>47019.583334900002</v>
      </c>
      <c r="AY18" s="6">
        <f t="shared" si="5"/>
        <v>47050.000001599998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 spans="1:62" x14ac:dyDescent="0.35">
      <c r="A19" t="str">
        <f t="shared" si="7"/>
        <v>Monday</v>
      </c>
      <c r="B19" s="6">
        <f>IF(A20="Monday",B20-3,B20-1)</f>
        <v>45593</v>
      </c>
      <c r="C19" s="6">
        <f>B19</f>
        <v>45593</v>
      </c>
      <c r="D19" s="6">
        <f>$C19+D$4</f>
        <v>45623.416666700003</v>
      </c>
      <c r="E19" s="6">
        <f t="shared" si="4"/>
        <v>45653.833333399998</v>
      </c>
      <c r="F19" s="6">
        <f t="shared" si="4"/>
        <v>45684.250000100001</v>
      </c>
      <c r="G19" s="6">
        <f t="shared" si="4"/>
        <v>45714.666666800003</v>
      </c>
      <c r="H19" s="6">
        <f t="shared" si="4"/>
        <v>45745.083333499999</v>
      </c>
      <c r="I19" s="6">
        <f t="shared" si="4"/>
        <v>45775.500000200002</v>
      </c>
      <c r="J19" s="6">
        <f t="shared" si="4"/>
        <v>45805.916666899997</v>
      </c>
      <c r="K19" s="6">
        <f t="shared" si="4"/>
        <v>45836.3333336</v>
      </c>
      <c r="L19" s="6">
        <f t="shared" si="4"/>
        <v>45866.750000300002</v>
      </c>
      <c r="M19" s="6">
        <f t="shared" si="4"/>
        <v>45897.166666999998</v>
      </c>
      <c r="N19" s="6">
        <f t="shared" si="4"/>
        <v>45927.5833337</v>
      </c>
      <c r="O19" s="6">
        <f t="shared" si="4"/>
        <v>45958.000000400003</v>
      </c>
      <c r="P19" s="6">
        <f t="shared" si="4"/>
        <v>45988.416667099998</v>
      </c>
      <c r="Q19" s="6">
        <f t="shared" si="4"/>
        <v>46018.833333800001</v>
      </c>
      <c r="R19" s="6">
        <f t="shared" si="4"/>
        <v>46049.250000499997</v>
      </c>
      <c r="S19" s="6">
        <f t="shared" si="4"/>
        <v>46079.666667199999</v>
      </c>
      <c r="T19" s="6">
        <f t="shared" si="6"/>
        <v>46110.083333900002</v>
      </c>
      <c r="U19" s="6">
        <f t="shared" si="6"/>
        <v>46140.500000599997</v>
      </c>
      <c r="V19" s="6">
        <f t="shared" si="6"/>
        <v>46170.9166673</v>
      </c>
      <c r="W19" s="6">
        <f t="shared" si="6"/>
        <v>46201.333334000003</v>
      </c>
      <c r="X19" s="6">
        <f t="shared" si="6"/>
        <v>46231.750000699998</v>
      </c>
      <c r="Y19" s="6">
        <f t="shared" si="6"/>
        <v>46262.166667400001</v>
      </c>
      <c r="Z19" s="6">
        <f t="shared" si="6"/>
        <v>46292.583334099996</v>
      </c>
      <c r="AA19" s="6">
        <f t="shared" si="6"/>
        <v>46323.000000799999</v>
      </c>
      <c r="AB19" s="6">
        <f t="shared" si="6"/>
        <v>46353.416667500001</v>
      </c>
      <c r="AC19" s="6">
        <f t="shared" si="6"/>
        <v>46383.833334199997</v>
      </c>
      <c r="AD19" s="6">
        <f t="shared" si="6"/>
        <v>46414.2500009</v>
      </c>
      <c r="AE19" s="6">
        <f t="shared" si="6"/>
        <v>46444.666667600002</v>
      </c>
      <c r="AF19" s="6">
        <f t="shared" si="6"/>
        <v>46475.083334299998</v>
      </c>
      <c r="AG19" s="6">
        <f t="shared" si="6"/>
        <v>46505.500001</v>
      </c>
      <c r="AH19" s="6">
        <f t="shared" si="6"/>
        <v>46535.916667700003</v>
      </c>
      <c r="AI19" s="6">
        <f t="shared" si="6"/>
        <v>46566.333334399998</v>
      </c>
      <c r="AJ19" s="6">
        <f t="shared" si="5"/>
        <v>46596.750001100001</v>
      </c>
      <c r="AK19" s="6">
        <f t="shared" si="5"/>
        <v>46627.166667799997</v>
      </c>
      <c r="AL19" s="6">
        <f t="shared" si="5"/>
        <v>46657.583334499999</v>
      </c>
      <c r="AM19" s="6">
        <f t="shared" si="5"/>
        <v>46688.000001200002</v>
      </c>
      <c r="AN19" s="6">
        <f t="shared" si="5"/>
        <v>46718.416667899997</v>
      </c>
      <c r="AO19" s="6">
        <f t="shared" si="5"/>
        <v>46748.8333346</v>
      </c>
      <c r="AP19" s="6">
        <f t="shared" si="5"/>
        <v>46779.250001299995</v>
      </c>
      <c r="AQ19" s="6">
        <f t="shared" si="5"/>
        <v>46809.666667999998</v>
      </c>
      <c r="AR19" s="6">
        <f t="shared" si="5"/>
        <v>46840.083334700001</v>
      </c>
      <c r="AS19" s="6">
        <f t="shared" si="5"/>
        <v>46870.500001399996</v>
      </c>
      <c r="AT19" s="6">
        <f t="shared" si="5"/>
        <v>46900.916668099999</v>
      </c>
      <c r="AU19" s="6">
        <f t="shared" si="5"/>
        <v>46931.333334800001</v>
      </c>
      <c r="AV19" s="6">
        <f t="shared" si="5"/>
        <v>46961.750001499997</v>
      </c>
      <c r="AW19" s="6">
        <f t="shared" si="5"/>
        <v>46992.1666682</v>
      </c>
      <c r="AX19" s="6">
        <f t="shared" si="5"/>
        <v>47022.583334900002</v>
      </c>
      <c r="AY19" s="6">
        <f t="shared" si="5"/>
        <v>47053.000001599998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</row>
    <row r="20" spans="1:62" x14ac:dyDescent="0.35">
      <c r="A20" t="str">
        <f>TEXT(B20,"dddd")</f>
        <v>Tuesday</v>
      </c>
      <c r="B20" s="7">
        <v>45594</v>
      </c>
      <c r="C20" s="6">
        <f t="shared" ref="C20" si="9">B20</f>
        <v>45594</v>
      </c>
      <c r="D20" s="6">
        <f t="shared" si="4"/>
        <v>45624.416666700003</v>
      </c>
      <c r="E20" s="6">
        <f t="shared" si="4"/>
        <v>45654.833333399998</v>
      </c>
      <c r="F20" s="6">
        <f t="shared" si="4"/>
        <v>45685.250000100001</v>
      </c>
      <c r="G20" s="6">
        <f t="shared" si="4"/>
        <v>45715.666666800003</v>
      </c>
      <c r="H20" s="6">
        <f t="shared" si="4"/>
        <v>45746.083333499999</v>
      </c>
      <c r="I20" s="6">
        <f t="shared" si="4"/>
        <v>45776.500000200002</v>
      </c>
      <c r="J20" s="6">
        <f t="shared" si="4"/>
        <v>45806.916666899997</v>
      </c>
      <c r="K20" s="6">
        <f t="shared" si="4"/>
        <v>45837.3333336</v>
      </c>
      <c r="L20" s="6">
        <f t="shared" si="4"/>
        <v>45867.750000300002</v>
      </c>
      <c r="M20" s="6">
        <f t="shared" si="4"/>
        <v>45898.166666999998</v>
      </c>
      <c r="N20" s="6">
        <f t="shared" si="4"/>
        <v>45928.5833337</v>
      </c>
      <c r="O20" s="6">
        <f t="shared" si="4"/>
        <v>45959.000000400003</v>
      </c>
      <c r="P20" s="6">
        <f t="shared" si="4"/>
        <v>45989.416667099998</v>
      </c>
      <c r="Q20" s="6">
        <f t="shared" si="4"/>
        <v>46019.833333800001</v>
      </c>
      <c r="R20" s="6">
        <f t="shared" si="4"/>
        <v>46050.250000499997</v>
      </c>
      <c r="S20" s="6">
        <f t="shared" si="4"/>
        <v>46080.666667199999</v>
      </c>
      <c r="T20" s="6">
        <f t="shared" si="6"/>
        <v>46111.083333900002</v>
      </c>
      <c r="U20" s="6">
        <f t="shared" si="6"/>
        <v>46141.500000599997</v>
      </c>
      <c r="V20" s="6">
        <f t="shared" si="6"/>
        <v>46171.9166673</v>
      </c>
      <c r="W20" s="6">
        <f t="shared" si="6"/>
        <v>46202.333334000003</v>
      </c>
      <c r="X20" s="6">
        <f t="shared" si="6"/>
        <v>46232.750000699998</v>
      </c>
      <c r="Y20" s="6">
        <f t="shared" si="6"/>
        <v>46263.166667400001</v>
      </c>
      <c r="Z20" s="6">
        <f t="shared" si="6"/>
        <v>46293.583334099996</v>
      </c>
      <c r="AA20" s="6">
        <f t="shared" si="6"/>
        <v>46324.000000799999</v>
      </c>
      <c r="AB20" s="6">
        <f t="shared" si="6"/>
        <v>46354.416667500001</v>
      </c>
      <c r="AC20" s="6">
        <f t="shared" si="6"/>
        <v>46384.833334199997</v>
      </c>
      <c r="AD20" s="6">
        <f t="shared" si="6"/>
        <v>46415.2500009</v>
      </c>
      <c r="AE20" s="6">
        <f t="shared" si="6"/>
        <v>46445.666667600002</v>
      </c>
      <c r="AF20" s="6">
        <f t="shared" si="6"/>
        <v>46476.083334299998</v>
      </c>
      <c r="AG20" s="6">
        <f t="shared" si="6"/>
        <v>46506.500001</v>
      </c>
      <c r="AH20" s="6">
        <f t="shared" si="6"/>
        <v>46536.916667700003</v>
      </c>
      <c r="AI20" s="6">
        <f t="shared" si="6"/>
        <v>46567.333334399998</v>
      </c>
      <c r="AJ20" s="6">
        <f t="shared" si="5"/>
        <v>46597.750001100001</v>
      </c>
      <c r="AK20" s="6">
        <f t="shared" si="5"/>
        <v>46628.166667799997</v>
      </c>
      <c r="AL20" s="6">
        <f t="shared" si="5"/>
        <v>46658.583334499999</v>
      </c>
      <c r="AM20" s="6">
        <f t="shared" si="5"/>
        <v>46689.000001200002</v>
      </c>
      <c r="AN20" s="6">
        <f t="shared" si="5"/>
        <v>46719.416667899997</v>
      </c>
      <c r="AO20" s="6">
        <f t="shared" si="5"/>
        <v>46749.8333346</v>
      </c>
      <c r="AP20" s="6">
        <f t="shared" si="5"/>
        <v>46780.250001299995</v>
      </c>
      <c r="AQ20" s="6">
        <f t="shared" si="5"/>
        <v>46810.666667999998</v>
      </c>
      <c r="AR20" s="6">
        <f t="shared" si="5"/>
        <v>46841.083334700001</v>
      </c>
      <c r="AS20" s="6">
        <f t="shared" si="5"/>
        <v>46871.500001399996</v>
      </c>
      <c r="AT20" s="6">
        <f t="shared" si="5"/>
        <v>46901.916668099999</v>
      </c>
      <c r="AU20" s="6">
        <f t="shared" si="5"/>
        <v>46932.333334800001</v>
      </c>
      <c r="AV20" s="6">
        <f t="shared" si="5"/>
        <v>46962.750001499997</v>
      </c>
      <c r="AW20" s="6">
        <f t="shared" si="5"/>
        <v>46993.1666682</v>
      </c>
      <c r="AX20" s="6">
        <f t="shared" si="5"/>
        <v>47023.583334900002</v>
      </c>
      <c r="AY20" s="6">
        <f t="shared" si="5"/>
        <v>47054.000001599998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2" spans="1:62" x14ac:dyDescent="0.35">
      <c r="B22" s="5" t="s">
        <v>369</v>
      </c>
    </row>
    <row r="23" spans="1:62" x14ac:dyDescent="0.35">
      <c r="B23" s="6">
        <f t="shared" ref="B23:B37" si="10">B6</f>
        <v>45574</v>
      </c>
      <c r="C23" s="8">
        <f>VLOOKUP($B23,HAVERD!$A:$BS,C$2,FALSE)</f>
        <v>4.95</v>
      </c>
      <c r="D23" s="8">
        <f>VLOOKUP($B23,HAVERD!$A:$BS,D$2,FALSE)</f>
        <v>4.8392343999999996</v>
      </c>
      <c r="E23" s="8">
        <f>VLOOKUP($B23,HAVERD!$A:$BS,E$2,FALSE)</f>
        <v>4.6898293999999998</v>
      </c>
      <c r="F23" s="8">
        <f>VLOOKUP($B23,HAVERD!$A:$BS,F$2,FALSE)</f>
        <v>4.5714834</v>
      </c>
      <c r="G23" s="8">
        <f>VLOOKUP($B23,HAVERD!$A:$BS,G$2,FALSE)</f>
        <v>4.4638078999999999</v>
      </c>
      <c r="H23" s="8">
        <f>VLOOKUP($B23,HAVERD!$A:$BS,H$2,FALSE)</f>
        <v>4.3570304999999996</v>
      </c>
      <c r="I23" s="8">
        <f>VLOOKUP($B23,HAVERD!$A:$BS,I$2,FALSE)</f>
        <v>4.2530619999999999</v>
      </c>
      <c r="J23" s="8">
        <f>VLOOKUP($B23,HAVERD!$A:$BS,J$2,FALSE)</f>
        <v>4.1565231000000002</v>
      </c>
      <c r="K23" s="8">
        <f>VLOOKUP($B23,HAVERD!$A:$BS,K$2,FALSE)</f>
        <v>4.0720441999999997</v>
      </c>
      <c r="L23" s="8">
        <f>VLOOKUP($B23,HAVERD!$A:$BS,L$2,FALSE)</f>
        <v>4.0023584000000003</v>
      </c>
      <c r="M23" s="8">
        <f>VLOOKUP($B23,HAVERD!$A:$BS,M$2,FALSE)</f>
        <v>3.9476431999999999</v>
      </c>
      <c r="N23" s="8">
        <f>VLOOKUP($B23,HAVERD!$A:$BS,N$2,FALSE)</f>
        <v>3.9062294999999998</v>
      </c>
      <c r="O23" s="8">
        <f>VLOOKUP($B23,HAVERD!$A:$BS,O$2,FALSE)</f>
        <v>3.8759174000000001</v>
      </c>
      <c r="P23" s="8">
        <f>VLOOKUP($B23,HAVERD!$A:$BS,P$2,FALSE)</f>
        <v>3.8524685000000001</v>
      </c>
      <c r="Q23" s="8">
        <f>VLOOKUP($B23,HAVERD!$A:$BS,Q$2,FALSE)</f>
        <v>3.8340372999999999</v>
      </c>
      <c r="R23" s="8">
        <f>VLOOKUP($B23,HAVERD!$A:$BS,R$2,FALSE)</f>
        <v>3.8195716000000002</v>
      </c>
      <c r="S23" s="8">
        <f>VLOOKUP($B23,HAVERD!$A:$BS,S$2,FALSE)</f>
        <v>3.8080191000000001</v>
      </c>
      <c r="T23" s="8">
        <f>VLOOKUP($B23,HAVERD!$A:$BS,T$2,FALSE)</f>
        <v>3.7983273999999998</v>
      </c>
      <c r="U23" s="8">
        <f>VLOOKUP($B23,HAVERD!$A:$BS,U$2,FALSE)</f>
        <v>3.7894443</v>
      </c>
      <c r="V23" s="8">
        <f>VLOOKUP($B23,HAVERD!$A:$BS,V$2,FALSE)</f>
        <v>3.7805073999999999</v>
      </c>
      <c r="W23" s="8">
        <f>VLOOKUP($B23,HAVERD!$A:$BS,W$2,FALSE)</f>
        <v>3.7713779000000001</v>
      </c>
      <c r="X23" s="8">
        <f>VLOOKUP($B23,HAVERD!$A:$BS,X$2,FALSE)</f>
        <v>3.7620892000000001</v>
      </c>
      <c r="Y23" s="8">
        <f>VLOOKUP($B23,HAVERD!$A:$BS,Y$2,FALSE)</f>
        <v>3.7526744999999999</v>
      </c>
      <c r="Z23" s="8">
        <f>VLOOKUP($B23,HAVERD!$A:$BS,Z$2,FALSE)</f>
        <v>3.7431671999999998</v>
      </c>
      <c r="AA23" s="8">
        <f>VLOOKUP($B23,HAVERD!$A:$BS,AA$2,FALSE)</f>
        <v>3.7336005000000001</v>
      </c>
      <c r="AB23" s="8">
        <f>VLOOKUP($B23,HAVERD!$A:$BS,AB$2,FALSE)</f>
        <v>3.7240088999999998</v>
      </c>
      <c r="AC23" s="8">
        <f>VLOOKUP($B23,HAVERD!$A:$BS,AC$2,FALSE)</f>
        <v>3.7144303999999999</v>
      </c>
      <c r="AD23" s="8">
        <f>VLOOKUP($B23,HAVERD!$A:$BS,AD$2,FALSE)</f>
        <v>3.7049042999999999</v>
      </c>
      <c r="AE23" s="8">
        <f>VLOOKUP($B23,HAVERD!$A:$BS,AE$2,FALSE)</f>
        <v>3.6954696</v>
      </c>
      <c r="AF23" s="8">
        <f>VLOOKUP($B23,HAVERD!$A:$BS,AF$2,FALSE)</f>
        <v>3.6861655</v>
      </c>
      <c r="AG23" s="8">
        <f>VLOOKUP($B23,HAVERD!$A:$BS,AG$2,FALSE)</f>
        <v>3.6770311000000002</v>
      </c>
      <c r="AH23" s="8">
        <f>VLOOKUP($B23,HAVERD!$A:$BS,AH$2,FALSE)</f>
        <v>3.6681056999999999</v>
      </c>
      <c r="AI23" s="8">
        <f>VLOOKUP($B23,HAVERD!$A:$BS,AI$2,FALSE)</f>
        <v>3.6594283999999999</v>
      </c>
      <c r="AJ23" s="8">
        <f>VLOOKUP($B23,HAVERD!$A:$BS,AJ$2,FALSE)</f>
        <v>3.6510381999999999</v>
      </c>
      <c r="AK23" s="8">
        <f>VLOOKUP($B23,HAVERD!$A:$BS,AK$2,FALSE)</f>
        <v>3.6429743999999999</v>
      </c>
      <c r="AL23" s="8">
        <f>VLOOKUP($B23,HAVERD!$A:$BS,AL$2,FALSE)</f>
        <v>3.6352761</v>
      </c>
      <c r="AM23" s="8">
        <f>VLOOKUP($B23,HAVERD!$A:$BS,AM$2,FALSE)</f>
        <v>3.6279824000000001</v>
      </c>
      <c r="AN23" s="8">
        <f>VLOOKUP($B23,HAVERD!$A:$BS,AN$2,FALSE)</f>
        <v>3.6211274000000002</v>
      </c>
      <c r="AO23" s="8">
        <f>VLOOKUP($B23,HAVERD!$A:$BS,AO$2,FALSE)</f>
        <v>3.6147193999999998</v>
      </c>
      <c r="AP23" s="8">
        <f>VLOOKUP($B23,HAVERD!$A:$BS,AP$2,FALSE)</f>
        <v>3.6087593999999998</v>
      </c>
      <c r="AQ23" s="8">
        <f>VLOOKUP($B23,HAVERD!$A:$BS,AQ$2,FALSE)</f>
        <v>3.6032481999999999</v>
      </c>
      <c r="AR23" s="8">
        <f>VLOOKUP($B23,HAVERD!$A:$BS,AR$2,FALSE)</f>
        <v>3.5981863999999999</v>
      </c>
      <c r="AS23" s="8">
        <f>VLOOKUP($B23,HAVERD!$A:$BS,AS$2,FALSE)</f>
        <v>3.5935750999999998</v>
      </c>
      <c r="AT23" s="8">
        <f>VLOOKUP($B23,HAVERD!$A:$BS,AT$2,FALSE)</f>
        <v>3.5894148000000001</v>
      </c>
      <c r="AU23" s="8">
        <f>VLOOKUP($B23,HAVERD!$A:$BS,AU$2,FALSE)</f>
        <v>3.5857066</v>
      </c>
      <c r="AV23" s="8">
        <f>VLOOKUP($B23,HAVERD!$A:$BS,AV$2,FALSE)</f>
        <v>3.5824511000000001</v>
      </c>
      <c r="AW23" s="8">
        <f>VLOOKUP($B23,HAVERD!$A:$BS,AW$2,FALSE)</f>
        <v>3.5796491000000001</v>
      </c>
      <c r="AX23" s="8">
        <f>VLOOKUP($B23,HAVERD!$A:$BS,AX$2,FALSE)</f>
        <v>3.5773014999999999</v>
      </c>
      <c r="AY23" s="8">
        <f>VLOOKUP($B23,HAVERD!$A:$BS,AY$2,FALSE)</f>
        <v>3.5754092000000002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2" x14ac:dyDescent="0.35">
      <c r="B24" s="6">
        <f t="shared" si="10"/>
        <v>45575</v>
      </c>
      <c r="C24" s="8">
        <f>VLOOKUP($B24,HAVERD!$A:$BS,C$2,FALSE)</f>
        <v>4.95</v>
      </c>
      <c r="D24" s="8">
        <f>VLOOKUP($B24,HAVERD!$A:$BS,D$2,FALSE)</f>
        <v>4.8360174999999996</v>
      </c>
      <c r="E24" s="8">
        <f>VLOOKUP($B24,HAVERD!$A:$BS,E$2,FALSE)</f>
        <v>4.6861474999999997</v>
      </c>
      <c r="F24" s="8">
        <f>VLOOKUP($B24,HAVERD!$A:$BS,F$2,FALSE)</f>
        <v>4.5642991999999998</v>
      </c>
      <c r="G24" s="8">
        <f>VLOOKUP($B24,HAVERD!$A:$BS,G$2,FALSE)</f>
        <v>4.4507985999999997</v>
      </c>
      <c r="H24" s="8">
        <f>VLOOKUP($B24,HAVERD!$A:$BS,H$2,FALSE)</f>
        <v>4.3378835000000002</v>
      </c>
      <c r="I24" s="8">
        <f>VLOOKUP($B24,HAVERD!$A:$BS,I$2,FALSE)</f>
        <v>4.2286761000000004</v>
      </c>
      <c r="J24" s="8">
        <f>VLOOKUP($B24,HAVERD!$A:$BS,J$2,FALSE)</f>
        <v>4.1278570999999999</v>
      </c>
      <c r="K24" s="8">
        <f>VLOOKUP($B24,HAVERD!$A:$BS,K$2,FALSE)</f>
        <v>4.0398338999999996</v>
      </c>
      <c r="L24" s="8">
        <f>VLOOKUP($B24,HAVERD!$A:$BS,L$2,FALSE)</f>
        <v>3.9670586999999999</v>
      </c>
      <c r="M24" s="8">
        <f>VLOOKUP($B24,HAVERD!$A:$BS,M$2,FALSE)</f>
        <v>3.909637</v>
      </c>
      <c r="N24" s="8">
        <f>VLOOKUP($B24,HAVERD!$A:$BS,N$2,FALSE)</f>
        <v>3.8661707000000001</v>
      </c>
      <c r="O24" s="8">
        <f>VLOOKUP($B24,HAVERD!$A:$BS,O$2,FALSE)</f>
        <v>3.8344143000000002</v>
      </c>
      <c r="P24" s="8">
        <f>VLOOKUP($B24,HAVERD!$A:$BS,P$2,FALSE)</f>
        <v>3.8104228</v>
      </c>
      <c r="Q24" s="8">
        <f>VLOOKUP($B24,HAVERD!$A:$BS,Q$2,FALSE)</f>
        <v>3.7922901000000002</v>
      </c>
      <c r="R24" s="8">
        <f>VLOOKUP($B24,HAVERD!$A:$BS,R$2,FALSE)</f>
        <v>3.7787731999999998</v>
      </c>
      <c r="S24" s="8">
        <f>VLOOKUP($B24,HAVERD!$A:$BS,S$2,FALSE)</f>
        <v>3.7686294</v>
      </c>
      <c r="T24" s="8">
        <f>VLOOKUP($B24,HAVERD!$A:$BS,T$2,FALSE)</f>
        <v>3.7606156999999998</v>
      </c>
      <c r="U24" s="8">
        <f>VLOOKUP($B24,HAVERD!$A:$BS,U$2,FALSE)</f>
        <v>3.7534892000000002</v>
      </c>
      <c r="V24" s="8">
        <f>VLOOKUP($B24,HAVERD!$A:$BS,V$2,FALSE)</f>
        <v>3.7462373000000002</v>
      </c>
      <c r="W24" s="8">
        <f>VLOOKUP($B24,HAVERD!$A:$BS,W$2,FALSE)</f>
        <v>3.7387241000000002</v>
      </c>
      <c r="X24" s="8">
        <f>VLOOKUP($B24,HAVERD!$A:$BS,X$2,FALSE)</f>
        <v>3.7310222999999998</v>
      </c>
      <c r="Y24" s="8">
        <f>VLOOKUP($B24,HAVERD!$A:$BS,Y$2,FALSE)</f>
        <v>3.7232048</v>
      </c>
      <c r="Z24" s="8">
        <f>VLOOKUP($B24,HAVERD!$A:$BS,Z$2,FALSE)</f>
        <v>3.7153442999999999</v>
      </c>
      <c r="AA24" s="8">
        <f>VLOOKUP($B24,HAVERD!$A:$BS,AA$2,FALSE)</f>
        <v>3.7075136</v>
      </c>
      <c r="AB24" s="8">
        <f>VLOOKUP($B24,HAVERD!$A:$BS,AB$2,FALSE)</f>
        <v>3.6997797000000001</v>
      </c>
      <c r="AC24" s="8">
        <f>VLOOKUP($B24,HAVERD!$A:$BS,AC$2,FALSE)</f>
        <v>3.6921813999999999</v>
      </c>
      <c r="AD24" s="8">
        <f>VLOOKUP($B24,HAVERD!$A:$BS,AD$2,FALSE)</f>
        <v>3.6847489000000002</v>
      </c>
      <c r="AE24" s="8">
        <f>VLOOKUP($B24,HAVERD!$A:$BS,AE$2,FALSE)</f>
        <v>3.6775125000000002</v>
      </c>
      <c r="AF24" s="8">
        <f>VLOOKUP($B24,HAVERD!$A:$BS,AF$2,FALSE)</f>
        <v>3.6705024000000002</v>
      </c>
      <c r="AG24" s="8">
        <f>VLOOKUP($B24,HAVERD!$A:$BS,AG$2,FALSE)</f>
        <v>3.6637488999999999</v>
      </c>
      <c r="AH24" s="8">
        <f>VLOOKUP($B24,HAVERD!$A:$BS,AH$2,FALSE)</f>
        <v>3.6572821000000002</v>
      </c>
      <c r="AI24" s="8">
        <f>VLOOKUP($B24,HAVERD!$A:$BS,AI$2,FALSE)</f>
        <v>3.6511323</v>
      </c>
      <c r="AJ24" s="8">
        <f>VLOOKUP($B24,HAVERD!$A:$BS,AJ$2,FALSE)</f>
        <v>3.6453297</v>
      </c>
      <c r="AK24" s="8">
        <f>VLOOKUP($B24,HAVERD!$A:$BS,AK$2,FALSE)</f>
        <v>3.6399045999999999</v>
      </c>
      <c r="AL24" s="8">
        <f>VLOOKUP($B24,HAVERD!$A:$BS,AL$2,FALSE)</f>
        <v>3.6348872000000001</v>
      </c>
      <c r="AM24" s="8">
        <f>VLOOKUP($B24,HAVERD!$A:$BS,AM$2,FALSE)</f>
        <v>3.6303076999999999</v>
      </c>
      <c r="AN24" s="8">
        <f>VLOOKUP($B24,HAVERD!$A:$BS,AN$2,FALSE)</f>
        <v>3.6261899999999998</v>
      </c>
      <c r="AO24" s="8">
        <f>VLOOKUP($B24,HAVERD!$A:$BS,AO$2,FALSE)</f>
        <v>3.6225298000000001</v>
      </c>
      <c r="AP24" s="8">
        <f>VLOOKUP($B24,HAVERD!$A:$BS,AP$2,FALSE)</f>
        <v>3.6193149999999998</v>
      </c>
      <c r="AQ24" s="8">
        <f>VLOOKUP($B24,HAVERD!$A:$BS,AQ$2,FALSE)</f>
        <v>3.6165337000000002</v>
      </c>
      <c r="AR24" s="8">
        <f>VLOOKUP($B24,HAVERD!$A:$BS,AR$2,FALSE)</f>
        <v>3.6141738000000001</v>
      </c>
      <c r="AS24" s="8">
        <f>VLOOKUP($B24,HAVERD!$A:$BS,AS$2,FALSE)</f>
        <v>3.6122231999999999</v>
      </c>
      <c r="AT24" s="8">
        <f>VLOOKUP($B24,HAVERD!$A:$BS,AT$2,FALSE)</f>
        <v>3.6106699</v>
      </c>
      <c r="AU24" s="8">
        <f>VLOOKUP($B24,HAVERD!$A:$BS,AU$2,FALSE)</f>
        <v>3.6095019000000002</v>
      </c>
      <c r="AV24" s="8">
        <f>VLOOKUP($B24,HAVERD!$A:$BS,AV$2,FALSE)</f>
        <v>3.6087071000000002</v>
      </c>
      <c r="AW24" s="8">
        <f>VLOOKUP($B24,HAVERD!$A:$BS,AW$2,FALSE)</f>
        <v>3.6082735000000001</v>
      </c>
      <c r="AX24" s="8">
        <f>VLOOKUP($B24,HAVERD!$A:$BS,AX$2,FALSE)</f>
        <v>3.6081891000000001</v>
      </c>
      <c r="AY24" s="8">
        <f>VLOOKUP($B24,HAVERD!$A:$BS,AY$2,FALSE)</f>
        <v>3.6084418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2" x14ac:dyDescent="0.35">
      <c r="B25" s="6">
        <f t="shared" si="10"/>
        <v>45576</v>
      </c>
      <c r="C25" s="8">
        <f>VLOOKUP($B25,HAVERD!$A:$BS,C$2,FALSE)</f>
        <v>4.95</v>
      </c>
      <c r="D25" s="8">
        <f>VLOOKUP($B25,HAVERD!$A:$BS,D$2,FALSE)</f>
        <v>4.8300989999999997</v>
      </c>
      <c r="E25" s="8">
        <f>VLOOKUP($B25,HAVERD!$A:$BS,E$2,FALSE)</f>
        <v>4.6749843999999996</v>
      </c>
      <c r="F25" s="8">
        <f>VLOOKUP($B25,HAVERD!$A:$BS,F$2,FALSE)</f>
        <v>4.5457742000000003</v>
      </c>
      <c r="G25" s="8">
        <f>VLOOKUP($B25,HAVERD!$A:$BS,G$2,FALSE)</f>
        <v>4.4237919999999997</v>
      </c>
      <c r="H25" s="8">
        <f>VLOOKUP($B25,HAVERD!$A:$BS,H$2,FALSE)</f>
        <v>4.3019173999999998</v>
      </c>
      <c r="I25" s="8">
        <f>VLOOKUP($B25,HAVERD!$A:$BS,I$2,FALSE)</f>
        <v>4.1846933999999996</v>
      </c>
      <c r="J25" s="8">
        <f>VLOOKUP($B25,HAVERD!$A:$BS,J$2,FALSE)</f>
        <v>4.0786496000000003</v>
      </c>
      <c r="K25" s="8">
        <f>VLOOKUP($B25,HAVERD!$A:$BS,K$2,FALSE)</f>
        <v>3.9887215999999999</v>
      </c>
      <c r="L25" s="8">
        <f>VLOOKUP($B25,HAVERD!$A:$BS,L$2,FALSE)</f>
        <v>3.9164805</v>
      </c>
      <c r="M25" s="8">
        <f>VLOOKUP($B25,HAVERD!$A:$BS,M$2,FALSE)</f>
        <v>3.8605097000000002</v>
      </c>
      <c r="N25" s="8">
        <f>VLOOKUP($B25,HAVERD!$A:$BS,N$2,FALSE)</f>
        <v>3.8181835</v>
      </c>
      <c r="O25" s="8">
        <f>VLOOKUP($B25,HAVERD!$A:$BS,O$2,FALSE)</f>
        <v>3.7861741000000002</v>
      </c>
      <c r="P25" s="8">
        <f>VLOOKUP($B25,HAVERD!$A:$BS,P$2,FALSE)</f>
        <v>3.7600099</v>
      </c>
      <c r="Q25" s="8">
        <f>VLOOKUP($B25,HAVERD!$A:$BS,Q$2,FALSE)</f>
        <v>3.7380266999999998</v>
      </c>
      <c r="R25" s="8">
        <f>VLOOKUP($B25,HAVERD!$A:$BS,R$2,FALSE)</f>
        <v>3.7195559999999999</v>
      </c>
      <c r="S25" s="8">
        <f>VLOOKUP($B25,HAVERD!$A:$BS,S$2,FALSE)</f>
        <v>3.7039295999999999</v>
      </c>
      <c r="T25" s="8">
        <f>VLOOKUP($B25,HAVERD!$A:$BS,T$2,FALSE)</f>
        <v>3.6904789999999998</v>
      </c>
      <c r="U25" s="8">
        <f>VLOOKUP($B25,HAVERD!$A:$BS,U$2,FALSE)</f>
        <v>3.6785361000000001</v>
      </c>
      <c r="V25" s="8">
        <f>VLOOKUP($B25,HAVERD!$A:$BS,V$2,FALSE)</f>
        <v>3.6675296999999998</v>
      </c>
      <c r="W25" s="8">
        <f>VLOOKUP($B25,HAVERD!$A:$BS,W$2,FALSE)</f>
        <v>3.65734</v>
      </c>
      <c r="X25" s="8">
        <f>VLOOKUP($B25,HAVERD!$A:$BS,X$2,FALSE)</f>
        <v>3.6479777000000002</v>
      </c>
      <c r="Y25" s="8">
        <f>VLOOKUP($B25,HAVERD!$A:$BS,Y$2,FALSE)</f>
        <v>3.6394536999999998</v>
      </c>
      <c r="Z25" s="8">
        <f>VLOOKUP($B25,HAVERD!$A:$BS,Z$2,FALSE)</f>
        <v>3.6317786999999999</v>
      </c>
      <c r="AA25" s="8">
        <f>VLOOKUP($B25,HAVERD!$A:$BS,AA$2,FALSE)</f>
        <v>3.6249636999999999</v>
      </c>
      <c r="AB25" s="8">
        <f>VLOOKUP($B25,HAVERD!$A:$BS,AB$2,FALSE)</f>
        <v>3.6190085000000001</v>
      </c>
      <c r="AC25" s="8">
        <f>VLOOKUP($B25,HAVERD!$A:$BS,AC$2,FALSE)</f>
        <v>3.6138658000000001</v>
      </c>
      <c r="AD25" s="8">
        <f>VLOOKUP($B25,HAVERD!$A:$BS,AD$2,FALSE)</f>
        <v>3.6094748000000001</v>
      </c>
      <c r="AE25" s="8">
        <f>VLOOKUP($B25,HAVERD!$A:$BS,AE$2,FALSE)</f>
        <v>3.6057749000000001</v>
      </c>
      <c r="AF25" s="8">
        <f>VLOOKUP($B25,HAVERD!$A:$BS,AF$2,FALSE)</f>
        <v>3.6027054999999999</v>
      </c>
      <c r="AG25" s="8">
        <f>VLOOKUP($B25,HAVERD!$A:$BS,AG$2,FALSE)</f>
        <v>3.6002059000000002</v>
      </c>
      <c r="AH25" s="8">
        <f>VLOOKUP($B25,HAVERD!$A:$BS,AH$2,FALSE)</f>
        <v>3.5982154999999998</v>
      </c>
      <c r="AI25" s="8">
        <f>VLOOKUP($B25,HAVERD!$A:$BS,AI$2,FALSE)</f>
        <v>3.5966737000000002</v>
      </c>
      <c r="AJ25" s="8">
        <f>VLOOKUP($B25,HAVERD!$A:$BS,AJ$2,FALSE)</f>
        <v>3.5955197999999999</v>
      </c>
      <c r="AK25" s="8">
        <f>VLOOKUP($B25,HAVERD!$A:$BS,AK$2,FALSE)</f>
        <v>3.5946931000000002</v>
      </c>
      <c r="AL25" s="8">
        <f>VLOOKUP($B25,HAVERD!$A:$BS,AL$2,FALSE)</f>
        <v>3.5941331000000001</v>
      </c>
      <c r="AM25" s="8">
        <f>VLOOKUP($B25,HAVERD!$A:$BS,AM$2,FALSE)</f>
        <v>3.5937790000000001</v>
      </c>
      <c r="AN25" s="8">
        <f>VLOOKUP($B25,HAVERD!$A:$BS,AN$2,FALSE)</f>
        <v>3.5935798999999999</v>
      </c>
      <c r="AO25" s="8">
        <f>VLOOKUP($B25,HAVERD!$A:$BS,AO$2,FALSE)</f>
        <v>3.5935231999999999</v>
      </c>
      <c r="AP25" s="8">
        <f>VLOOKUP($B25,HAVERD!$A:$BS,AP$2,FALSE)</f>
        <v>3.5936059999999999</v>
      </c>
      <c r="AQ25" s="8">
        <f>VLOOKUP($B25,HAVERD!$A:$BS,AQ$2,FALSE)</f>
        <v>3.5938252999999998</v>
      </c>
      <c r="AR25" s="8">
        <f>VLOOKUP($B25,HAVERD!$A:$BS,AR$2,FALSE)</f>
        <v>3.5941782999999998</v>
      </c>
      <c r="AS25" s="8">
        <f>VLOOKUP($B25,HAVERD!$A:$BS,AS$2,FALSE)</f>
        <v>3.594662</v>
      </c>
      <c r="AT25" s="8">
        <f>VLOOKUP($B25,HAVERD!$A:$BS,AT$2,FALSE)</f>
        <v>3.5952734</v>
      </c>
      <c r="AU25" s="8">
        <f>VLOOKUP($B25,HAVERD!$A:$BS,AU$2,FALSE)</f>
        <v>3.5960097000000002</v>
      </c>
      <c r="AV25" s="8">
        <f>VLOOKUP($B25,HAVERD!$A:$BS,AV$2,FALSE)</f>
        <v>3.5968678999999999</v>
      </c>
      <c r="AW25" s="8">
        <f>VLOOKUP($B25,HAVERD!$A:$BS,AW$2,FALSE)</f>
        <v>3.5978450999999998</v>
      </c>
      <c r="AX25" s="8">
        <f>VLOOKUP($B25,HAVERD!$A:$BS,AX$2,FALSE)</f>
        <v>3.5989382999999999</v>
      </c>
      <c r="AY25" s="8">
        <f>VLOOKUP($B25,HAVERD!$A:$BS,AY$2,FALSE)</f>
        <v>3.6001446000000001</v>
      </c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2" x14ac:dyDescent="0.35">
      <c r="B26" s="6">
        <f t="shared" si="10"/>
        <v>45579</v>
      </c>
      <c r="C26" s="8">
        <f>VLOOKUP($B26,HAVERD!$A:$BS,C$2,FALSE)</f>
        <v>4.95</v>
      </c>
      <c r="D26" s="8">
        <f>VLOOKUP($B26,HAVERD!$A:$BS,D$2,FALSE)</f>
        <v>4.8075783000000003</v>
      </c>
      <c r="E26" s="8">
        <f>VLOOKUP($B26,HAVERD!$A:$BS,E$2,FALSE)</f>
        <v>4.6717310999999997</v>
      </c>
      <c r="F26" s="8">
        <f>VLOOKUP($B26,HAVERD!$A:$BS,F$2,FALSE)</f>
        <v>4.5557245000000002</v>
      </c>
      <c r="G26" s="8">
        <f>VLOOKUP($B26,HAVERD!$A:$BS,G$2,FALSE)</f>
        <v>4.4414894</v>
      </c>
      <c r="H26" s="8">
        <f>VLOOKUP($B26,HAVERD!$A:$BS,H$2,FALSE)</f>
        <v>4.3232448000000003</v>
      </c>
      <c r="I26" s="8">
        <f>VLOOKUP($B26,HAVERD!$A:$BS,I$2,FALSE)</f>
        <v>4.2068586999999997</v>
      </c>
      <c r="J26" s="8">
        <f>VLOOKUP($B26,HAVERD!$A:$BS,J$2,FALSE)</f>
        <v>4.0999515000000004</v>
      </c>
      <c r="K26" s="8">
        <f>VLOOKUP($B26,HAVERD!$A:$BS,K$2,FALSE)</f>
        <v>4.0081275999999999</v>
      </c>
      <c r="L26" s="8">
        <f>VLOOKUP($B26,HAVERD!$A:$BS,L$2,FALSE)</f>
        <v>3.9344709</v>
      </c>
      <c r="M26" s="8">
        <f>VLOOKUP($B26,HAVERD!$A:$BS,M$2,FALSE)</f>
        <v>3.8782236000000001</v>
      </c>
      <c r="N26" s="8">
        <f>VLOOKUP($B26,HAVERD!$A:$BS,N$2,FALSE)</f>
        <v>3.8375884999999998</v>
      </c>
      <c r="O26" s="8">
        <f>VLOOKUP($B26,HAVERD!$A:$BS,O$2,FALSE)</f>
        <v>3.8094863999999999</v>
      </c>
      <c r="P26" s="8">
        <f>VLOOKUP($B26,HAVERD!$A:$BS,P$2,FALSE)</f>
        <v>3.7892941000000002</v>
      </c>
      <c r="Q26" s="8">
        <f>VLOOKUP($B26,HAVERD!$A:$BS,Q$2,FALSE)</f>
        <v>3.7749741000000001</v>
      </c>
      <c r="R26" s="8">
        <f>VLOOKUP($B26,HAVERD!$A:$BS,R$2,FALSE)</f>
        <v>3.7652882999999999</v>
      </c>
      <c r="S26" s="8">
        <f>VLOOKUP($B26,HAVERD!$A:$BS,S$2,FALSE)</f>
        <v>3.7589986</v>
      </c>
      <c r="T26" s="8">
        <f>VLOOKUP($B26,HAVERD!$A:$BS,T$2,FALSE)</f>
        <v>3.7548667999999998</v>
      </c>
      <c r="U26" s="8">
        <f>VLOOKUP($B26,HAVERD!$A:$BS,U$2,FALSE)</f>
        <v>3.7516547999999998</v>
      </c>
      <c r="V26" s="8">
        <f>VLOOKUP($B26,HAVERD!$A:$BS,V$2,FALSE)</f>
        <v>3.7483431</v>
      </c>
      <c r="W26" s="8">
        <f>VLOOKUP($B26,HAVERD!$A:$BS,W$2,FALSE)</f>
        <v>3.7447444999999999</v>
      </c>
      <c r="X26" s="8">
        <f>VLOOKUP($B26,HAVERD!$A:$BS,X$2,FALSE)</f>
        <v>3.7408700000000001</v>
      </c>
      <c r="Y26" s="8">
        <f>VLOOKUP($B26,HAVERD!$A:$BS,Y$2,FALSE)</f>
        <v>3.7367303999999999</v>
      </c>
      <c r="Z26" s="8">
        <f>VLOOKUP($B26,HAVERD!$A:$BS,Z$2,FALSE)</f>
        <v>3.7323366999999998</v>
      </c>
      <c r="AA26" s="8">
        <f>VLOOKUP($B26,HAVERD!$A:$BS,AA$2,FALSE)</f>
        <v>3.7276997999999999</v>
      </c>
      <c r="AB26" s="8">
        <f>VLOOKUP($B26,HAVERD!$A:$BS,AB$2,FALSE)</f>
        <v>3.7228341999999999</v>
      </c>
      <c r="AC26" s="8">
        <f>VLOOKUP($B26,HAVERD!$A:$BS,AC$2,FALSE)</f>
        <v>3.7177684000000002</v>
      </c>
      <c r="AD26" s="8">
        <f>VLOOKUP($B26,HAVERD!$A:$BS,AD$2,FALSE)</f>
        <v>3.7125343000000002</v>
      </c>
      <c r="AE26" s="8">
        <f>VLOOKUP($B26,HAVERD!$A:$BS,AE$2,FALSE)</f>
        <v>3.7071641</v>
      </c>
      <c r="AF26" s="8">
        <f>VLOOKUP($B26,HAVERD!$A:$BS,AF$2,FALSE)</f>
        <v>3.7016895999999999</v>
      </c>
      <c r="AG26" s="8">
        <f>VLOOKUP($B26,HAVERD!$A:$BS,AG$2,FALSE)</f>
        <v>3.6961428999999999</v>
      </c>
      <c r="AH26" s="8">
        <f>VLOOKUP($B26,HAVERD!$A:$BS,AH$2,FALSE)</f>
        <v>3.6905560999999998</v>
      </c>
      <c r="AI26" s="8">
        <f>VLOOKUP($B26,HAVERD!$A:$BS,AI$2,FALSE)</f>
        <v>3.6849609999999999</v>
      </c>
      <c r="AJ26" s="8">
        <f>VLOOKUP($B26,HAVERD!$A:$BS,AJ$2,FALSE)</f>
        <v>3.6793898</v>
      </c>
      <c r="AK26" s="8">
        <f>VLOOKUP($B26,HAVERD!$A:$BS,AK$2,FALSE)</f>
        <v>3.6738743999999999</v>
      </c>
      <c r="AL26" s="8">
        <f>VLOOKUP($B26,HAVERD!$A:$BS,AL$2,FALSE)</f>
        <v>3.6684469000000002</v>
      </c>
      <c r="AM26" s="8">
        <f>VLOOKUP($B26,HAVERD!$A:$BS,AM$2,FALSE)</f>
        <v>3.6631393000000001</v>
      </c>
      <c r="AN26" s="8">
        <f>VLOOKUP($B26,HAVERD!$A:$BS,AN$2,FALSE)</f>
        <v>3.6579818999999998</v>
      </c>
      <c r="AO26" s="8">
        <f>VLOOKUP($B26,HAVERD!$A:$BS,AO$2,FALSE)</f>
        <v>3.6529988000000002</v>
      </c>
      <c r="AP26" s="8">
        <f>VLOOKUP($B26,HAVERD!$A:$BS,AP$2,FALSE)</f>
        <v>3.6482123999999998</v>
      </c>
      <c r="AQ26" s="8">
        <f>VLOOKUP($B26,HAVERD!$A:$BS,AQ$2,FALSE)</f>
        <v>3.6436451999999999</v>
      </c>
      <c r="AR26" s="8">
        <f>VLOOKUP($B26,HAVERD!$A:$BS,AR$2,FALSE)</f>
        <v>3.6393197000000002</v>
      </c>
      <c r="AS26" s="8">
        <f>VLOOKUP($B26,HAVERD!$A:$BS,AS$2,FALSE)</f>
        <v>3.6352581000000002</v>
      </c>
      <c r="AT26" s="8">
        <f>VLOOKUP($B26,HAVERD!$A:$BS,AT$2,FALSE)</f>
        <v>3.6314831000000001</v>
      </c>
      <c r="AU26" s="8">
        <f>VLOOKUP($B26,HAVERD!$A:$BS,AU$2,FALSE)</f>
        <v>3.6280169</v>
      </c>
      <c r="AV26" s="8">
        <f>VLOOKUP($B26,HAVERD!$A:$BS,AV$2,FALSE)</f>
        <v>3.6248821000000002</v>
      </c>
      <c r="AW26" s="8">
        <f>VLOOKUP($B26,HAVERD!$A:$BS,AW$2,FALSE)</f>
        <v>3.6221011000000001</v>
      </c>
      <c r="AX26" s="8">
        <f>VLOOKUP($B26,HAVERD!$A:$BS,AX$2,FALSE)</f>
        <v>3.6196963000000002</v>
      </c>
      <c r="AY26" s="8">
        <f>VLOOKUP($B26,HAVERD!$A:$BS,AY$2,FALSE)</f>
        <v>3.6176902000000002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2" x14ac:dyDescent="0.35">
      <c r="B27" s="6">
        <f t="shared" si="10"/>
        <v>45580</v>
      </c>
      <c r="C27" s="8">
        <f>VLOOKUP($B27,HAVERD!$A:$BS,C$2,FALSE)</f>
        <v>4.95</v>
      </c>
      <c r="D27" s="8">
        <f>VLOOKUP($B27,HAVERD!$A:$BS,D$2,FALSE)</f>
        <v>4.8042216</v>
      </c>
      <c r="E27" s="8">
        <f>VLOOKUP($B27,HAVERD!$A:$BS,E$2,FALSE)</f>
        <v>4.6688134000000003</v>
      </c>
      <c r="F27" s="8">
        <f>VLOOKUP($B27,HAVERD!$A:$BS,F$2,FALSE)</f>
        <v>4.5480961999999998</v>
      </c>
      <c r="G27" s="8">
        <f>VLOOKUP($B27,HAVERD!$A:$BS,G$2,FALSE)</f>
        <v>4.4272003</v>
      </c>
      <c r="H27" s="8">
        <f>VLOOKUP($B27,HAVERD!$A:$BS,H$2,FALSE)</f>
        <v>4.3027498</v>
      </c>
      <c r="I27" s="8">
        <f>VLOOKUP($B27,HAVERD!$A:$BS,I$2,FALSE)</f>
        <v>4.1813260000000003</v>
      </c>
      <c r="J27" s="8">
        <f>VLOOKUP($B27,HAVERD!$A:$BS,J$2,FALSE)</f>
        <v>4.0705947</v>
      </c>
      <c r="K27" s="8">
        <f>VLOOKUP($B27,HAVERD!$A:$BS,K$2,FALSE)</f>
        <v>3.9756236</v>
      </c>
      <c r="L27" s="8">
        <f>VLOOKUP($B27,HAVERD!$A:$BS,L$2,FALSE)</f>
        <v>3.8989061</v>
      </c>
      <c r="M27" s="8">
        <f>VLOOKUP($B27,HAVERD!$A:$BS,M$2,FALSE)</f>
        <v>3.8397220999999999</v>
      </c>
      <c r="N27" s="8">
        <f>VLOOKUP($B27,HAVERD!$A:$BS,N$2,FALSE)</f>
        <v>3.7963149</v>
      </c>
      <c r="O27" s="8">
        <f>VLOOKUP($B27,HAVERD!$A:$BS,O$2,FALSE)</f>
        <v>3.7657609000000001</v>
      </c>
      <c r="P27" s="8">
        <f>VLOOKUP($B27,HAVERD!$A:$BS,P$2,FALSE)</f>
        <v>3.7434821999999999</v>
      </c>
      <c r="Q27" s="8">
        <f>VLOOKUP($B27,HAVERD!$A:$BS,Q$2,FALSE)</f>
        <v>3.7274297999999999</v>
      </c>
      <c r="R27" s="8">
        <f>VLOOKUP($B27,HAVERD!$A:$BS,R$2,FALSE)</f>
        <v>3.7163355999999999</v>
      </c>
      <c r="S27" s="8">
        <f>VLOOKUP($B27,HAVERD!$A:$BS,S$2,FALSE)</f>
        <v>3.7089316000000001</v>
      </c>
      <c r="T27" s="8">
        <f>VLOOKUP($B27,HAVERD!$A:$BS,T$2,FALSE)</f>
        <v>3.7039501000000001</v>
      </c>
      <c r="U27" s="8">
        <f>VLOOKUP($B27,HAVERD!$A:$BS,U$2,FALSE)</f>
        <v>3.7001230000000001</v>
      </c>
      <c r="V27" s="8">
        <f>VLOOKUP($B27,HAVERD!$A:$BS,V$2,FALSE)</f>
        <v>3.6963967000000002</v>
      </c>
      <c r="W27" s="8">
        <f>VLOOKUP($B27,HAVERD!$A:$BS,W$2,FALSE)</f>
        <v>3.6925336999999998</v>
      </c>
      <c r="X27" s="8">
        <f>VLOOKUP($B27,HAVERD!$A:$BS,X$2,FALSE)</f>
        <v>3.6884909000000001</v>
      </c>
      <c r="Y27" s="8">
        <f>VLOOKUP($B27,HAVERD!$A:$BS,Y$2,FALSE)</f>
        <v>3.6842248999999998</v>
      </c>
      <c r="Z27" s="8">
        <f>VLOOKUP($B27,HAVERD!$A:$BS,Z$2,FALSE)</f>
        <v>3.6796924</v>
      </c>
      <c r="AA27" s="8">
        <f>VLOOKUP($B27,HAVERD!$A:$BS,AA$2,FALSE)</f>
        <v>3.6748503000000001</v>
      </c>
      <c r="AB27" s="8">
        <f>VLOOKUP($B27,HAVERD!$A:$BS,AB$2,FALSE)</f>
        <v>3.66967</v>
      </c>
      <c r="AC27" s="8">
        <f>VLOOKUP($B27,HAVERD!$A:$BS,AC$2,FALSE)</f>
        <v>3.6641815000000002</v>
      </c>
      <c r="AD27" s="8">
        <f>VLOOKUP($B27,HAVERD!$A:$BS,AD$2,FALSE)</f>
        <v>3.6584298</v>
      </c>
      <c r="AE27" s="8">
        <f>VLOOKUP($B27,HAVERD!$A:$BS,AE$2,FALSE)</f>
        <v>3.6524595</v>
      </c>
      <c r="AF27" s="8">
        <f>VLOOKUP($B27,HAVERD!$A:$BS,AF$2,FALSE)</f>
        <v>3.6463157000000002</v>
      </c>
      <c r="AG27" s="8">
        <f>VLOOKUP($B27,HAVERD!$A:$BS,AG$2,FALSE)</f>
        <v>3.6400429999999999</v>
      </c>
      <c r="AH27" s="8">
        <f>VLOOKUP($B27,HAVERD!$A:$BS,AH$2,FALSE)</f>
        <v>3.6336862999999999</v>
      </c>
      <c r="AI27" s="8">
        <f>VLOOKUP($B27,HAVERD!$A:$BS,AI$2,FALSE)</f>
        <v>3.6272904000000001</v>
      </c>
      <c r="AJ27" s="8">
        <f>VLOOKUP($B27,HAVERD!$A:$BS,AJ$2,FALSE)</f>
        <v>3.6209001000000001</v>
      </c>
      <c r="AK27" s="8">
        <f>VLOOKUP($B27,HAVERD!$A:$BS,AK$2,FALSE)</f>
        <v>3.6145602999999999</v>
      </c>
      <c r="AL27" s="8">
        <f>VLOOKUP($B27,HAVERD!$A:$BS,AL$2,FALSE)</f>
        <v>3.6083158000000002</v>
      </c>
      <c r="AM27" s="8">
        <f>VLOOKUP($B27,HAVERD!$A:$BS,AM$2,FALSE)</f>
        <v>3.6022113</v>
      </c>
      <c r="AN27" s="8">
        <f>VLOOKUP($B27,HAVERD!$A:$BS,AN$2,FALSE)</f>
        <v>3.5962877999999998</v>
      </c>
      <c r="AO27" s="8">
        <f>VLOOKUP($B27,HAVERD!$A:$BS,AO$2,FALSE)</f>
        <v>3.5905705000000001</v>
      </c>
      <c r="AP27" s="8">
        <f>VLOOKUP($B27,HAVERD!$A:$BS,AP$2,FALSE)</f>
        <v>3.5850806</v>
      </c>
      <c r="AQ27" s="8">
        <f>VLOOKUP($B27,HAVERD!$A:$BS,AQ$2,FALSE)</f>
        <v>3.5798394</v>
      </c>
      <c r="AR27" s="8">
        <f>VLOOKUP($B27,HAVERD!$A:$BS,AR$2,FALSE)</f>
        <v>3.5748679999999999</v>
      </c>
      <c r="AS27" s="8">
        <f>VLOOKUP($B27,HAVERD!$A:$BS,AS$2,FALSE)</f>
        <v>3.5701877</v>
      </c>
      <c r="AT27" s="8">
        <f>VLOOKUP($B27,HAVERD!$A:$BS,AT$2,FALSE)</f>
        <v>3.5658197999999999</v>
      </c>
      <c r="AU27" s="8">
        <f>VLOOKUP($B27,HAVERD!$A:$BS,AU$2,FALSE)</f>
        <v>3.5617855</v>
      </c>
      <c r="AV27" s="8">
        <f>VLOOKUP($B27,HAVERD!$A:$BS,AV$2,FALSE)</f>
        <v>3.558106</v>
      </c>
      <c r="AW27" s="8">
        <f>VLOOKUP($B27,HAVERD!$A:$BS,AW$2,FALSE)</f>
        <v>3.5548025999999999</v>
      </c>
      <c r="AX27" s="8">
        <f>VLOOKUP($B27,HAVERD!$A:$BS,AX$2,FALSE)</f>
        <v>3.5518964999999998</v>
      </c>
      <c r="AY27" s="8">
        <f>VLOOKUP($B27,HAVERD!$A:$BS,AY$2,FALSE)</f>
        <v>3.5494089999999998</v>
      </c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2" x14ac:dyDescent="0.35">
      <c r="B28" s="6">
        <f t="shared" si="10"/>
        <v>45581</v>
      </c>
      <c r="C28" s="8">
        <f>VLOOKUP($B28,HAVERD!$A:$BS,C$2,FALSE)</f>
        <v>4.95</v>
      </c>
      <c r="D28" s="8">
        <f>VLOOKUP($B28,HAVERD!$A:$BS,D$2,FALSE)</f>
        <v>4.7700832000000002</v>
      </c>
      <c r="E28" s="8">
        <f>VLOOKUP($B28,HAVERD!$A:$BS,E$2,FALSE)</f>
        <v>4.6186220000000002</v>
      </c>
      <c r="F28" s="8">
        <f>VLOOKUP($B28,HAVERD!$A:$BS,F$2,FALSE)</f>
        <v>4.4825588999999999</v>
      </c>
      <c r="G28" s="8">
        <f>VLOOKUP($B28,HAVERD!$A:$BS,G$2,FALSE)</f>
        <v>4.3493558999999999</v>
      </c>
      <c r="H28" s="8">
        <f>VLOOKUP($B28,HAVERD!$A:$BS,H$2,FALSE)</f>
        <v>4.2159912000000004</v>
      </c>
      <c r="I28" s="8">
        <f>VLOOKUP($B28,HAVERD!$A:$BS,I$2,FALSE)</f>
        <v>4.0880922999999996</v>
      </c>
      <c r="J28" s="8">
        <f>VLOOKUP($B28,HAVERD!$A:$BS,J$2,FALSE)</f>
        <v>3.9724897000000001</v>
      </c>
      <c r="K28" s="8">
        <f>VLOOKUP($B28,HAVERD!$A:$BS,K$2,FALSE)</f>
        <v>3.8736739999999998</v>
      </c>
      <c r="L28" s="8">
        <f>VLOOKUP($B28,HAVERD!$A:$BS,L$2,FALSE)</f>
        <v>3.7934899999999998</v>
      </c>
      <c r="M28" s="8">
        <f>VLOOKUP($B28,HAVERD!$A:$BS,M$2,FALSE)</f>
        <v>3.7313781000000001</v>
      </c>
      <c r="N28" s="8">
        <f>VLOOKUP($B28,HAVERD!$A:$BS,N$2,FALSE)</f>
        <v>3.6850979000000001</v>
      </c>
      <c r="O28" s="8">
        <f>VLOOKUP($B28,HAVERD!$A:$BS,O$2,FALSE)</f>
        <v>3.6521425000000001</v>
      </c>
      <c r="P28" s="8">
        <f>VLOOKUP($B28,HAVERD!$A:$BS,P$2,FALSE)</f>
        <v>3.6280093</v>
      </c>
      <c r="Q28" s="8">
        <f>VLOOKUP($B28,HAVERD!$A:$BS,Q$2,FALSE)</f>
        <v>3.6105814000000001</v>
      </c>
      <c r="R28" s="8">
        <f>VLOOKUP($B28,HAVERD!$A:$BS,R$2,FALSE)</f>
        <v>3.5985360000000002</v>
      </c>
      <c r="S28" s="8">
        <f>VLOOKUP($B28,HAVERD!$A:$BS,S$2,FALSE)</f>
        <v>3.5905499999999999</v>
      </c>
      <c r="T28" s="8">
        <f>VLOOKUP($B28,HAVERD!$A:$BS,T$2,FALSE)</f>
        <v>3.5853006000000001</v>
      </c>
      <c r="U28" s="8">
        <f>VLOOKUP($B28,HAVERD!$A:$BS,U$2,FALSE)</f>
        <v>3.5814647000000002</v>
      </c>
      <c r="V28" s="8">
        <f>VLOOKUP($B28,HAVERD!$A:$BS,V$2,FALSE)</f>
        <v>3.5779396000000001</v>
      </c>
      <c r="W28" s="8">
        <f>VLOOKUP($B28,HAVERD!$A:$BS,W$2,FALSE)</f>
        <v>3.5744601</v>
      </c>
      <c r="X28" s="8">
        <f>VLOOKUP($B28,HAVERD!$A:$BS,X$2,FALSE)</f>
        <v>3.5709602999999999</v>
      </c>
      <c r="Y28" s="8">
        <f>VLOOKUP($B28,HAVERD!$A:$BS,Y$2,FALSE)</f>
        <v>3.5673746</v>
      </c>
      <c r="Z28" s="8">
        <f>VLOOKUP($B28,HAVERD!$A:$BS,Z$2,FALSE)</f>
        <v>3.5636372000000001</v>
      </c>
      <c r="AA28" s="8">
        <f>VLOOKUP($B28,HAVERD!$A:$BS,AA$2,FALSE)</f>
        <v>3.5596823</v>
      </c>
      <c r="AB28" s="8">
        <f>VLOOKUP($B28,HAVERD!$A:$BS,AB$2,FALSE)</f>
        <v>3.5554624000000001</v>
      </c>
      <c r="AC28" s="8">
        <f>VLOOKUP($B28,HAVERD!$A:$BS,AC$2,FALSE)</f>
        <v>3.5510033000000001</v>
      </c>
      <c r="AD28" s="8">
        <f>VLOOKUP($B28,HAVERD!$A:$BS,AD$2,FALSE)</f>
        <v>3.5463488999999999</v>
      </c>
      <c r="AE28" s="8">
        <f>VLOOKUP($B28,HAVERD!$A:$BS,AE$2,FALSE)</f>
        <v>3.5415434000000001</v>
      </c>
      <c r="AF28" s="8">
        <f>VLOOKUP($B28,HAVERD!$A:$BS,AF$2,FALSE)</f>
        <v>3.5366306000000001</v>
      </c>
      <c r="AG28" s="8">
        <f>VLOOKUP($B28,HAVERD!$A:$BS,AG$2,FALSE)</f>
        <v>3.5316546</v>
      </c>
      <c r="AH28" s="8">
        <f>VLOOKUP($B28,HAVERD!$A:$BS,AH$2,FALSE)</f>
        <v>3.5266594000000002</v>
      </c>
      <c r="AI28" s="8">
        <f>VLOOKUP($B28,HAVERD!$A:$BS,AI$2,FALSE)</f>
        <v>3.5216889999999998</v>
      </c>
      <c r="AJ28" s="8">
        <f>VLOOKUP($B28,HAVERD!$A:$BS,AJ$2,FALSE)</f>
        <v>3.5167874000000001</v>
      </c>
      <c r="AK28" s="8">
        <f>VLOOKUP($B28,HAVERD!$A:$BS,AK$2,FALSE)</f>
        <v>3.5119986999999999</v>
      </c>
      <c r="AL28" s="8">
        <f>VLOOKUP($B28,HAVERD!$A:$BS,AL$2,FALSE)</f>
        <v>3.5073667999999998</v>
      </c>
      <c r="AM28" s="8">
        <f>VLOOKUP($B28,HAVERD!$A:$BS,AM$2,FALSE)</f>
        <v>3.5029357999999999</v>
      </c>
      <c r="AN28" s="8">
        <f>VLOOKUP($B28,HAVERD!$A:$BS,AN$2,FALSE)</f>
        <v>3.4987447999999999</v>
      </c>
      <c r="AO28" s="8">
        <f>VLOOKUP($B28,HAVERD!$A:$BS,AO$2,FALSE)</f>
        <v>3.4948098000000001</v>
      </c>
      <c r="AP28" s="8">
        <f>VLOOKUP($B28,HAVERD!$A:$BS,AP$2,FALSE)</f>
        <v>3.4911395999999999</v>
      </c>
      <c r="AQ28" s="8">
        <f>VLOOKUP($B28,HAVERD!$A:$BS,AQ$2,FALSE)</f>
        <v>3.487743</v>
      </c>
      <c r="AR28" s="8">
        <f>VLOOKUP($B28,HAVERD!$A:$BS,AR$2,FALSE)</f>
        <v>3.4846287999999999</v>
      </c>
      <c r="AS28" s="8">
        <f>VLOOKUP($B28,HAVERD!$A:$BS,AS$2,FALSE)</f>
        <v>3.4818058000000001</v>
      </c>
      <c r="AT28" s="8">
        <f>VLOOKUP($B28,HAVERD!$A:$BS,AT$2,FALSE)</f>
        <v>3.4792828</v>
      </c>
      <c r="AU28" s="8">
        <f>VLOOKUP($B28,HAVERD!$A:$BS,AU$2,FALSE)</f>
        <v>3.4770686</v>
      </c>
      <c r="AV28" s="8">
        <f>VLOOKUP($B28,HAVERD!$A:$BS,AV$2,FALSE)</f>
        <v>3.4751720000000001</v>
      </c>
      <c r="AW28" s="8">
        <f>VLOOKUP($B28,HAVERD!$A:$BS,AW$2,FALSE)</f>
        <v>3.4736018</v>
      </c>
      <c r="AX28" s="8">
        <f>VLOOKUP($B28,HAVERD!$A:$BS,AX$2,FALSE)</f>
        <v>3.4723668000000001</v>
      </c>
      <c r="AY28" s="8">
        <f>VLOOKUP($B28,HAVERD!$A:$BS,AY$2,FALSE)</f>
        <v>3.4714759000000002</v>
      </c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2" x14ac:dyDescent="0.35">
      <c r="B29" s="6">
        <f t="shared" si="10"/>
        <v>45582</v>
      </c>
      <c r="C29" s="8">
        <f>VLOOKUP($B29,HAVERD!$A:$BS,C$2,FALSE)</f>
        <v>4.95</v>
      </c>
      <c r="D29" s="8">
        <f>VLOOKUP($B29,HAVERD!$A:$BS,D$2,FALSE)</f>
        <v>4.7696391</v>
      </c>
      <c r="E29" s="8">
        <f>VLOOKUP($B29,HAVERD!$A:$BS,E$2,FALSE)</f>
        <v>4.6221702999999996</v>
      </c>
      <c r="F29" s="8">
        <f>VLOOKUP($B29,HAVERD!$A:$BS,F$2,FALSE)</f>
        <v>4.4867502000000004</v>
      </c>
      <c r="G29" s="8">
        <f>VLOOKUP($B29,HAVERD!$A:$BS,G$2,FALSE)</f>
        <v>4.3528362999999999</v>
      </c>
      <c r="H29" s="8">
        <f>VLOOKUP($B29,HAVERD!$A:$BS,H$2,FALSE)</f>
        <v>4.2186078</v>
      </c>
      <c r="I29" s="8">
        <f>VLOOKUP($B29,HAVERD!$A:$BS,I$2,FALSE)</f>
        <v>4.0901854000000002</v>
      </c>
      <c r="J29" s="8">
        <f>VLOOKUP($B29,HAVERD!$A:$BS,J$2,FALSE)</f>
        <v>3.9742384999999998</v>
      </c>
      <c r="K29" s="8">
        <f>VLOOKUP($B29,HAVERD!$A:$BS,K$2,FALSE)</f>
        <v>3.8752080000000002</v>
      </c>
      <c r="L29" s="8">
        <f>VLOOKUP($B29,HAVERD!$A:$BS,L$2,FALSE)</f>
        <v>3.7948124000000001</v>
      </c>
      <c r="M29" s="8">
        <f>VLOOKUP($B29,HAVERD!$A:$BS,M$2,FALSE)</f>
        <v>3.7324600999999999</v>
      </c>
      <c r="N29" s="8">
        <f>VLOOKUP($B29,HAVERD!$A:$BS,N$2,FALSE)</f>
        <v>3.6861031</v>
      </c>
      <c r="O29" s="8">
        <f>VLOOKUP($B29,HAVERD!$A:$BS,O$2,FALSE)</f>
        <v>3.6529836000000002</v>
      </c>
      <c r="P29" s="8">
        <f>VLOOKUP($B29,HAVERD!$A:$BS,P$2,FALSE)</f>
        <v>3.6286714</v>
      </c>
      <c r="Q29" s="8">
        <f>VLOOKUP($B29,HAVERD!$A:$BS,Q$2,FALSE)</f>
        <v>3.6110734</v>
      </c>
      <c r="R29" s="8">
        <f>VLOOKUP($B29,HAVERD!$A:$BS,R$2,FALSE)</f>
        <v>3.5988413000000001</v>
      </c>
      <c r="S29" s="8">
        <f>VLOOKUP($B29,HAVERD!$A:$BS,S$2,FALSE)</f>
        <v>3.5906264999999999</v>
      </c>
      <c r="T29" s="8">
        <f>VLOOKUP($B29,HAVERD!$A:$BS,T$2,FALSE)</f>
        <v>3.5850803999999998</v>
      </c>
      <c r="U29" s="8">
        <f>VLOOKUP($B29,HAVERD!$A:$BS,U$2,FALSE)</f>
        <v>3.5808545999999999</v>
      </c>
      <c r="V29" s="8">
        <f>VLOOKUP($B29,HAVERD!$A:$BS,V$2,FALSE)</f>
        <v>3.5768325999999999</v>
      </c>
      <c r="W29" s="8">
        <f>VLOOKUP($B29,HAVERD!$A:$BS,W$2,FALSE)</f>
        <v>3.5727818999999998</v>
      </c>
      <c r="X29" s="8">
        <f>VLOOKUP($B29,HAVERD!$A:$BS,X$2,FALSE)</f>
        <v>3.5686800999999999</v>
      </c>
      <c r="Y29" s="8">
        <f>VLOOKUP($B29,HAVERD!$A:$BS,Y$2,FALSE)</f>
        <v>3.564505</v>
      </c>
      <c r="Z29" s="8">
        <f>VLOOKUP($B29,HAVERD!$A:$BS,Z$2,FALSE)</f>
        <v>3.5602344000000001</v>
      </c>
      <c r="AA29" s="8">
        <f>VLOOKUP($B29,HAVERD!$A:$BS,AA$2,FALSE)</f>
        <v>3.5558459</v>
      </c>
      <c r="AB29" s="8">
        <f>VLOOKUP($B29,HAVERD!$A:$BS,AB$2,FALSE)</f>
        <v>3.5513257</v>
      </c>
      <c r="AC29" s="8">
        <f>VLOOKUP($B29,HAVERD!$A:$BS,AC$2,FALSE)</f>
        <v>3.5467010000000001</v>
      </c>
      <c r="AD29" s="8">
        <f>VLOOKUP($B29,HAVERD!$A:$BS,AD$2,FALSE)</f>
        <v>3.5420115000000001</v>
      </c>
      <c r="AE29" s="8">
        <f>VLOOKUP($B29,HAVERD!$A:$BS,AE$2,FALSE)</f>
        <v>3.5372968999999999</v>
      </c>
      <c r="AF29" s="8">
        <f>VLOOKUP($B29,HAVERD!$A:$BS,AF$2,FALSE)</f>
        <v>3.5325969000000002</v>
      </c>
      <c r="AG29" s="8">
        <f>VLOOKUP($B29,HAVERD!$A:$BS,AG$2,FALSE)</f>
        <v>3.5279512</v>
      </c>
      <c r="AH29" s="8">
        <f>VLOOKUP($B29,HAVERD!$A:$BS,AH$2,FALSE)</f>
        <v>3.5233995</v>
      </c>
      <c r="AI29" s="8">
        <f>VLOOKUP($B29,HAVERD!$A:$BS,AI$2,FALSE)</f>
        <v>3.5189813999999999</v>
      </c>
      <c r="AJ29" s="8">
        <f>VLOOKUP($B29,HAVERD!$A:$BS,AJ$2,FALSE)</f>
        <v>3.5147366999999998</v>
      </c>
      <c r="AK29" s="8">
        <f>VLOOKUP($B29,HAVERD!$A:$BS,AK$2,FALSE)</f>
        <v>3.5107051</v>
      </c>
      <c r="AL29" s="8">
        <f>VLOOKUP($B29,HAVERD!$A:$BS,AL$2,FALSE)</f>
        <v>3.5069262000000001</v>
      </c>
      <c r="AM29" s="8">
        <f>VLOOKUP($B29,HAVERD!$A:$BS,AM$2,FALSE)</f>
        <v>3.5034398000000002</v>
      </c>
      <c r="AN29" s="8">
        <f>VLOOKUP($B29,HAVERD!$A:$BS,AN$2,FALSE)</f>
        <v>3.5002794000000002</v>
      </c>
      <c r="AO29" s="8">
        <f>VLOOKUP($B29,HAVERD!$A:$BS,AO$2,FALSE)</f>
        <v>3.4974512</v>
      </c>
      <c r="AP29" s="8">
        <f>VLOOKUP($B29,HAVERD!$A:$BS,AP$2,FALSE)</f>
        <v>3.4949539000000001</v>
      </c>
      <c r="AQ29" s="8">
        <f>VLOOKUP($B29,HAVERD!$A:$BS,AQ$2,FALSE)</f>
        <v>3.4927863000000001</v>
      </c>
      <c r="AR29" s="8">
        <f>VLOOKUP($B29,HAVERD!$A:$BS,AR$2,FALSE)</f>
        <v>3.4909471000000001</v>
      </c>
      <c r="AS29" s="8">
        <f>VLOOKUP($B29,HAVERD!$A:$BS,AS$2,FALSE)</f>
        <v>3.4894351000000001</v>
      </c>
      <c r="AT29" s="8">
        <f>VLOOKUP($B29,HAVERD!$A:$BS,AT$2,FALSE)</f>
        <v>3.4882488999999999</v>
      </c>
      <c r="AU29" s="8">
        <f>VLOOKUP($B29,HAVERD!$A:$BS,AU$2,FALSE)</f>
        <v>3.4873873999999998</v>
      </c>
      <c r="AV29" s="8">
        <f>VLOOKUP($B29,HAVERD!$A:$BS,AV$2,FALSE)</f>
        <v>3.4868491000000001</v>
      </c>
      <c r="AW29" s="8">
        <f>VLOOKUP($B29,HAVERD!$A:$BS,AW$2,FALSE)</f>
        <v>3.4866329</v>
      </c>
      <c r="AX29" s="8">
        <f>VLOOKUP($B29,HAVERD!$A:$BS,AX$2,FALSE)</f>
        <v>3.4867374999999998</v>
      </c>
      <c r="AY29" s="8">
        <f>VLOOKUP($B29,HAVERD!$A:$BS,AY$2,FALSE)</f>
        <v>3.4871615</v>
      </c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2" x14ac:dyDescent="0.35">
      <c r="B30" s="6">
        <f t="shared" si="10"/>
        <v>45583</v>
      </c>
      <c r="C30" s="8">
        <f>VLOOKUP($B30,HAVERD!$A:$BS,C$2,FALSE)</f>
        <v>4.95</v>
      </c>
      <c r="D30" s="8">
        <f>VLOOKUP($B30,HAVERD!$A:$BS,D$2,FALSE)</f>
        <v>4.7565407999999998</v>
      </c>
      <c r="E30" s="8">
        <f>VLOOKUP($B30,HAVERD!$A:$BS,E$2,FALSE)</f>
        <v>4.6112875999999998</v>
      </c>
      <c r="F30" s="8">
        <f>VLOOKUP($B30,HAVERD!$A:$BS,F$2,FALSE)</f>
        <v>4.4736636000000001</v>
      </c>
      <c r="G30" s="8">
        <f>VLOOKUP($B30,HAVERD!$A:$BS,G$2,FALSE)</f>
        <v>4.3371063000000003</v>
      </c>
      <c r="H30" s="8">
        <f>VLOOKUP($B30,HAVERD!$A:$BS,H$2,FALSE)</f>
        <v>4.2003864999999996</v>
      </c>
      <c r="I30" s="8">
        <f>VLOOKUP($B30,HAVERD!$A:$BS,I$2,FALSE)</f>
        <v>4.0688589000000004</v>
      </c>
      <c r="J30" s="8">
        <f>VLOOKUP($B30,HAVERD!$A:$BS,J$2,FALSE)</f>
        <v>3.9476922999999999</v>
      </c>
      <c r="K30" s="8">
        <f>VLOOKUP($B30,HAVERD!$A:$BS,K$2,FALSE)</f>
        <v>3.8409702000000001</v>
      </c>
      <c r="L30" s="8">
        <f>VLOOKUP($B30,HAVERD!$A:$BS,L$2,FALSE)</f>
        <v>3.7499541000000001</v>
      </c>
      <c r="M30" s="8">
        <f>VLOOKUP($B30,HAVERD!$A:$BS,M$2,FALSE)</f>
        <v>3.6743711000000001</v>
      </c>
      <c r="N30" s="8">
        <f>VLOOKUP($B30,HAVERD!$A:$BS,N$2,FALSE)</f>
        <v>3.6134064000000001</v>
      </c>
      <c r="O30" s="8">
        <f>VLOOKUP($B30,HAVERD!$A:$BS,O$2,FALSE)</f>
        <v>3.5655735000000002</v>
      </c>
      <c r="P30" s="8">
        <f>VLOOKUP($B30,HAVERD!$A:$BS,P$2,FALSE)</f>
        <v>3.5289291999999999</v>
      </c>
      <c r="Q30" s="8">
        <f>VLOOKUP($B30,HAVERD!$A:$BS,Q$2,FALSE)</f>
        <v>3.5018017000000001</v>
      </c>
      <c r="R30" s="8">
        <f>VLOOKUP($B30,HAVERD!$A:$BS,R$2,FALSE)</f>
        <v>3.4826339000000002</v>
      </c>
      <c r="S30" s="8">
        <f>VLOOKUP($B30,HAVERD!$A:$BS,S$2,FALSE)</f>
        <v>3.4698687000000001</v>
      </c>
      <c r="T30" s="8">
        <f>VLOOKUP($B30,HAVERD!$A:$BS,T$2,FALSE)</f>
        <v>3.4619491</v>
      </c>
      <c r="U30" s="8">
        <f>VLOOKUP($B30,HAVERD!$A:$BS,U$2,FALSE)</f>
        <v>3.4573181000000002</v>
      </c>
      <c r="V30" s="8">
        <f>VLOOKUP($B30,HAVERD!$A:$BS,V$2,FALSE)</f>
        <v>3.4545954999999999</v>
      </c>
      <c r="W30" s="8">
        <f>VLOOKUP($B30,HAVERD!$A:$BS,W$2,FALSE)</f>
        <v>3.4532229999999999</v>
      </c>
      <c r="X30" s="8">
        <f>VLOOKUP($B30,HAVERD!$A:$BS,X$2,FALSE)</f>
        <v>3.4528797</v>
      </c>
      <c r="Y30" s="8">
        <f>VLOOKUP($B30,HAVERD!$A:$BS,Y$2,FALSE)</f>
        <v>3.4532452999999999</v>
      </c>
      <c r="Z30" s="8">
        <f>VLOOKUP($B30,HAVERD!$A:$BS,Z$2,FALSE)</f>
        <v>3.453999</v>
      </c>
      <c r="AA30" s="8">
        <f>VLOOKUP($B30,HAVERD!$A:$BS,AA$2,FALSE)</f>
        <v>3.4548204</v>
      </c>
      <c r="AB30" s="8">
        <f>VLOOKUP($B30,HAVERD!$A:$BS,AB$2,FALSE)</f>
        <v>3.4554410999999998</v>
      </c>
      <c r="AC30" s="8">
        <f>VLOOKUP($B30,HAVERD!$A:$BS,AC$2,FALSE)</f>
        <v>3.4558233</v>
      </c>
      <c r="AD30" s="8">
        <f>VLOOKUP($B30,HAVERD!$A:$BS,AD$2,FALSE)</f>
        <v>3.4559929999999999</v>
      </c>
      <c r="AE30" s="8">
        <f>VLOOKUP($B30,HAVERD!$A:$BS,AE$2,FALSE)</f>
        <v>3.4559760000000002</v>
      </c>
      <c r="AF30" s="8">
        <f>VLOOKUP($B30,HAVERD!$A:$BS,AF$2,FALSE)</f>
        <v>3.4557981999999998</v>
      </c>
      <c r="AG30" s="8">
        <f>VLOOKUP($B30,HAVERD!$A:$BS,AG$2,FALSE)</f>
        <v>3.4554855999999998</v>
      </c>
      <c r="AH30" s="8">
        <f>VLOOKUP($B30,HAVERD!$A:$BS,AH$2,FALSE)</f>
        <v>3.4550638999999999</v>
      </c>
      <c r="AI30" s="8">
        <f>VLOOKUP($B30,HAVERD!$A:$BS,AI$2,FALSE)</f>
        <v>3.4545591</v>
      </c>
      <c r="AJ30" s="8">
        <f>VLOOKUP($B30,HAVERD!$A:$BS,AJ$2,FALSE)</f>
        <v>3.4539971</v>
      </c>
      <c r="AK30" s="8">
        <f>VLOOKUP($B30,HAVERD!$A:$BS,AK$2,FALSE)</f>
        <v>3.4534037</v>
      </c>
      <c r="AL30" s="8">
        <f>VLOOKUP($B30,HAVERD!$A:$BS,AL$2,FALSE)</f>
        <v>3.4528048</v>
      </c>
      <c r="AM30" s="8">
        <f>VLOOKUP($B30,HAVERD!$A:$BS,AM$2,FALSE)</f>
        <v>3.4522263</v>
      </c>
      <c r="AN30" s="8">
        <f>VLOOKUP($B30,HAVERD!$A:$BS,AN$2,FALSE)</f>
        <v>3.4516920999999998</v>
      </c>
      <c r="AO30" s="8">
        <f>VLOOKUP($B30,HAVERD!$A:$BS,AO$2,FALSE)</f>
        <v>3.4512181000000002</v>
      </c>
      <c r="AP30" s="8">
        <f>VLOOKUP($B30,HAVERD!$A:$BS,AP$2,FALSE)</f>
        <v>3.4508179999999999</v>
      </c>
      <c r="AQ30" s="8">
        <f>VLOOKUP($B30,HAVERD!$A:$BS,AQ$2,FALSE)</f>
        <v>3.4505056000000001</v>
      </c>
      <c r="AR30" s="8">
        <f>VLOOKUP($B30,HAVERD!$A:$BS,AR$2,FALSE)</f>
        <v>3.4502948</v>
      </c>
      <c r="AS30" s="8">
        <f>VLOOKUP($B30,HAVERD!$A:$BS,AS$2,FALSE)</f>
        <v>3.4501993999999998</v>
      </c>
      <c r="AT30" s="8">
        <f>VLOOKUP($B30,HAVERD!$A:$BS,AT$2,FALSE)</f>
        <v>3.4502332</v>
      </c>
      <c r="AU30" s="8">
        <f>VLOOKUP($B30,HAVERD!$A:$BS,AU$2,FALSE)</f>
        <v>3.4504101</v>
      </c>
      <c r="AV30" s="8">
        <f>VLOOKUP($B30,HAVERD!$A:$BS,AV$2,FALSE)</f>
        <v>3.4507438000000001</v>
      </c>
      <c r="AW30" s="8">
        <f>VLOOKUP($B30,HAVERD!$A:$BS,AW$2,FALSE)</f>
        <v>3.4512482000000002</v>
      </c>
      <c r="AX30" s="8">
        <f>VLOOKUP($B30,HAVERD!$A:$BS,AX$2,FALSE)</f>
        <v>3.451937</v>
      </c>
      <c r="AY30" s="8">
        <f>VLOOKUP($B30,HAVERD!$A:$BS,AY$2,FALSE)</f>
        <v>3.4528241999999998</v>
      </c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2" x14ac:dyDescent="0.35">
      <c r="B31" s="6">
        <f t="shared" si="10"/>
        <v>45586</v>
      </c>
      <c r="C31" s="8">
        <f>VLOOKUP($B31,HAVERD!$A:$BS,C$2,FALSE)</f>
        <v>4.95</v>
      </c>
      <c r="D31" s="8">
        <f>VLOOKUP($B31,HAVERD!$A:$BS,D$2,FALSE)</f>
        <v>4.7245473000000002</v>
      </c>
      <c r="E31" s="8">
        <f>VLOOKUP($B31,HAVERD!$A:$BS,E$2,FALSE)</f>
        <v>4.6069933000000001</v>
      </c>
      <c r="F31" s="8">
        <f>VLOOKUP($B31,HAVERD!$A:$BS,F$2,FALSE)</f>
        <v>4.4780540999999996</v>
      </c>
      <c r="G31" s="8">
        <f>VLOOKUP($B31,HAVERD!$A:$BS,G$2,FALSE)</f>
        <v>4.3408240999999999</v>
      </c>
      <c r="H31" s="8">
        <f>VLOOKUP($B31,HAVERD!$A:$BS,H$2,FALSE)</f>
        <v>4.202394</v>
      </c>
      <c r="I31" s="8">
        <f>VLOOKUP($B31,HAVERD!$A:$BS,I$2,FALSE)</f>
        <v>4.0715595000000002</v>
      </c>
      <c r="J31" s="8">
        <f>VLOOKUP($B31,HAVERD!$A:$BS,J$2,FALSE)</f>
        <v>3.9552244000000001</v>
      </c>
      <c r="K31" s="8">
        <f>VLOOKUP($B31,HAVERD!$A:$BS,K$2,FALSE)</f>
        <v>3.8568313000000001</v>
      </c>
      <c r="L31" s="8">
        <f>VLOOKUP($B31,HAVERD!$A:$BS,L$2,FALSE)</f>
        <v>3.7775028000000002</v>
      </c>
      <c r="M31" s="8">
        <f>VLOOKUP($B31,HAVERD!$A:$BS,M$2,FALSE)</f>
        <v>3.7156813</v>
      </c>
      <c r="N31" s="8">
        <f>VLOOKUP($B31,HAVERD!$A:$BS,N$2,FALSE)</f>
        <v>3.6695517999999998</v>
      </c>
      <c r="O31" s="8">
        <f>VLOOKUP($B31,HAVERD!$A:$BS,O$2,FALSE)</f>
        <v>3.6363628000000001</v>
      </c>
      <c r="P31" s="8">
        <f>VLOOKUP($B31,HAVERD!$A:$BS,P$2,FALSE)</f>
        <v>3.6122633</v>
      </c>
      <c r="Q31" s="8">
        <f>VLOOKUP($B31,HAVERD!$A:$BS,Q$2,FALSE)</f>
        <v>3.5953088000000002</v>
      </c>
      <c r="R31" s="8">
        <f>VLOOKUP($B31,HAVERD!$A:$BS,R$2,FALSE)</f>
        <v>3.5841386000000002</v>
      </c>
      <c r="S31" s="8">
        <f>VLOOKUP($B31,HAVERD!$A:$BS,S$2,FALSE)</f>
        <v>3.5773920000000001</v>
      </c>
      <c r="T31" s="8">
        <f>VLOOKUP($B31,HAVERD!$A:$BS,T$2,FALSE)</f>
        <v>3.5737082999999998</v>
      </c>
      <c r="U31" s="8">
        <f>VLOOKUP($B31,HAVERD!$A:$BS,U$2,FALSE)</f>
        <v>3.5717267000000001</v>
      </c>
      <c r="V31" s="8">
        <f>VLOOKUP($B31,HAVERD!$A:$BS,V$2,FALSE)</f>
        <v>3.5703064000000002</v>
      </c>
      <c r="W31" s="8">
        <f>VLOOKUP($B31,HAVERD!$A:$BS,W$2,FALSE)</f>
        <v>3.5691438999999998</v>
      </c>
      <c r="X31" s="8">
        <f>VLOOKUP($B31,HAVERD!$A:$BS,X$2,FALSE)</f>
        <v>3.5681346</v>
      </c>
      <c r="Y31" s="8">
        <f>VLOOKUP($B31,HAVERD!$A:$BS,Y$2,FALSE)</f>
        <v>3.5671740999999999</v>
      </c>
      <c r="Z31" s="8">
        <f>VLOOKUP($B31,HAVERD!$A:$BS,Z$2,FALSE)</f>
        <v>3.5661581999999998</v>
      </c>
      <c r="AA31" s="8">
        <f>VLOOKUP($B31,HAVERD!$A:$BS,AA$2,FALSE)</f>
        <v>3.5649823</v>
      </c>
      <c r="AB31" s="8">
        <f>VLOOKUP($B31,HAVERD!$A:$BS,AB$2,FALSE)</f>
        <v>3.5635644000000002</v>
      </c>
      <c r="AC31" s="8">
        <f>VLOOKUP($B31,HAVERD!$A:$BS,AC$2,FALSE)</f>
        <v>3.5619120999999998</v>
      </c>
      <c r="AD31" s="8">
        <f>VLOOKUP($B31,HAVERD!$A:$BS,AD$2,FALSE)</f>
        <v>3.5600553000000001</v>
      </c>
      <c r="AE31" s="8">
        <f>VLOOKUP($B31,HAVERD!$A:$BS,AE$2,FALSE)</f>
        <v>3.5580238</v>
      </c>
      <c r="AF31" s="8">
        <f>VLOOKUP($B31,HAVERD!$A:$BS,AF$2,FALSE)</f>
        <v>3.5558475</v>
      </c>
      <c r="AG31" s="8">
        <f>VLOOKUP($B31,HAVERD!$A:$BS,AG$2,FALSE)</f>
        <v>3.5535564000000002</v>
      </c>
      <c r="AH31" s="8">
        <f>VLOOKUP($B31,HAVERD!$A:$BS,AH$2,FALSE)</f>
        <v>3.5511803</v>
      </c>
      <c r="AI31" s="8">
        <f>VLOOKUP($B31,HAVERD!$A:$BS,AI$2,FALSE)</f>
        <v>3.5487491000000002</v>
      </c>
      <c r="AJ31" s="8">
        <f>VLOOKUP($B31,HAVERD!$A:$BS,AJ$2,FALSE)</f>
        <v>3.5462927999999998</v>
      </c>
      <c r="AK31" s="8">
        <f>VLOOKUP($B31,HAVERD!$A:$BS,AK$2,FALSE)</f>
        <v>3.5438410999999999</v>
      </c>
      <c r="AL31" s="8">
        <f>VLOOKUP($B31,HAVERD!$A:$BS,AL$2,FALSE)</f>
        <v>3.5414241</v>
      </c>
      <c r="AM31" s="8">
        <f>VLOOKUP($B31,HAVERD!$A:$BS,AM$2,FALSE)</f>
        <v>3.5390716000000002</v>
      </c>
      <c r="AN31" s="8">
        <f>VLOOKUP($B31,HAVERD!$A:$BS,AN$2,FALSE)</f>
        <v>3.5368115000000002</v>
      </c>
      <c r="AO31" s="8">
        <f>VLOOKUP($B31,HAVERD!$A:$BS,AO$2,FALSE)</f>
        <v>3.5346628999999998</v>
      </c>
      <c r="AP31" s="8">
        <f>VLOOKUP($B31,HAVERD!$A:$BS,AP$2,FALSE)</f>
        <v>3.5326431999999999</v>
      </c>
      <c r="AQ31" s="8">
        <f>VLOOKUP($B31,HAVERD!$A:$BS,AQ$2,FALSE)</f>
        <v>3.5307694999999999</v>
      </c>
      <c r="AR31" s="8">
        <f>VLOOKUP($B31,HAVERD!$A:$BS,AR$2,FALSE)</f>
        <v>3.5290591</v>
      </c>
      <c r="AS31" s="8">
        <f>VLOOKUP($B31,HAVERD!$A:$BS,AS$2,FALSE)</f>
        <v>3.5275292</v>
      </c>
      <c r="AT31" s="8">
        <f>VLOOKUP($B31,HAVERD!$A:$BS,AT$2,FALSE)</f>
        <v>3.5261969</v>
      </c>
      <c r="AU31" s="8">
        <f>VLOOKUP($B31,HAVERD!$A:$BS,AU$2,FALSE)</f>
        <v>3.5250796000000002</v>
      </c>
      <c r="AV31" s="8">
        <f>VLOOKUP($B31,HAVERD!$A:$BS,AV$2,FALSE)</f>
        <v>3.5241943999999998</v>
      </c>
      <c r="AW31" s="8">
        <f>VLOOKUP($B31,HAVERD!$A:$BS,AW$2,FALSE)</f>
        <v>3.5235585</v>
      </c>
      <c r="AX31" s="8">
        <f>VLOOKUP($B31,HAVERD!$A:$BS,AX$2,FALSE)</f>
        <v>3.5231891000000002</v>
      </c>
      <c r="AY31" s="8">
        <f>VLOOKUP($B31,HAVERD!$A:$BS,AY$2,FALSE)</f>
        <v>3.5231035999999998</v>
      </c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2" x14ac:dyDescent="0.35">
      <c r="B32" s="6">
        <f t="shared" si="10"/>
        <v>45587</v>
      </c>
      <c r="C32" s="8">
        <f>VLOOKUP($B32,HAVERD!$A:$BS,C$2,FALSE)</f>
        <v>4.95</v>
      </c>
      <c r="D32" s="8">
        <f>VLOOKUP($B32,HAVERD!$A:$BS,D$2,FALSE)</f>
        <v>4.7159402999999998</v>
      </c>
      <c r="E32" s="8">
        <f>VLOOKUP($B32,HAVERD!$A:$BS,E$2,FALSE)</f>
        <v>4.6058519999999996</v>
      </c>
      <c r="F32" s="8">
        <f>VLOOKUP($B32,HAVERD!$A:$BS,F$2,FALSE)</f>
        <v>4.4784972999999999</v>
      </c>
      <c r="G32" s="8">
        <f>VLOOKUP($B32,HAVERD!$A:$BS,G$2,FALSE)</f>
        <v>4.3411958999999998</v>
      </c>
      <c r="H32" s="8">
        <f>VLOOKUP($B32,HAVERD!$A:$BS,H$2,FALSE)</f>
        <v>4.2037503000000003</v>
      </c>
      <c r="I32" s="8">
        <f>VLOOKUP($B32,HAVERD!$A:$BS,I$2,FALSE)</f>
        <v>4.0749351999999996</v>
      </c>
      <c r="J32" s="8">
        <f>VLOOKUP($B32,HAVERD!$A:$BS,J$2,FALSE)</f>
        <v>3.9618383000000001</v>
      </c>
      <c r="K32" s="8">
        <f>VLOOKUP($B32,HAVERD!$A:$BS,K$2,FALSE)</f>
        <v>3.8676829000000001</v>
      </c>
      <c r="L32" s="8">
        <f>VLOOKUP($B32,HAVERD!$A:$BS,L$2,FALSE)</f>
        <v>3.7933059</v>
      </c>
      <c r="M32" s="8">
        <f>VLOOKUP($B32,HAVERD!$A:$BS,M$2,FALSE)</f>
        <v>3.7370027000000001</v>
      </c>
      <c r="N32" s="8">
        <f>VLOOKUP($B32,HAVERD!$A:$BS,N$2,FALSE)</f>
        <v>3.6965226000000002</v>
      </c>
      <c r="O32" s="8">
        <f>VLOOKUP($B32,HAVERD!$A:$BS,O$2,FALSE)</f>
        <v>3.6687145000000001</v>
      </c>
      <c r="P32" s="8">
        <f>VLOOKUP($B32,HAVERD!$A:$BS,P$2,FALSE)</f>
        <v>3.6490209999999998</v>
      </c>
      <c r="Q32" s="8">
        <f>VLOOKUP($B32,HAVERD!$A:$BS,Q$2,FALSE)</f>
        <v>3.6354342000000002</v>
      </c>
      <c r="R32" s="8">
        <f>VLOOKUP($B32,HAVERD!$A:$BS,R$2,FALSE)</f>
        <v>3.6267184000000001</v>
      </c>
      <c r="S32" s="8">
        <f>VLOOKUP($B32,HAVERD!$A:$BS,S$2,FALSE)</f>
        <v>3.6216376000000001</v>
      </c>
      <c r="T32" s="8">
        <f>VLOOKUP($B32,HAVERD!$A:$BS,T$2,FALSE)</f>
        <v>3.6189562</v>
      </c>
      <c r="U32" s="8">
        <f>VLOOKUP($B32,HAVERD!$A:$BS,U$2,FALSE)</f>
        <v>3.6174382999999999</v>
      </c>
      <c r="V32" s="8">
        <f>VLOOKUP($B32,HAVERD!$A:$BS,V$2,FALSE)</f>
        <v>3.6160586000000001</v>
      </c>
      <c r="W32" s="8">
        <f>VLOOKUP($B32,HAVERD!$A:$BS,W$2,FALSE)</f>
        <v>3.6145931</v>
      </c>
      <c r="X32" s="8">
        <f>VLOOKUP($B32,HAVERD!$A:$BS,X$2,FALSE)</f>
        <v>3.6130084</v>
      </c>
      <c r="Y32" s="8">
        <f>VLOOKUP($B32,HAVERD!$A:$BS,Y$2,FALSE)</f>
        <v>3.6112714000000001</v>
      </c>
      <c r="Z32" s="8">
        <f>VLOOKUP($B32,HAVERD!$A:$BS,Z$2,FALSE)</f>
        <v>3.6093486000000001</v>
      </c>
      <c r="AA32" s="8">
        <f>VLOOKUP($B32,HAVERD!$A:$BS,AA$2,FALSE)</f>
        <v>3.6072068000000002</v>
      </c>
      <c r="AB32" s="8">
        <f>VLOOKUP($B32,HAVERD!$A:$BS,AB$2,FALSE)</f>
        <v>3.6048235000000002</v>
      </c>
      <c r="AC32" s="8">
        <f>VLOOKUP($B32,HAVERD!$A:$BS,AC$2,FALSE)</f>
        <v>3.6022194000000001</v>
      </c>
      <c r="AD32" s="8">
        <f>VLOOKUP($B32,HAVERD!$A:$BS,AD$2,FALSE)</f>
        <v>3.5994261999999999</v>
      </c>
      <c r="AE32" s="8">
        <f>VLOOKUP($B32,HAVERD!$A:$BS,AE$2,FALSE)</f>
        <v>3.5964754000000001</v>
      </c>
      <c r="AF32" s="8">
        <f>VLOOKUP($B32,HAVERD!$A:$BS,AF$2,FALSE)</f>
        <v>3.5933986</v>
      </c>
      <c r="AG32" s="8">
        <f>VLOOKUP($B32,HAVERD!$A:$BS,AG$2,FALSE)</f>
        <v>3.5902273</v>
      </c>
      <c r="AH32" s="8">
        <f>VLOOKUP($B32,HAVERD!$A:$BS,AH$2,FALSE)</f>
        <v>3.5869930999999999</v>
      </c>
      <c r="AI32" s="8">
        <f>VLOOKUP($B32,HAVERD!$A:$BS,AI$2,FALSE)</f>
        <v>3.5837276999999998</v>
      </c>
      <c r="AJ32" s="8">
        <f>VLOOKUP($B32,HAVERD!$A:$BS,AJ$2,FALSE)</f>
        <v>3.5804624999999999</v>
      </c>
      <c r="AK32" s="8">
        <f>VLOOKUP($B32,HAVERD!$A:$BS,AK$2,FALSE)</f>
        <v>3.5772290999999998</v>
      </c>
      <c r="AL32" s="8">
        <f>VLOOKUP($B32,HAVERD!$A:$BS,AL$2,FALSE)</f>
        <v>3.5740590999999999</v>
      </c>
      <c r="AM32" s="8">
        <f>VLOOKUP($B32,HAVERD!$A:$BS,AM$2,FALSE)</f>
        <v>3.5709841</v>
      </c>
      <c r="AN32" s="8">
        <f>VLOOKUP($B32,HAVERD!$A:$BS,AN$2,FALSE)</f>
        <v>3.5680334</v>
      </c>
      <c r="AO32" s="8">
        <f>VLOOKUP($B32,HAVERD!$A:$BS,AO$2,FALSE)</f>
        <v>3.5652276000000001</v>
      </c>
      <c r="AP32" s="8">
        <f>VLOOKUP($B32,HAVERD!$A:$BS,AP$2,FALSE)</f>
        <v>3.5625848000000002</v>
      </c>
      <c r="AQ32" s="8">
        <f>VLOOKUP($B32,HAVERD!$A:$BS,AQ$2,FALSE)</f>
        <v>3.5601234000000002</v>
      </c>
      <c r="AR32" s="8">
        <f>VLOOKUP($B32,HAVERD!$A:$BS,AR$2,FALSE)</f>
        <v>3.5578617000000001</v>
      </c>
      <c r="AS32" s="8">
        <f>VLOOKUP($B32,HAVERD!$A:$BS,AS$2,FALSE)</f>
        <v>3.5558177999999998</v>
      </c>
      <c r="AT32" s="8">
        <f>VLOOKUP($B32,HAVERD!$A:$BS,AT$2,FALSE)</f>
        <v>3.5540101000000002</v>
      </c>
      <c r="AU32" s="8">
        <f>VLOOKUP($B32,HAVERD!$A:$BS,AU$2,FALSE)</f>
        <v>3.5524569000000001</v>
      </c>
      <c r="AV32" s="8">
        <f>VLOOKUP($B32,HAVERD!$A:$BS,AV$2,FALSE)</f>
        <v>3.5511764000000001</v>
      </c>
      <c r="AW32" s="8">
        <f>VLOOKUP($B32,HAVERD!$A:$BS,AW$2,FALSE)</f>
        <v>3.5501868000000001</v>
      </c>
      <c r="AX32" s="8">
        <f>VLOOKUP($B32,HAVERD!$A:$BS,AX$2,FALSE)</f>
        <v>3.5495066</v>
      </c>
      <c r="AY32" s="8">
        <f>VLOOKUP($B32,HAVERD!$A:$BS,AY$2,FALSE)</f>
        <v>3.5491538</v>
      </c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x14ac:dyDescent="0.35">
      <c r="B33" s="6">
        <f t="shared" si="10"/>
        <v>45588</v>
      </c>
      <c r="C33" s="8">
        <f>VLOOKUP($B33,HAVERD!$A:$BS,C$2,FALSE)</f>
        <v>4.95</v>
      </c>
      <c r="D33" s="8">
        <f>VLOOKUP($B33,HAVERD!$A:$BS,D$2,FALSE)</f>
        <v>4.7066382999999998</v>
      </c>
      <c r="E33" s="8">
        <f>VLOOKUP($B33,HAVERD!$A:$BS,E$2,FALSE)</f>
        <v>4.6034616000000002</v>
      </c>
      <c r="F33" s="8">
        <f>VLOOKUP($B33,HAVERD!$A:$BS,F$2,FALSE)</f>
        <v>4.4767190000000001</v>
      </c>
      <c r="G33" s="8">
        <f>VLOOKUP($B33,HAVERD!$A:$BS,G$2,FALSE)</f>
        <v>4.3384223000000004</v>
      </c>
      <c r="H33" s="8">
        <f>VLOOKUP($B33,HAVERD!$A:$BS,H$2,FALSE)</f>
        <v>4.2008419000000004</v>
      </c>
      <c r="I33" s="8">
        <f>VLOOKUP($B33,HAVERD!$A:$BS,I$2,FALSE)</f>
        <v>4.0734887000000004</v>
      </c>
      <c r="J33" s="8">
        <f>VLOOKUP($B33,HAVERD!$A:$BS,J$2,FALSE)</f>
        <v>3.9631634</v>
      </c>
      <c r="K33" s="8">
        <f>VLOOKUP($B33,HAVERD!$A:$BS,K$2,FALSE)</f>
        <v>3.8728351999999999</v>
      </c>
      <c r="L33" s="8">
        <f>VLOOKUP($B33,HAVERD!$A:$BS,L$2,FALSE)</f>
        <v>3.8026984000000001</v>
      </c>
      <c r="M33" s="8">
        <f>VLOOKUP($B33,HAVERD!$A:$BS,M$2,FALSE)</f>
        <v>3.7511695</v>
      </c>
      <c r="N33" s="8">
        <f>VLOOKUP($B33,HAVERD!$A:$BS,N$2,FALSE)</f>
        <v>3.7152058000000001</v>
      </c>
      <c r="O33" s="8">
        <f>VLOOKUP($B33,HAVERD!$A:$BS,O$2,FALSE)</f>
        <v>3.6920215000000001</v>
      </c>
      <c r="P33" s="8">
        <f>VLOOKUP($B33,HAVERD!$A:$BS,P$2,FALSE)</f>
        <v>3.6769324000000001</v>
      </c>
      <c r="Q33" s="8">
        <f>VLOOKUP($B33,HAVERD!$A:$BS,Q$2,FALSE)</f>
        <v>3.6677938000000001</v>
      </c>
      <c r="R33" s="8">
        <f>VLOOKUP($B33,HAVERD!$A:$BS,R$2,FALSE)</f>
        <v>3.6633035999999999</v>
      </c>
      <c r="S33" s="8">
        <f>VLOOKUP($B33,HAVERD!$A:$BS,S$2,FALSE)</f>
        <v>3.6621597000000001</v>
      </c>
      <c r="T33" s="8">
        <f>VLOOKUP($B33,HAVERD!$A:$BS,T$2,FALSE)</f>
        <v>3.6630598999999999</v>
      </c>
      <c r="U33" s="8">
        <f>VLOOKUP($B33,HAVERD!$A:$BS,U$2,FALSE)</f>
        <v>3.6647021</v>
      </c>
      <c r="V33" s="8">
        <f>VLOOKUP($B33,HAVERD!$A:$BS,V$2,FALSE)</f>
        <v>3.6660126000000002</v>
      </c>
      <c r="W33" s="8">
        <f>VLOOKUP($B33,HAVERD!$A:$BS,W$2,FALSE)</f>
        <v>3.6667874999999999</v>
      </c>
      <c r="X33" s="8">
        <f>VLOOKUP($B33,HAVERD!$A:$BS,X$2,FALSE)</f>
        <v>3.6670297000000001</v>
      </c>
      <c r="Y33" s="8">
        <f>VLOOKUP($B33,HAVERD!$A:$BS,Y$2,FALSE)</f>
        <v>3.6667421</v>
      </c>
      <c r="Z33" s="8">
        <f>VLOOKUP($B33,HAVERD!$A:$BS,Z$2,FALSE)</f>
        <v>3.6659278</v>
      </c>
      <c r="AA33" s="8">
        <f>VLOOKUP($B33,HAVERD!$A:$BS,AA$2,FALSE)</f>
        <v>3.6645897000000001</v>
      </c>
      <c r="AB33" s="8">
        <f>VLOOKUP($B33,HAVERD!$A:$BS,AB$2,FALSE)</f>
        <v>3.6627410999999999</v>
      </c>
      <c r="AC33" s="8">
        <f>VLOOKUP($B33,HAVERD!$A:$BS,AC$2,FALSE)</f>
        <v>3.6604361000000001</v>
      </c>
      <c r="AD33" s="8">
        <f>VLOOKUP($B33,HAVERD!$A:$BS,AD$2,FALSE)</f>
        <v>3.6577394999999999</v>
      </c>
      <c r="AE33" s="8">
        <f>VLOOKUP($B33,HAVERD!$A:$BS,AE$2,FALSE)</f>
        <v>3.6547158</v>
      </c>
      <c r="AF33" s="8">
        <f>VLOOKUP($B33,HAVERD!$A:$BS,AF$2,FALSE)</f>
        <v>3.6514294</v>
      </c>
      <c r="AG33" s="8">
        <f>VLOOKUP($B33,HAVERD!$A:$BS,AG$2,FALSE)</f>
        <v>3.6479450999999998</v>
      </c>
      <c r="AH33" s="8">
        <f>VLOOKUP($B33,HAVERD!$A:$BS,AH$2,FALSE)</f>
        <v>3.6443273</v>
      </c>
      <c r="AI33" s="8">
        <f>VLOOKUP($B33,HAVERD!$A:$BS,AI$2,FALSE)</f>
        <v>3.6406405999999998</v>
      </c>
      <c r="AJ33" s="8">
        <f>VLOOKUP($B33,HAVERD!$A:$BS,AJ$2,FALSE)</f>
        <v>3.6369495999999999</v>
      </c>
      <c r="AK33" s="8">
        <f>VLOOKUP($B33,HAVERD!$A:$BS,AK$2,FALSE)</f>
        <v>3.6333188000000001</v>
      </c>
      <c r="AL33" s="8">
        <f>VLOOKUP($B33,HAVERD!$A:$BS,AL$2,FALSE)</f>
        <v>3.6298127999999998</v>
      </c>
      <c r="AM33" s="8">
        <f>VLOOKUP($B33,HAVERD!$A:$BS,AM$2,FALSE)</f>
        <v>3.6264960999999998</v>
      </c>
      <c r="AN33" s="8">
        <f>VLOOKUP($B33,HAVERD!$A:$BS,AN$2,FALSE)</f>
        <v>3.6234256</v>
      </c>
      <c r="AO33" s="8">
        <f>VLOOKUP($B33,HAVERD!$A:$BS,AO$2,FALSE)</f>
        <v>3.6206201</v>
      </c>
      <c r="AP33" s="8">
        <f>VLOOKUP($B33,HAVERD!$A:$BS,AP$2,FALSE)</f>
        <v>3.6180872000000002</v>
      </c>
      <c r="AQ33" s="8">
        <f>VLOOKUP($B33,HAVERD!$A:$BS,AQ$2,FALSE)</f>
        <v>3.6158340999999998</v>
      </c>
      <c r="AR33" s="8">
        <f>VLOOKUP($B33,HAVERD!$A:$BS,AR$2,FALSE)</f>
        <v>3.6138683999999999</v>
      </c>
      <c r="AS33" s="8">
        <f>VLOOKUP($B33,HAVERD!$A:$BS,AS$2,FALSE)</f>
        <v>3.6121973999999999</v>
      </c>
      <c r="AT33" s="8">
        <f>VLOOKUP($B33,HAVERD!$A:$BS,AT$2,FALSE)</f>
        <v>3.6108285000000002</v>
      </c>
      <c r="AU33" s="8">
        <f>VLOOKUP($B33,HAVERD!$A:$BS,AU$2,FALSE)</f>
        <v>3.6097690999999998</v>
      </c>
      <c r="AV33" s="8">
        <f>VLOOKUP($B33,HAVERD!$A:$BS,AV$2,FALSE)</f>
        <v>3.6090266999999998</v>
      </c>
      <c r="AW33" s="8">
        <f>VLOOKUP($B33,HAVERD!$A:$BS,AW$2,FALSE)</f>
        <v>3.6086087</v>
      </c>
      <c r="AX33" s="8">
        <f>VLOOKUP($B33,HAVERD!$A:$BS,AX$2,FALSE)</f>
        <v>3.6085224999999999</v>
      </c>
      <c r="AY33" s="8">
        <f>VLOOKUP($B33,HAVERD!$A:$BS,AY$2,FALSE)</f>
        <v>3.6087753999999999</v>
      </c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x14ac:dyDescent="0.35">
      <c r="B34" s="6">
        <f t="shared" si="10"/>
        <v>45589</v>
      </c>
      <c r="C34" s="8">
        <f>VLOOKUP($B34,HAVERD!$A:$BS,C$2,FALSE)</f>
        <v>4.95</v>
      </c>
      <c r="D34" s="8">
        <f>VLOOKUP($B34,HAVERD!$A:$BS,D$2,FALSE)</f>
        <v>4.7055673000000002</v>
      </c>
      <c r="E34" s="8">
        <f>VLOOKUP($B34,HAVERD!$A:$BS,E$2,FALSE)</f>
        <v>4.6146925999999997</v>
      </c>
      <c r="F34" s="8">
        <f>VLOOKUP($B34,HAVERD!$A:$BS,F$2,FALSE)</f>
        <v>4.4929687999999999</v>
      </c>
      <c r="G34" s="8">
        <f>VLOOKUP($B34,HAVERD!$A:$BS,G$2,FALSE)</f>
        <v>4.3555884000000002</v>
      </c>
      <c r="H34" s="8">
        <f>VLOOKUP($B34,HAVERD!$A:$BS,H$2,FALSE)</f>
        <v>4.2185594999999996</v>
      </c>
      <c r="I34" s="8">
        <f>VLOOKUP($B34,HAVERD!$A:$BS,I$2,FALSE)</f>
        <v>4.0932519999999997</v>
      </c>
      <c r="J34" s="8">
        <f>VLOOKUP($B34,HAVERD!$A:$BS,J$2,FALSE)</f>
        <v>3.9865325</v>
      </c>
      <c r="K34" s="8">
        <f>VLOOKUP($B34,HAVERD!$A:$BS,K$2,FALSE)</f>
        <v>3.9008726</v>
      </c>
      <c r="L34" s="8">
        <f>VLOOKUP($B34,HAVERD!$A:$BS,L$2,FALSE)</f>
        <v>3.8356792</v>
      </c>
      <c r="M34" s="8">
        <f>VLOOKUP($B34,HAVERD!$A:$BS,M$2,FALSE)</f>
        <v>3.7887550999999999</v>
      </c>
      <c r="N34" s="8">
        <f>VLOOKUP($B34,HAVERD!$A:$BS,N$2,FALSE)</f>
        <v>3.7568161</v>
      </c>
      <c r="O34" s="8">
        <f>VLOOKUP($B34,HAVERD!$A:$BS,O$2,FALSE)</f>
        <v>3.7367029</v>
      </c>
      <c r="P34" s="8">
        <f>VLOOKUP($B34,HAVERD!$A:$BS,P$2,FALSE)</f>
        <v>3.7238484000000001</v>
      </c>
      <c r="Q34" s="8">
        <f>VLOOKUP($B34,HAVERD!$A:$BS,Q$2,FALSE)</f>
        <v>3.7161906</v>
      </c>
      <c r="R34" s="8">
        <f>VLOOKUP($B34,HAVERD!$A:$BS,R$2,FALSE)</f>
        <v>3.7124559000000001</v>
      </c>
      <c r="S34" s="8">
        <f>VLOOKUP($B34,HAVERD!$A:$BS,S$2,FALSE)</f>
        <v>3.7113705000000001</v>
      </c>
      <c r="T34" s="8">
        <f>VLOOKUP($B34,HAVERD!$A:$BS,T$2,FALSE)</f>
        <v>3.7116609999999999</v>
      </c>
      <c r="U34" s="8">
        <f>VLOOKUP($B34,HAVERD!$A:$BS,U$2,FALSE)</f>
        <v>3.7120536</v>
      </c>
      <c r="V34" s="8">
        <f>VLOOKUP($B34,HAVERD!$A:$BS,V$2,FALSE)</f>
        <v>3.711522</v>
      </c>
      <c r="W34" s="8">
        <f>VLOOKUP($B34,HAVERD!$A:$BS,W$2,FALSE)</f>
        <v>3.709981</v>
      </c>
      <c r="X34" s="8">
        <f>VLOOKUP($B34,HAVERD!$A:$BS,X$2,FALSE)</f>
        <v>3.7075695999999998</v>
      </c>
      <c r="Y34" s="8">
        <f>VLOOKUP($B34,HAVERD!$A:$BS,Y$2,FALSE)</f>
        <v>3.7044266000000001</v>
      </c>
      <c r="Z34" s="8">
        <f>VLOOKUP($B34,HAVERD!$A:$BS,Z$2,FALSE)</f>
        <v>3.7006907999999998</v>
      </c>
      <c r="AA34" s="8">
        <f>VLOOKUP($B34,HAVERD!$A:$BS,AA$2,FALSE)</f>
        <v>3.6965013</v>
      </c>
      <c r="AB34" s="8">
        <f>VLOOKUP($B34,HAVERD!$A:$BS,AB$2,FALSE)</f>
        <v>3.6919862999999999</v>
      </c>
      <c r="AC34" s="8">
        <f>VLOOKUP($B34,HAVERD!$A:$BS,AC$2,FALSE)</f>
        <v>3.6872224</v>
      </c>
      <c r="AD34" s="8">
        <f>VLOOKUP($B34,HAVERD!$A:$BS,AD$2,FALSE)</f>
        <v>3.6822702999999999</v>
      </c>
      <c r="AE34" s="8">
        <f>VLOOKUP($B34,HAVERD!$A:$BS,AE$2,FALSE)</f>
        <v>3.6771908999999998</v>
      </c>
      <c r="AF34" s="8">
        <f>VLOOKUP($B34,HAVERD!$A:$BS,AF$2,FALSE)</f>
        <v>3.6720449999999998</v>
      </c>
      <c r="AG34" s="8">
        <f>VLOOKUP($B34,HAVERD!$A:$BS,AG$2,FALSE)</f>
        <v>3.6668935</v>
      </c>
      <c r="AH34" s="8">
        <f>VLOOKUP($B34,HAVERD!$A:$BS,AH$2,FALSE)</f>
        <v>3.6617972000000001</v>
      </c>
      <c r="AI34" s="8">
        <f>VLOOKUP($B34,HAVERD!$A:$BS,AI$2,FALSE)</f>
        <v>3.6568168000000001</v>
      </c>
      <c r="AJ34" s="8">
        <f>VLOOKUP($B34,HAVERD!$A:$BS,AJ$2,FALSE)</f>
        <v>3.6520131999999998</v>
      </c>
      <c r="AK34" s="8">
        <f>VLOOKUP($B34,HAVERD!$A:$BS,AK$2,FALSE)</f>
        <v>3.6474473000000001</v>
      </c>
      <c r="AL34" s="8">
        <f>VLOOKUP($B34,HAVERD!$A:$BS,AL$2,FALSE)</f>
        <v>3.6431798</v>
      </c>
      <c r="AM34" s="8">
        <f>VLOOKUP($B34,HAVERD!$A:$BS,AM$2,FALSE)</f>
        <v>3.6392715999999998</v>
      </c>
      <c r="AN34" s="8">
        <f>VLOOKUP($B34,HAVERD!$A:$BS,AN$2,FALSE)</f>
        <v>3.6357727999999998</v>
      </c>
      <c r="AO34" s="8">
        <f>VLOOKUP($B34,HAVERD!$A:$BS,AO$2,FALSE)</f>
        <v>3.6326865000000002</v>
      </c>
      <c r="AP34" s="8">
        <f>VLOOKUP($B34,HAVERD!$A:$BS,AP$2,FALSE)</f>
        <v>3.6300026999999999</v>
      </c>
      <c r="AQ34" s="8">
        <f>VLOOKUP($B34,HAVERD!$A:$BS,AQ$2,FALSE)</f>
        <v>3.6277115000000002</v>
      </c>
      <c r="AR34" s="8">
        <f>VLOOKUP($B34,HAVERD!$A:$BS,AR$2,FALSE)</f>
        <v>3.6258028000000002</v>
      </c>
      <c r="AS34" s="8">
        <f>VLOOKUP($B34,HAVERD!$A:$BS,AS$2,FALSE)</f>
        <v>3.6242668999999998</v>
      </c>
      <c r="AT34" s="8">
        <f>VLOOKUP($B34,HAVERD!$A:$BS,AT$2,FALSE)</f>
        <v>3.6230935999999998</v>
      </c>
      <c r="AU34" s="8">
        <f>VLOOKUP($B34,HAVERD!$A:$BS,AU$2,FALSE)</f>
        <v>3.6222731000000001</v>
      </c>
      <c r="AV34" s="8">
        <f>VLOOKUP($B34,HAVERD!$A:$BS,AV$2,FALSE)</f>
        <v>3.6217953000000001</v>
      </c>
      <c r="AW34" s="8">
        <f>VLOOKUP($B34,HAVERD!$A:$BS,AW$2,FALSE)</f>
        <v>3.6216504</v>
      </c>
      <c r="AX34" s="8">
        <f>VLOOKUP($B34,HAVERD!$A:$BS,AX$2,FALSE)</f>
        <v>3.6218284000000001</v>
      </c>
      <c r="AY34" s="8">
        <f>VLOOKUP($B34,HAVERD!$A:$BS,AY$2,FALSE)</f>
        <v>3.6223193</v>
      </c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x14ac:dyDescent="0.35">
      <c r="B35" s="6">
        <f t="shared" si="10"/>
        <v>45590</v>
      </c>
      <c r="C35" s="8">
        <f>VLOOKUP($B35,HAVERD!$A:$BS,C$2,FALSE)</f>
        <v>4.95</v>
      </c>
      <c r="D35" s="8">
        <f>VLOOKUP($B35,HAVERD!$A:$BS,D$2,FALSE)</f>
        <v>4.7016819999999999</v>
      </c>
      <c r="E35" s="8">
        <f>VLOOKUP($B35,HAVERD!$A:$BS,E$2,FALSE)</f>
        <v>4.6140873999999998</v>
      </c>
      <c r="F35" s="8">
        <f>VLOOKUP($B35,HAVERD!$A:$BS,F$2,FALSE)</f>
        <v>4.4960633999999997</v>
      </c>
      <c r="G35" s="8">
        <f>VLOOKUP($B35,HAVERD!$A:$BS,G$2,FALSE)</f>
        <v>4.3606875</v>
      </c>
      <c r="H35" s="8">
        <f>VLOOKUP($B35,HAVERD!$A:$BS,H$2,FALSE)</f>
        <v>4.2255415000000003</v>
      </c>
      <c r="I35" s="8">
        <f>VLOOKUP($B35,HAVERD!$A:$BS,I$2,FALSE)</f>
        <v>4.1028219000000004</v>
      </c>
      <c r="J35" s="8">
        <f>VLOOKUP($B35,HAVERD!$A:$BS,J$2,FALSE)</f>
        <v>3.9995919999999998</v>
      </c>
      <c r="K35" s="8">
        <f>VLOOKUP($B35,HAVERD!$A:$BS,K$2,FALSE)</f>
        <v>3.9182215999999999</v>
      </c>
      <c r="L35" s="8">
        <f>VLOOKUP($B35,HAVERD!$A:$BS,L$2,FALSE)</f>
        <v>3.8576215999999999</v>
      </c>
      <c r="M35" s="8">
        <f>VLOOKUP($B35,HAVERD!$A:$BS,M$2,FALSE)</f>
        <v>3.8150772000000002</v>
      </c>
      <c r="N35" s="8">
        <f>VLOOKUP($B35,HAVERD!$A:$BS,N$2,FALSE)</f>
        <v>3.7871141000000001</v>
      </c>
      <c r="O35" s="8">
        <f>VLOOKUP($B35,HAVERD!$A:$BS,O$2,FALSE)</f>
        <v>3.7700504000000001</v>
      </c>
      <c r="P35" s="8">
        <f>VLOOKUP($B35,HAVERD!$A:$BS,P$2,FALSE)</f>
        <v>3.7585446</v>
      </c>
      <c r="Q35" s="8">
        <f>VLOOKUP($B35,HAVERD!$A:$BS,Q$2,FALSE)</f>
        <v>3.7505639</v>
      </c>
      <c r="R35" s="8">
        <f>VLOOKUP($B35,HAVERD!$A:$BS,R$2,FALSE)</f>
        <v>3.7452909999999999</v>
      </c>
      <c r="S35" s="8">
        <f>VLOOKUP($B35,HAVERD!$A:$BS,S$2,FALSE)</f>
        <v>3.7419091999999998</v>
      </c>
      <c r="T35" s="8">
        <f>VLOOKUP($B35,HAVERD!$A:$BS,T$2,FALSE)</f>
        <v>3.7396017000000001</v>
      </c>
      <c r="U35" s="8">
        <f>VLOOKUP($B35,HAVERD!$A:$BS,U$2,FALSE)</f>
        <v>3.7375516000000002</v>
      </c>
      <c r="V35" s="8">
        <f>VLOOKUP($B35,HAVERD!$A:$BS,V$2,FALSE)</f>
        <v>3.7350756999999999</v>
      </c>
      <c r="W35" s="8">
        <f>VLOOKUP($B35,HAVERD!$A:$BS,W$2,FALSE)</f>
        <v>3.7321114</v>
      </c>
      <c r="X35" s="8">
        <f>VLOOKUP($B35,HAVERD!$A:$BS,X$2,FALSE)</f>
        <v>3.7287754</v>
      </c>
      <c r="Y35" s="8">
        <f>VLOOKUP($B35,HAVERD!$A:$BS,Y$2,FALSE)</f>
        <v>3.7251846999999998</v>
      </c>
      <c r="Z35" s="8">
        <f>VLOOKUP($B35,HAVERD!$A:$BS,Z$2,FALSE)</f>
        <v>3.7214562</v>
      </c>
      <c r="AA35" s="8">
        <f>VLOOKUP($B35,HAVERD!$A:$BS,AA$2,FALSE)</f>
        <v>3.7177068000000002</v>
      </c>
      <c r="AB35" s="8">
        <f>VLOOKUP($B35,HAVERD!$A:$BS,AB$2,FALSE)</f>
        <v>3.7140358999999998</v>
      </c>
      <c r="AC35" s="8">
        <f>VLOOKUP($B35,HAVERD!$A:$BS,AC$2,FALSE)</f>
        <v>3.7104658000000001</v>
      </c>
      <c r="AD35" s="8">
        <f>VLOOKUP($B35,HAVERD!$A:$BS,AD$2,FALSE)</f>
        <v>3.7069972999999998</v>
      </c>
      <c r="AE35" s="8">
        <f>VLOOKUP($B35,HAVERD!$A:$BS,AE$2,FALSE)</f>
        <v>3.7036315000000002</v>
      </c>
      <c r="AF35" s="8">
        <f>VLOOKUP($B35,HAVERD!$A:$BS,AF$2,FALSE)</f>
        <v>3.7003691999999999</v>
      </c>
      <c r="AG35" s="8">
        <f>VLOOKUP($B35,HAVERD!$A:$BS,AG$2,FALSE)</f>
        <v>3.6972114</v>
      </c>
      <c r="AH35" s="8">
        <f>VLOOKUP($B35,HAVERD!$A:$BS,AH$2,FALSE)</f>
        <v>3.694159</v>
      </c>
      <c r="AI35" s="8">
        <f>VLOOKUP($B35,HAVERD!$A:$BS,AI$2,FALSE)</f>
        <v>3.6912129999999999</v>
      </c>
      <c r="AJ35" s="8">
        <f>VLOOKUP($B35,HAVERD!$A:$BS,AJ$2,FALSE)</f>
        <v>3.6883742000000002</v>
      </c>
      <c r="AK35" s="8">
        <f>VLOOKUP($B35,HAVERD!$A:$BS,AK$2,FALSE)</f>
        <v>3.6856437</v>
      </c>
      <c r="AL35" s="8">
        <f>VLOOKUP($B35,HAVERD!$A:$BS,AL$2,FALSE)</f>
        <v>3.6830223000000002</v>
      </c>
      <c r="AM35" s="8">
        <f>VLOOKUP($B35,HAVERD!$A:$BS,AM$2,FALSE)</f>
        <v>3.6805110000000001</v>
      </c>
      <c r="AN35" s="8">
        <f>VLOOKUP($B35,HAVERD!$A:$BS,AN$2,FALSE)</f>
        <v>3.6781117000000001</v>
      </c>
      <c r="AO35" s="8">
        <f>VLOOKUP($B35,HAVERD!$A:$BS,AO$2,FALSE)</f>
        <v>3.6758305</v>
      </c>
      <c r="AP35" s="8">
        <f>VLOOKUP($B35,HAVERD!$A:$BS,AP$2,FALSE)</f>
        <v>3.6736745000000002</v>
      </c>
      <c r="AQ35" s="8">
        <f>VLOOKUP($B35,HAVERD!$A:$BS,AQ$2,FALSE)</f>
        <v>3.6716508000000001</v>
      </c>
      <c r="AR35" s="8">
        <f>VLOOKUP($B35,HAVERD!$A:$BS,AR$2,FALSE)</f>
        <v>3.6697663999999999</v>
      </c>
      <c r="AS35" s="8">
        <f>VLOOKUP($B35,HAVERD!$A:$BS,AS$2,FALSE)</f>
        <v>3.6680285000000001</v>
      </c>
      <c r="AT35" s="8">
        <f>VLOOKUP($B35,HAVERD!$A:$BS,AT$2,FALSE)</f>
        <v>3.6664441000000001</v>
      </c>
      <c r="AU35" s="8">
        <f>VLOOKUP($B35,HAVERD!$A:$BS,AU$2,FALSE)</f>
        <v>3.6650203000000001</v>
      </c>
      <c r="AV35" s="8">
        <f>VLOOKUP($B35,HAVERD!$A:$BS,AV$2,FALSE)</f>
        <v>3.6637642000000001</v>
      </c>
      <c r="AW35" s="8">
        <f>VLOOKUP($B35,HAVERD!$A:$BS,AW$2,FALSE)</f>
        <v>3.6626829000000001</v>
      </c>
      <c r="AX35" s="8">
        <f>VLOOKUP($B35,HAVERD!$A:$BS,AX$2,FALSE)</f>
        <v>3.6617834</v>
      </c>
      <c r="AY35" s="8">
        <f>VLOOKUP($B35,HAVERD!$A:$BS,AY$2,FALSE)</f>
        <v>3.6610729000000002</v>
      </c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x14ac:dyDescent="0.35">
      <c r="B36" s="6">
        <f t="shared" si="10"/>
        <v>45593</v>
      </c>
      <c r="C36" s="8">
        <f>VLOOKUP($B36,HAVERD!$A:$BS,C$2,FALSE)</f>
        <v>4.95</v>
      </c>
      <c r="D36" s="8">
        <f>VLOOKUP($B36,HAVERD!$A:$BS,D$2,FALSE)</f>
        <v>4.6984513000000003</v>
      </c>
      <c r="E36" s="8">
        <f>VLOOKUP($B36,HAVERD!$A:$BS,E$2,FALSE)</f>
        <v>4.5988992</v>
      </c>
      <c r="F36" s="8">
        <f>VLOOKUP($B36,HAVERD!$A:$BS,F$2,FALSE)</f>
        <v>4.4753106999999996</v>
      </c>
      <c r="G36" s="8">
        <f>VLOOKUP($B36,HAVERD!$A:$BS,G$2,FALSE)</f>
        <v>4.3390921999999996</v>
      </c>
      <c r="H36" s="8">
        <f>VLOOKUP($B36,HAVERD!$A:$BS,H$2,FALSE)</f>
        <v>4.2061035999999996</v>
      </c>
      <c r="I36" s="8">
        <f>VLOOKUP($B36,HAVERD!$A:$BS,I$2,FALSE)</f>
        <v>4.0868693</v>
      </c>
      <c r="J36" s="8">
        <f>VLOOKUP($B36,HAVERD!$A:$BS,J$2,FALSE)</f>
        <v>3.9875142000000001</v>
      </c>
      <c r="K36" s="8">
        <f>VLOOKUP($B36,HAVERD!$A:$BS,K$2,FALSE)</f>
        <v>3.9097724</v>
      </c>
      <c r="L36" s="8">
        <f>VLOOKUP($B36,HAVERD!$A:$BS,L$2,FALSE)</f>
        <v>3.8528937000000001</v>
      </c>
      <c r="M36" s="8">
        <f>VLOOKUP($B36,HAVERD!$A:$BS,M$2,FALSE)</f>
        <v>3.8137229000000001</v>
      </c>
      <c r="N36" s="8">
        <f>VLOOKUP($B36,HAVERD!$A:$BS,N$2,FALSE)</f>
        <v>3.7891952999999998</v>
      </c>
      <c r="O36" s="8">
        <f>VLOOKUP($B36,HAVERD!$A:$BS,O$2,FALSE)</f>
        <v>3.7755941000000002</v>
      </c>
      <c r="P36" s="8">
        <f>VLOOKUP($B36,HAVERD!$A:$BS,P$2,FALSE)</f>
        <v>3.7681868999999999</v>
      </c>
      <c r="Q36" s="8">
        <f>VLOOKUP($B36,HAVERD!$A:$BS,Q$2,FALSE)</f>
        <v>3.7650583000000002</v>
      </c>
      <c r="R36" s="8">
        <f>VLOOKUP($B36,HAVERD!$A:$BS,R$2,FALSE)</f>
        <v>3.7651208</v>
      </c>
      <c r="S36" s="8">
        <f>VLOOKUP($B36,HAVERD!$A:$BS,S$2,FALSE)</f>
        <v>3.7672865999999998</v>
      </c>
      <c r="T36" s="8">
        <f>VLOOKUP($B36,HAVERD!$A:$BS,T$2,FALSE)</f>
        <v>3.7704683999999999</v>
      </c>
      <c r="U36" s="8">
        <f>VLOOKUP($B36,HAVERD!$A:$BS,U$2,FALSE)</f>
        <v>3.7735783999999999</v>
      </c>
      <c r="V36" s="8">
        <f>VLOOKUP($B36,HAVERD!$A:$BS,V$2,FALSE)</f>
        <v>3.7757371000000002</v>
      </c>
      <c r="W36" s="8">
        <f>VLOOKUP($B36,HAVERD!$A:$BS,W$2,FALSE)</f>
        <v>3.7768565000000001</v>
      </c>
      <c r="X36" s="8">
        <f>VLOOKUP($B36,HAVERD!$A:$BS,X$2,FALSE)</f>
        <v>3.7770370999999998</v>
      </c>
      <c r="Y36" s="8">
        <f>VLOOKUP($B36,HAVERD!$A:$BS,Y$2,FALSE)</f>
        <v>3.7763794000000002</v>
      </c>
      <c r="Z36" s="8">
        <f>VLOOKUP($B36,HAVERD!$A:$BS,Z$2,FALSE)</f>
        <v>3.7749836999999999</v>
      </c>
      <c r="AA36" s="8">
        <f>VLOOKUP($B36,HAVERD!$A:$BS,AA$2,FALSE)</f>
        <v>3.7729507</v>
      </c>
      <c r="AB36" s="8">
        <f>VLOOKUP($B36,HAVERD!$A:$BS,AB$2,FALSE)</f>
        <v>3.7703728000000001</v>
      </c>
      <c r="AC36" s="8">
        <f>VLOOKUP($B36,HAVERD!$A:$BS,AC$2,FALSE)</f>
        <v>3.7673109999999999</v>
      </c>
      <c r="AD36" s="8">
        <f>VLOOKUP($B36,HAVERD!$A:$BS,AD$2,FALSE)</f>
        <v>3.7638185000000002</v>
      </c>
      <c r="AE36" s="8">
        <f>VLOOKUP($B36,HAVERD!$A:$BS,AE$2,FALSE)</f>
        <v>3.7599483999999999</v>
      </c>
      <c r="AF36" s="8">
        <f>VLOOKUP($B36,HAVERD!$A:$BS,AF$2,FALSE)</f>
        <v>3.7557537000000001</v>
      </c>
      <c r="AG36" s="8">
        <f>VLOOKUP($B36,HAVERD!$A:$BS,AG$2,FALSE)</f>
        <v>3.7512875999999999</v>
      </c>
      <c r="AH36" s="8">
        <f>VLOOKUP($B36,HAVERD!$A:$BS,AH$2,FALSE)</f>
        <v>3.7466032</v>
      </c>
      <c r="AI36" s="8">
        <f>VLOOKUP($B36,HAVERD!$A:$BS,AI$2,FALSE)</f>
        <v>3.7417535000000002</v>
      </c>
      <c r="AJ36" s="8">
        <f>VLOOKUP($B36,HAVERD!$A:$BS,AJ$2,FALSE)</f>
        <v>3.7367918000000002</v>
      </c>
      <c r="AK36" s="8">
        <f>VLOOKUP($B36,HAVERD!$A:$BS,AK$2,FALSE)</f>
        <v>3.7317710000000002</v>
      </c>
      <c r="AL36" s="8">
        <f>VLOOKUP($B36,HAVERD!$A:$BS,AL$2,FALSE)</f>
        <v>3.7267443</v>
      </c>
      <c r="AM36" s="8">
        <f>VLOOKUP($B36,HAVERD!$A:$BS,AM$2,FALSE)</f>
        <v>3.7217649000000002</v>
      </c>
      <c r="AN36" s="8">
        <f>VLOOKUP($B36,HAVERD!$A:$BS,AN$2,FALSE)</f>
        <v>3.7168798000000001</v>
      </c>
      <c r="AO36" s="8">
        <f>VLOOKUP($B36,HAVERD!$A:$BS,AO$2,FALSE)</f>
        <v>3.7121132000000001</v>
      </c>
      <c r="AP36" s="8">
        <f>VLOOKUP($B36,HAVERD!$A:$BS,AP$2,FALSE)</f>
        <v>3.7074828000000002</v>
      </c>
      <c r="AQ36" s="8">
        <f>VLOOKUP($B36,HAVERD!$A:$BS,AQ$2,FALSE)</f>
        <v>3.7030069000000001</v>
      </c>
      <c r="AR36" s="8">
        <f>VLOOKUP($B36,HAVERD!$A:$BS,AR$2,FALSE)</f>
        <v>3.6987033999999999</v>
      </c>
      <c r="AS36" s="8">
        <f>VLOOKUP($B36,HAVERD!$A:$BS,AS$2,FALSE)</f>
        <v>3.6945903000000002</v>
      </c>
      <c r="AT36" s="8">
        <f>VLOOKUP($B36,HAVERD!$A:$BS,AT$2,FALSE)</f>
        <v>3.6906857</v>
      </c>
      <c r="AU36" s="8">
        <f>VLOOKUP($B36,HAVERD!$A:$BS,AU$2,FALSE)</f>
        <v>3.6870075</v>
      </c>
      <c r="AV36" s="8">
        <f>VLOOKUP($B36,HAVERD!$A:$BS,AV$2,FALSE)</f>
        <v>3.6835738999999998</v>
      </c>
      <c r="AW36" s="8">
        <f>VLOOKUP($B36,HAVERD!$A:$BS,AW$2,FALSE)</f>
        <v>3.6804028</v>
      </c>
      <c r="AX36" s="8">
        <f>VLOOKUP($B36,HAVERD!$A:$BS,AX$2,FALSE)</f>
        <v>3.6775123000000001</v>
      </c>
      <c r="AY36" s="8">
        <f>VLOOKUP($B36,HAVERD!$A:$BS,AY$2,FALSE)</f>
        <v>3.6749204</v>
      </c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x14ac:dyDescent="0.35">
      <c r="B37" s="6">
        <f t="shared" si="10"/>
        <v>45594</v>
      </c>
      <c r="C37" s="8">
        <f>VLOOKUP($B37,HAVERD!$A:$BS,C$2,FALSE)</f>
        <v>4.95</v>
      </c>
      <c r="D37" s="8">
        <f>VLOOKUP($B37,HAVERD!$A:$BS,D$2,FALSE)</f>
        <v>4.7010619</v>
      </c>
      <c r="E37" s="8">
        <f>VLOOKUP($B37,HAVERD!$A:$BS,E$2,FALSE)</f>
        <v>4.6042869</v>
      </c>
      <c r="F37" s="8">
        <f>VLOOKUP($B37,HAVERD!$A:$BS,F$2,FALSE)</f>
        <v>4.4848790000000003</v>
      </c>
      <c r="G37" s="8">
        <f>VLOOKUP($B37,HAVERD!$A:$BS,G$2,FALSE)</f>
        <v>4.3523008000000001</v>
      </c>
      <c r="H37" s="8">
        <f>VLOOKUP($B37,HAVERD!$A:$BS,H$2,FALSE)</f>
        <v>4.2233454999999998</v>
      </c>
      <c r="I37" s="8">
        <f>VLOOKUP($B37,HAVERD!$A:$BS,I$2,FALSE)</f>
        <v>4.1088538000000003</v>
      </c>
      <c r="J37" s="8">
        <f>VLOOKUP($B37,HAVERD!$A:$BS,J$2,FALSE)</f>
        <v>4.014894</v>
      </c>
      <c r="K37" s="8">
        <f>VLOOKUP($B37,HAVERD!$A:$BS,K$2,FALSE)</f>
        <v>3.9426329</v>
      </c>
      <c r="L37" s="8">
        <f>VLOOKUP($B37,HAVERD!$A:$BS,L$2,FALSE)</f>
        <v>3.8908420000000001</v>
      </c>
      <c r="M37" s="8">
        <f>VLOOKUP($B37,HAVERD!$A:$BS,M$2,FALSE)</f>
        <v>3.8563930000000002</v>
      </c>
      <c r="N37" s="8">
        <f>VLOOKUP($B37,HAVERD!$A:$BS,N$2,FALSE)</f>
        <v>3.8361277</v>
      </c>
      <c r="O37" s="8">
        <f>VLOOKUP($B37,HAVERD!$A:$BS,O$2,FALSE)</f>
        <v>3.8263493999999998</v>
      </c>
      <c r="P37" s="8">
        <f>VLOOKUP($B37,HAVERD!$A:$BS,P$2,FALSE)</f>
        <v>3.8220991</v>
      </c>
      <c r="Q37" s="8">
        <f>VLOOKUP($B37,HAVERD!$A:$BS,Q$2,FALSE)</f>
        <v>3.8214437999999999</v>
      </c>
      <c r="R37" s="8">
        <f>VLOOKUP($B37,HAVERD!$A:$BS,R$2,FALSE)</f>
        <v>3.8233456000000001</v>
      </c>
      <c r="S37" s="8">
        <f>VLOOKUP($B37,HAVERD!$A:$BS,S$2,FALSE)</f>
        <v>3.8267660999999999</v>
      </c>
      <c r="T37" s="8">
        <f>VLOOKUP($B37,HAVERD!$A:$BS,T$2,FALSE)</f>
        <v>3.8306673999999998</v>
      </c>
      <c r="U37" s="8">
        <f>VLOOKUP($B37,HAVERD!$A:$BS,U$2,FALSE)</f>
        <v>3.8340112999999998</v>
      </c>
      <c r="V37" s="8">
        <f>VLOOKUP($B37,HAVERD!$A:$BS,V$2,FALSE)</f>
        <v>3.8359728</v>
      </c>
      <c r="W37" s="8">
        <f>VLOOKUP($B37,HAVERD!$A:$BS,W$2,FALSE)</f>
        <v>3.836538</v>
      </c>
      <c r="X37" s="8">
        <f>VLOOKUP($B37,HAVERD!$A:$BS,X$2,FALSE)</f>
        <v>3.8358859999999999</v>
      </c>
      <c r="Y37" s="8">
        <f>VLOOKUP($B37,HAVERD!$A:$BS,Y$2,FALSE)</f>
        <v>3.8341961000000002</v>
      </c>
      <c r="Z37" s="8">
        <f>VLOOKUP($B37,HAVERD!$A:$BS,Z$2,FALSE)</f>
        <v>3.8316474</v>
      </c>
      <c r="AA37" s="8">
        <f>VLOOKUP($B37,HAVERD!$A:$BS,AA$2,FALSE)</f>
        <v>3.8284191999999999</v>
      </c>
      <c r="AB37" s="8">
        <f>VLOOKUP($B37,HAVERD!$A:$BS,AB$2,FALSE)</f>
        <v>3.8246698000000001</v>
      </c>
      <c r="AC37" s="8">
        <f>VLOOKUP($B37,HAVERD!$A:$BS,AC$2,FALSE)</f>
        <v>3.8204739000000001</v>
      </c>
      <c r="AD37" s="8">
        <f>VLOOKUP($B37,HAVERD!$A:$BS,AD$2,FALSE)</f>
        <v>3.8158856000000001</v>
      </c>
      <c r="AE37" s="8">
        <f>VLOOKUP($B37,HAVERD!$A:$BS,AE$2,FALSE)</f>
        <v>3.8109587999999999</v>
      </c>
      <c r="AF37" s="8">
        <f>VLOOKUP($B37,HAVERD!$A:$BS,AF$2,FALSE)</f>
        <v>3.8057476000000001</v>
      </c>
      <c r="AG37" s="8">
        <f>VLOOKUP($B37,HAVERD!$A:$BS,AG$2,FALSE)</f>
        <v>3.8003059000000001</v>
      </c>
      <c r="AH37" s="8">
        <f>VLOOKUP($B37,HAVERD!$A:$BS,AH$2,FALSE)</f>
        <v>3.7946876999999999</v>
      </c>
      <c r="AI37" s="8">
        <f>VLOOKUP($B37,HAVERD!$A:$BS,AI$2,FALSE)</f>
        <v>3.7889469</v>
      </c>
      <c r="AJ37" s="8">
        <f>VLOOKUP($B37,HAVERD!$A:$BS,AJ$2,FALSE)</f>
        <v>3.7831375999999999</v>
      </c>
      <c r="AK37" s="8">
        <f>VLOOKUP($B37,HAVERD!$A:$BS,AK$2,FALSE)</f>
        <v>3.7773137999999999</v>
      </c>
      <c r="AL37" s="8">
        <f>VLOOKUP($B37,HAVERD!$A:$BS,AL$2,FALSE)</f>
        <v>3.7715293000000001</v>
      </c>
      <c r="AM37" s="8">
        <f>VLOOKUP($B37,HAVERD!$A:$BS,AM$2,FALSE)</f>
        <v>3.7658382000000001</v>
      </c>
      <c r="AN37" s="8">
        <f>VLOOKUP($B37,HAVERD!$A:$BS,AN$2,FALSE)</f>
        <v>3.7602886</v>
      </c>
      <c r="AO37" s="8">
        <f>VLOOKUP($B37,HAVERD!$A:$BS,AO$2,FALSE)</f>
        <v>3.7549052000000001</v>
      </c>
      <c r="AP37" s="8">
        <f>VLOOKUP($B37,HAVERD!$A:$BS,AP$2,FALSE)</f>
        <v>3.7497069999999999</v>
      </c>
      <c r="AQ37" s="8">
        <f>VLOOKUP($B37,HAVERD!$A:$BS,AQ$2,FALSE)</f>
        <v>3.7447129000000001</v>
      </c>
      <c r="AR37" s="8">
        <f>VLOOKUP($B37,HAVERD!$A:$BS,AR$2,FALSE)</f>
        <v>3.7399417000000001</v>
      </c>
      <c r="AS37" s="8">
        <f>VLOOKUP($B37,HAVERD!$A:$BS,AS$2,FALSE)</f>
        <v>3.7354123000000001</v>
      </c>
      <c r="AT37" s="8">
        <f>VLOOKUP($B37,HAVERD!$A:$BS,AT$2,FALSE)</f>
        <v>3.7311437000000001</v>
      </c>
      <c r="AU37" s="8">
        <f>VLOOKUP($B37,HAVERD!$A:$BS,AU$2,FALSE)</f>
        <v>3.7271546</v>
      </c>
      <c r="AV37" s="8">
        <f>VLOOKUP($B37,HAVERD!$A:$BS,AV$2,FALSE)</f>
        <v>3.7234641000000002</v>
      </c>
      <c r="AW37" s="8">
        <f>VLOOKUP($B37,HAVERD!$A:$BS,AW$2,FALSE)</f>
        <v>3.720091</v>
      </c>
      <c r="AX37" s="8">
        <f>VLOOKUP($B37,HAVERD!$A:$BS,AX$2,FALSE)</f>
        <v>3.7170542000000002</v>
      </c>
      <c r="AY37" s="8">
        <f>VLOOKUP($B37,HAVERD!$A:$BS,AY$2,FALSE)</f>
        <v>3.7143725999999999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x14ac:dyDescent="0.35">
      <c r="B38" s="6"/>
    </row>
    <row r="39" spans="1:62" x14ac:dyDescent="0.35">
      <c r="B39" s="6"/>
      <c r="C39" s="6">
        <v>45566</v>
      </c>
      <c r="D39" s="6">
        <v>45597</v>
      </c>
      <c r="E39" s="6">
        <v>45627</v>
      </c>
      <c r="F39" s="6">
        <v>45658</v>
      </c>
      <c r="G39" s="6">
        <v>45689</v>
      </c>
      <c r="H39" s="6">
        <v>45717</v>
      </c>
      <c r="I39" s="6">
        <v>45748</v>
      </c>
      <c r="J39" s="6">
        <v>45778</v>
      </c>
      <c r="K39" s="6">
        <v>45809</v>
      </c>
      <c r="L39" s="6">
        <v>45839</v>
      </c>
      <c r="M39" s="6">
        <v>45870</v>
      </c>
      <c r="N39" s="6">
        <v>45901</v>
      </c>
      <c r="O39" s="6">
        <v>45931</v>
      </c>
      <c r="P39" s="6">
        <v>45962</v>
      </c>
      <c r="Q39" s="6">
        <v>45992</v>
      </c>
      <c r="R39" s="6">
        <v>46023</v>
      </c>
      <c r="S39" s="6">
        <v>46054</v>
      </c>
      <c r="T39" s="6">
        <v>46082</v>
      </c>
      <c r="U39" s="6">
        <v>46113</v>
      </c>
      <c r="V39" s="6">
        <v>46143</v>
      </c>
      <c r="W39" s="6">
        <v>46174</v>
      </c>
      <c r="X39" s="6">
        <v>46204</v>
      </c>
      <c r="Y39" s="6">
        <v>46235</v>
      </c>
      <c r="Z39" s="6">
        <v>46266</v>
      </c>
      <c r="AA39" s="6">
        <v>46296</v>
      </c>
      <c r="AB39" s="6">
        <v>46327</v>
      </c>
      <c r="AC39" s="6">
        <v>46357</v>
      </c>
      <c r="AD39" s="6">
        <v>46388</v>
      </c>
      <c r="AE39" s="6">
        <v>46419</v>
      </c>
      <c r="AF39" s="6">
        <v>46447</v>
      </c>
      <c r="AG39" s="6">
        <v>46478</v>
      </c>
      <c r="AH39" s="6">
        <v>46508</v>
      </c>
      <c r="AI39" s="6">
        <v>46539</v>
      </c>
      <c r="AJ39" s="6">
        <v>46569</v>
      </c>
      <c r="AK39" s="6">
        <v>46600</v>
      </c>
      <c r="AL39" s="6">
        <v>46631</v>
      </c>
      <c r="AM39" s="6">
        <v>46661</v>
      </c>
      <c r="AN39" s="6">
        <v>46692</v>
      </c>
      <c r="AO39" s="6">
        <v>46722</v>
      </c>
      <c r="AP39" s="6">
        <v>46753</v>
      </c>
      <c r="AQ39" s="6">
        <v>46784</v>
      </c>
      <c r="AR39" s="6">
        <v>46813</v>
      </c>
      <c r="AS39" s="6">
        <v>46844</v>
      </c>
      <c r="AT39" s="6">
        <v>46874</v>
      </c>
      <c r="AU39" s="6">
        <v>46905</v>
      </c>
      <c r="AV39" s="6">
        <v>46935</v>
      </c>
      <c r="AW39" s="6">
        <v>46966</v>
      </c>
      <c r="AX39" s="6">
        <v>46997</v>
      </c>
      <c r="AY39" s="6">
        <v>47027</v>
      </c>
      <c r="AZ39" s="6">
        <v>47058</v>
      </c>
      <c r="BA39" s="6">
        <v>47088</v>
      </c>
      <c r="BB39" s="6"/>
      <c r="BC39" s="6"/>
      <c r="BD39" s="6"/>
      <c r="BE39" s="6"/>
      <c r="BF39" s="6"/>
      <c r="BG39" s="6"/>
      <c r="BH39" s="6"/>
      <c r="BI39" s="6"/>
      <c r="BJ39" s="6"/>
    </row>
    <row r="40" spans="1:62" x14ac:dyDescent="0.35">
      <c r="B40" s="6" t="s">
        <v>377</v>
      </c>
      <c r="C40" s="8">
        <f>AVERAGE(C23:C37)</f>
        <v>4.9500000000000011</v>
      </c>
      <c r="D40" s="8">
        <f t="shared" ref="D40:AY40" si="11">AVERAGE(D23:D37)</f>
        <v>4.7578201533333324</v>
      </c>
      <c r="E40" s="8">
        <f t="shared" si="11"/>
        <v>4.6327905800000009</v>
      </c>
      <c r="F40" s="8">
        <f t="shared" si="11"/>
        <v>4.5073895000000004</v>
      </c>
      <c r="G40" s="8">
        <f t="shared" si="11"/>
        <v>4.3782998599999994</v>
      </c>
      <c r="H40" s="8">
        <f t="shared" si="11"/>
        <v>4.2492231866666668</v>
      </c>
      <c r="I40" s="8">
        <f t="shared" si="11"/>
        <v>4.1275688800000001</v>
      </c>
      <c r="J40" s="8">
        <f t="shared" si="11"/>
        <v>4.019783686666667</v>
      </c>
      <c r="K40" s="8">
        <f t="shared" si="11"/>
        <v>3.9295368000000002</v>
      </c>
      <c r="L40" s="8">
        <f t="shared" si="11"/>
        <v>3.8578716466666667</v>
      </c>
      <c r="M40" s="8">
        <f t="shared" si="11"/>
        <v>3.8034497733333335</v>
      </c>
      <c r="N40" s="8">
        <f t="shared" si="11"/>
        <v>3.7639751933333327</v>
      </c>
      <c r="O40" s="8">
        <f t="shared" si="11"/>
        <v>3.7365498866666664</v>
      </c>
      <c r="P40" s="8">
        <f t="shared" si="11"/>
        <v>3.7168122066666665</v>
      </c>
      <c r="Q40" s="8">
        <f t="shared" si="11"/>
        <v>3.7028005266666661</v>
      </c>
      <c r="R40" s="8">
        <f t="shared" si="11"/>
        <v>3.6933273200000003</v>
      </c>
      <c r="S40" s="8">
        <f t="shared" si="11"/>
        <v>3.6872050133333336</v>
      </c>
      <c r="T40" s="8">
        <f t="shared" si="11"/>
        <v>3.6832461333333333</v>
      </c>
      <c r="U40" s="8">
        <f t="shared" si="11"/>
        <v>3.6802631199999998</v>
      </c>
      <c r="V40" s="8">
        <f t="shared" si="11"/>
        <v>3.6772711400000007</v>
      </c>
      <c r="W40" s="8">
        <f t="shared" si="11"/>
        <v>3.6740797733333328</v>
      </c>
      <c r="X40" s="8">
        <f t="shared" si="11"/>
        <v>3.670694066666667</v>
      </c>
      <c r="Y40" s="8">
        <f t="shared" si="11"/>
        <v>3.6671191733333335</v>
      </c>
      <c r="Z40" s="8">
        <f t="shared" si="11"/>
        <v>3.6633601733333325</v>
      </c>
      <c r="AA40" s="8">
        <f t="shared" si="11"/>
        <v>3.6594222200000006</v>
      </c>
      <c r="AB40" s="8">
        <f t="shared" si="11"/>
        <v>3.6553149533333329</v>
      </c>
      <c r="AC40" s="8">
        <f t="shared" si="11"/>
        <v>3.6510663866666673</v>
      </c>
      <c r="AD40" s="8">
        <f t="shared" si="11"/>
        <v>3.6467092133333328</v>
      </c>
      <c r="AE40" s="8">
        <f t="shared" si="11"/>
        <v>3.6422761000000006</v>
      </c>
      <c r="AF40" s="8">
        <f t="shared" si="11"/>
        <v>3.6377996933333332</v>
      </c>
      <c r="AG40" s="8">
        <f t="shared" si="11"/>
        <v>3.6333126933333331</v>
      </c>
      <c r="AH40" s="8">
        <f t="shared" si="11"/>
        <v>3.6288477533333334</v>
      </c>
      <c r="AI40" s="8">
        <f t="shared" si="11"/>
        <v>3.6244375266666666</v>
      </c>
      <c r="AJ40" s="8">
        <f t="shared" si="11"/>
        <v>3.6201147000000002</v>
      </c>
      <c r="AK40" s="8">
        <f t="shared" si="11"/>
        <v>3.6159119399999997</v>
      </c>
      <c r="AL40" s="8">
        <f t="shared" si="11"/>
        <v>3.611861906666666</v>
      </c>
      <c r="AM40" s="8">
        <f t="shared" si="11"/>
        <v>3.607997273333333</v>
      </c>
      <c r="AN40" s="8">
        <f t="shared" si="11"/>
        <v>3.6043471133333331</v>
      </c>
      <c r="AO40" s="8">
        <f t="shared" si="11"/>
        <v>3.6009244533333336</v>
      </c>
      <c r="AP40" s="8">
        <f t="shared" si="11"/>
        <v>3.5977378066666668</v>
      </c>
      <c r="AQ40" s="8">
        <f t="shared" si="11"/>
        <v>3.5947957200000005</v>
      </c>
      <c r="AR40" s="8">
        <f t="shared" si="11"/>
        <v>3.5921066933333337</v>
      </c>
      <c r="AS40" s="8">
        <f t="shared" si="11"/>
        <v>3.5896792533333328</v>
      </c>
      <c r="AT40" s="8">
        <f t="shared" si="11"/>
        <v>3.5875218999999992</v>
      </c>
      <c r="AU40" s="8">
        <f t="shared" si="11"/>
        <v>3.5856431866666667</v>
      </c>
      <c r="AV40" s="8">
        <f t="shared" si="11"/>
        <v>3.5840516066666672</v>
      </c>
      <c r="AW40" s="8">
        <f t="shared" si="11"/>
        <v>3.5827556933333331</v>
      </c>
      <c r="AX40" s="8">
        <f t="shared" si="11"/>
        <v>3.5817639666666663</v>
      </c>
      <c r="AY40" s="8">
        <f t="shared" si="11"/>
        <v>3.5810849599999997</v>
      </c>
      <c r="AZ40" s="8" t="e">
        <f t="shared" ref="AZ40:BA40" si="12">AVERAGE(AZ23:AZ37)</f>
        <v>#DIV/0!</v>
      </c>
      <c r="BA40" s="8" t="e">
        <f t="shared" si="12"/>
        <v>#DIV/0!</v>
      </c>
      <c r="BB40" s="8"/>
      <c r="BC40" s="8"/>
      <c r="BD40" s="8"/>
      <c r="BE40" s="8"/>
      <c r="BF40" s="8"/>
      <c r="BG40" s="8"/>
      <c r="BH40" s="8"/>
      <c r="BI40" s="8"/>
      <c r="BJ40" s="8"/>
    </row>
    <row r="41" spans="1:62" x14ac:dyDescent="0.35">
      <c r="A41" s="7">
        <v>45601</v>
      </c>
      <c r="B41" s="6" t="s">
        <v>384</v>
      </c>
      <c r="C41" s="8">
        <f>VLOOKUP($A41,HAVERD!$A:$BS,C$2,FALSE)</f>
        <v>4.95</v>
      </c>
      <c r="D41" s="8">
        <f>VLOOKUP($A41,HAVERD!$A:$BS,D$2,FALSE)</f>
        <v>4.7055059999999997</v>
      </c>
      <c r="E41" s="8">
        <f>VLOOKUP($A41,HAVERD!$A:$BS,E$2,FALSE)</f>
        <v>4.6352969999999996</v>
      </c>
      <c r="F41" s="8">
        <f>VLOOKUP($A41,HAVERD!$A:$BS,F$2,FALSE)</f>
        <v>4.5488242000000003</v>
      </c>
      <c r="G41" s="8">
        <f>VLOOKUP($A41,HAVERD!$A:$BS,G$2,FALSE)</f>
        <v>4.4563582999999998</v>
      </c>
      <c r="H41" s="8">
        <f>VLOOKUP($A41,HAVERD!$A:$BS,H$2,FALSE)</f>
        <v>4.3713069000000004</v>
      </c>
      <c r="I41" s="8">
        <f>VLOOKUP($A41,HAVERD!$A:$BS,I$2,FALSE)</f>
        <v>4.2991425999999997</v>
      </c>
      <c r="J41" s="8">
        <f>VLOOKUP($A41,HAVERD!$A:$BS,J$2,FALSE)</f>
        <v>4.2425509999999997</v>
      </c>
      <c r="K41" s="8">
        <f>VLOOKUP($A41,HAVERD!$A:$BS,K$2,FALSE)</f>
        <v>4.2017391999999996</v>
      </c>
      <c r="L41" s="8">
        <f>VLOOKUP($A41,HAVERD!$A:$BS,L$2,FALSE)</f>
        <v>4.1752247000000002</v>
      </c>
      <c r="M41" s="8">
        <f>VLOOKUP($A41,HAVERD!$A:$BS,M$2,FALSE)</f>
        <v>4.1602588999999996</v>
      </c>
      <c r="N41" s="8">
        <f>VLOOKUP($A41,HAVERD!$A:$BS,N$2,FALSE)</f>
        <v>4.1541492</v>
      </c>
      <c r="O41" s="8">
        <f>VLOOKUP($A41,HAVERD!$A:$BS,O$2,FALSE)</f>
        <v>4.1539543999999999</v>
      </c>
      <c r="P41" s="8">
        <f>VLOOKUP($A41,HAVERD!$A:$BS,P$2,FALSE)</f>
        <v>4.1559362000000002</v>
      </c>
      <c r="Q41" s="8">
        <f>VLOOKUP($A41,HAVERD!$A:$BS,Q$2,FALSE)</f>
        <v>4.1587442000000001</v>
      </c>
      <c r="R41" s="8">
        <f>VLOOKUP($A41,HAVERD!$A:$BS,R$2,FALSE)</f>
        <v>4.1617227000000003</v>
      </c>
      <c r="S41" s="8">
        <f>VLOOKUP($A41,HAVERD!$A:$BS,S$2,FALSE)</f>
        <v>4.1642158</v>
      </c>
      <c r="T41" s="8">
        <f>VLOOKUP($A41,HAVERD!$A:$BS,T$2,FALSE)</f>
        <v>4.1655677999999998</v>
      </c>
      <c r="U41" s="8">
        <f>VLOOKUP($A41,HAVERD!$A:$BS,U$2,FALSE)</f>
        <v>4.1651230000000004</v>
      </c>
      <c r="V41" s="8">
        <f>VLOOKUP($A41,HAVERD!$A:$BS,V$2,FALSE)</f>
        <v>4.1624097999999998</v>
      </c>
      <c r="W41" s="8">
        <f>VLOOKUP($A41,HAVERD!$A:$BS,W$2,FALSE)</f>
        <v>4.1575927000000004</v>
      </c>
      <c r="X41" s="8">
        <f>VLOOKUP($A41,HAVERD!$A:$BS,X$2,FALSE)</f>
        <v>4.1509733999999998</v>
      </c>
      <c r="Y41" s="8">
        <f>VLOOKUP($A41,HAVERD!$A:$BS,Y$2,FALSE)</f>
        <v>4.1428533999999999</v>
      </c>
      <c r="Z41" s="8">
        <f>VLOOKUP($A41,HAVERD!$A:$BS,Z$2,FALSE)</f>
        <v>4.1335344000000003</v>
      </c>
      <c r="AA41" s="8">
        <f>VLOOKUP($A41,HAVERD!$A:$BS,AA$2,FALSE)</f>
        <v>4.1233179</v>
      </c>
      <c r="AB41" s="8">
        <f>VLOOKUP($A41,HAVERD!$A:$BS,AB$2,FALSE)</f>
        <v>4.1124688000000003</v>
      </c>
      <c r="AC41" s="8">
        <f>VLOOKUP($A41,HAVERD!$A:$BS,AC$2,FALSE)</f>
        <v>4.1011052000000001</v>
      </c>
      <c r="AD41" s="8">
        <f>VLOOKUP($A41,HAVERD!$A:$BS,AD$2,FALSE)</f>
        <v>4.0893084999999996</v>
      </c>
      <c r="AE41" s="8">
        <f>VLOOKUP($A41,HAVERD!$A:$BS,AE$2,FALSE)</f>
        <v>4.0771601999999998</v>
      </c>
      <c r="AF41" s="8">
        <f>VLOOKUP($A41,HAVERD!$A:$BS,AF$2,FALSE)</f>
        <v>4.0647415000000002</v>
      </c>
      <c r="AG41" s="8">
        <f>VLOOKUP($A41,HAVERD!$A:$BS,AG$2,FALSE)</f>
        <v>4.0521339999999997</v>
      </c>
      <c r="AH41" s="8">
        <f>VLOOKUP($A41,HAVERD!$A:$BS,AH$2,FALSE)</f>
        <v>4.0394189000000003</v>
      </c>
      <c r="AI41" s="8">
        <f>VLOOKUP($A41,HAVERD!$A:$BS,AI$2,FALSE)</f>
        <v>4.0266776999999996</v>
      </c>
      <c r="AJ41" s="8">
        <f>VLOOKUP($A41,HAVERD!$A:$BS,AJ$2,FALSE)</f>
        <v>4.0139918000000003</v>
      </c>
      <c r="AK41" s="8">
        <f>VLOOKUP($A41,HAVERD!$A:$BS,AK$2,FALSE)</f>
        <v>4.0014425999999998</v>
      </c>
      <c r="AL41" s="8">
        <f>VLOOKUP($A41,HAVERD!$A:$BS,AL$2,FALSE)</f>
        <v>3.9891114000000001</v>
      </c>
      <c r="AM41" s="8">
        <f>VLOOKUP($A41,HAVERD!$A:$BS,AM$2,FALSE)</f>
        <v>3.9770797999999998</v>
      </c>
      <c r="AN41" s="8">
        <f>VLOOKUP($A41,HAVERD!$A:$BS,AN$2,FALSE)</f>
        <v>3.9654169000000001</v>
      </c>
      <c r="AO41" s="8">
        <f>VLOOKUP($A41,HAVERD!$A:$BS,AO$2,FALSE)</f>
        <v>3.9541436000000001</v>
      </c>
      <c r="AP41" s="8">
        <f>VLOOKUP($A41,HAVERD!$A:$BS,AP$2,FALSE)</f>
        <v>3.9432687999999998</v>
      </c>
      <c r="AQ41" s="8">
        <f>VLOOKUP($A41,HAVERD!$A:$BS,AQ$2,FALSE)</f>
        <v>3.9328012999999999</v>
      </c>
      <c r="AR41" s="8">
        <f>VLOOKUP($A41,HAVERD!$A:$BS,AR$2,FALSE)</f>
        <v>3.9227498999999999</v>
      </c>
      <c r="AS41" s="8">
        <f>VLOOKUP($A41,HAVERD!$A:$BS,AS$2,FALSE)</f>
        <v>3.9131233000000001</v>
      </c>
      <c r="AT41" s="8">
        <f>VLOOKUP($A41,HAVERD!$A:$BS,AT$2,FALSE)</f>
        <v>3.9039304000000001</v>
      </c>
      <c r="AU41" s="8">
        <f>VLOOKUP($A41,HAVERD!$A:$BS,AU$2,FALSE)</f>
        <v>3.8951799999999999</v>
      </c>
      <c r="AV41" s="8">
        <f>VLOOKUP($A41,HAVERD!$A:$BS,AV$2,FALSE)</f>
        <v>3.8868808000000001</v>
      </c>
      <c r="AW41" s="8">
        <f>VLOOKUP($A41,HAVERD!$A:$BS,AW$2,FALSE)</f>
        <v>3.8790417000000001</v>
      </c>
      <c r="AX41" s="8">
        <f>VLOOKUP($A41,HAVERD!$A:$BS,AX$2,FALSE)</f>
        <v>3.8716713999999999</v>
      </c>
      <c r="AY41" s="8">
        <f>VLOOKUP($A41,HAVERD!$A:$BS,AY$2,FALSE)</f>
        <v>3.8647787999999998</v>
      </c>
      <c r="AZ41" s="8" t="e" vm="1">
        <f>VLOOKUP($A41,HAVERD!$A:$BS,AZ$2,FALSE)</f>
        <v>#VALUE!</v>
      </c>
      <c r="BA41" s="8" t="e" vm="1">
        <f>VLOOKUP($A41,HAVERD!$A:$BS,BA$2,FALSE)</f>
        <v>#VALUE!</v>
      </c>
      <c r="BB41" s="8"/>
      <c r="BC41" s="8"/>
      <c r="BD41" s="8"/>
      <c r="BE41" s="8"/>
      <c r="BF41" s="8"/>
      <c r="BG41" s="8"/>
      <c r="BH41" s="8"/>
      <c r="BI41" s="8"/>
      <c r="BJ41" s="8"/>
    </row>
    <row r="42" spans="1:62" x14ac:dyDescent="0.35">
      <c r="B42" s="6" t="s">
        <v>385</v>
      </c>
      <c r="C42" s="8">
        <f>C41-C40</f>
        <v>0</v>
      </c>
      <c r="D42" s="8">
        <f t="shared" ref="D42:AY42" si="13">D41-D40</f>
        <v>-5.2314153333332669E-2</v>
      </c>
      <c r="E42" s="8">
        <f t="shared" si="13"/>
        <v>2.5064199999986769E-3</v>
      </c>
      <c r="F42" s="8">
        <f t="shared" si="13"/>
        <v>4.1434699999999935E-2</v>
      </c>
      <c r="G42" s="8">
        <f t="shared" si="13"/>
        <v>7.8058440000000395E-2</v>
      </c>
      <c r="H42" s="8">
        <f t="shared" si="13"/>
        <v>0.12208371333333368</v>
      </c>
      <c r="I42" s="8">
        <f t="shared" si="13"/>
        <v>0.1715737199999996</v>
      </c>
      <c r="J42" s="8">
        <f t="shared" si="13"/>
        <v>0.22276731333333277</v>
      </c>
      <c r="K42" s="8">
        <f t="shared" si="13"/>
        <v>0.2722023999999994</v>
      </c>
      <c r="L42" s="8">
        <f t="shared" si="13"/>
        <v>0.31735305333333352</v>
      </c>
      <c r="M42" s="8">
        <f t="shared" si="13"/>
        <v>0.3568091266666662</v>
      </c>
      <c r="N42" s="8">
        <f t="shared" si="13"/>
        <v>0.39017400666666724</v>
      </c>
      <c r="O42" s="8">
        <f t="shared" si="13"/>
        <v>0.4174045133333335</v>
      </c>
      <c r="P42" s="8">
        <f t="shared" si="13"/>
        <v>0.43912399333333374</v>
      </c>
      <c r="Q42" s="8">
        <f t="shared" si="13"/>
        <v>0.45594367333333397</v>
      </c>
      <c r="R42" s="8">
        <f t="shared" si="13"/>
        <v>0.46839538000000003</v>
      </c>
      <c r="S42" s="8">
        <f t="shared" si="13"/>
        <v>0.47701078666666641</v>
      </c>
      <c r="T42" s="8">
        <f t="shared" si="13"/>
        <v>0.48232166666666654</v>
      </c>
      <c r="U42" s="8">
        <f t="shared" si="13"/>
        <v>0.48485988000000058</v>
      </c>
      <c r="V42" s="8">
        <f t="shared" si="13"/>
        <v>0.48513865999999917</v>
      </c>
      <c r="W42" s="8">
        <f t="shared" si="13"/>
        <v>0.48351292666666756</v>
      </c>
      <c r="X42" s="8">
        <f t="shared" si="13"/>
        <v>0.48027933333333284</v>
      </c>
      <c r="Y42" s="8">
        <f t="shared" si="13"/>
        <v>0.47573422666666643</v>
      </c>
      <c r="Z42" s="8">
        <f t="shared" si="13"/>
        <v>0.47017422666666775</v>
      </c>
      <c r="AA42" s="8">
        <f t="shared" si="13"/>
        <v>0.46389567999999937</v>
      </c>
      <c r="AB42" s="8">
        <f t="shared" si="13"/>
        <v>0.45715384666666736</v>
      </c>
      <c r="AC42" s="8">
        <f t="shared" si="13"/>
        <v>0.45003881333333284</v>
      </c>
      <c r="AD42" s="8">
        <f t="shared" si="13"/>
        <v>0.44259928666666681</v>
      </c>
      <c r="AE42" s="8">
        <f t="shared" si="13"/>
        <v>0.43488409999999922</v>
      </c>
      <c r="AF42" s="8">
        <f t="shared" si="13"/>
        <v>0.42694180666666703</v>
      </c>
      <c r="AG42" s="8">
        <f t="shared" si="13"/>
        <v>0.41882130666666662</v>
      </c>
      <c r="AH42" s="8">
        <f t="shared" si="13"/>
        <v>0.41057114666666683</v>
      </c>
      <c r="AI42" s="8">
        <f t="shared" si="13"/>
        <v>0.40224017333333295</v>
      </c>
      <c r="AJ42" s="8">
        <f t="shared" si="13"/>
        <v>0.39387710000000009</v>
      </c>
      <c r="AK42" s="8">
        <f t="shared" si="13"/>
        <v>0.38553066000000014</v>
      </c>
      <c r="AL42" s="8">
        <f t="shared" si="13"/>
        <v>0.37724949333333413</v>
      </c>
      <c r="AM42" s="8">
        <f t="shared" si="13"/>
        <v>0.36908252666666685</v>
      </c>
      <c r="AN42" s="8">
        <f t="shared" si="13"/>
        <v>0.361069786666667</v>
      </c>
      <c r="AO42" s="8">
        <f t="shared" si="13"/>
        <v>0.35321914666666654</v>
      </c>
      <c r="AP42" s="8">
        <f t="shared" si="13"/>
        <v>0.34553099333333304</v>
      </c>
      <c r="AQ42" s="8">
        <f t="shared" si="13"/>
        <v>0.33800557999999947</v>
      </c>
      <c r="AR42" s="8">
        <f t="shared" si="13"/>
        <v>0.33064320666666625</v>
      </c>
      <c r="AS42" s="8">
        <f t="shared" si="13"/>
        <v>0.32344404666666726</v>
      </c>
      <c r="AT42" s="8">
        <f t="shared" si="13"/>
        <v>0.31640850000000098</v>
      </c>
      <c r="AU42" s="8">
        <f t="shared" si="13"/>
        <v>0.30953681333333316</v>
      </c>
      <c r="AV42" s="8">
        <f t="shared" si="13"/>
        <v>0.30282919333333291</v>
      </c>
      <c r="AW42" s="8">
        <f t="shared" si="13"/>
        <v>0.29628600666666705</v>
      </c>
      <c r="AX42" s="8">
        <f t="shared" si="13"/>
        <v>0.28990743333333358</v>
      </c>
      <c r="AY42" s="8">
        <f t="shared" si="13"/>
        <v>0.2836938400000002</v>
      </c>
      <c r="AZ42" s="8" t="e" vm="2">
        <f t="shared" ref="AZ42" si="14">AZ41-AZ40</f>
        <v>#VALUE!</v>
      </c>
      <c r="BA42" s="8" t="e" vm="2">
        <f t="shared" ref="BA42" si="15">BA41-BA40</f>
        <v>#VALUE!</v>
      </c>
      <c r="BB42" s="8"/>
      <c r="BC42" s="8"/>
      <c r="BD42" s="8"/>
      <c r="BE42" s="8"/>
      <c r="BF42" s="8"/>
      <c r="BG42" s="8"/>
      <c r="BH42" s="8"/>
      <c r="BI42" s="8"/>
      <c r="BJ42" s="8"/>
    </row>
    <row r="43" spans="1:62" x14ac:dyDescent="0.35">
      <c r="B43" s="6"/>
    </row>
    <row r="44" spans="1:62" x14ac:dyDescent="0.35">
      <c r="B44" s="9" t="s">
        <v>446</v>
      </c>
    </row>
    <row r="45" spans="1:62" x14ac:dyDescent="0.35">
      <c r="C45" s="6">
        <v>44562</v>
      </c>
      <c r="D45" s="6">
        <v>44593</v>
      </c>
      <c r="E45" s="6">
        <v>44621</v>
      </c>
      <c r="F45" s="6">
        <v>44652</v>
      </c>
      <c r="G45" s="6">
        <v>44682</v>
      </c>
      <c r="H45" s="6">
        <v>44713</v>
      </c>
      <c r="I45" s="6">
        <v>44743</v>
      </c>
      <c r="J45" s="6">
        <v>44774</v>
      </c>
      <c r="K45" s="6">
        <v>44805</v>
      </c>
      <c r="L45" s="6">
        <v>44835</v>
      </c>
      <c r="M45" s="6">
        <v>44866</v>
      </c>
      <c r="N45" s="6">
        <v>44896</v>
      </c>
      <c r="O45" s="6">
        <v>44927</v>
      </c>
      <c r="P45" s="6">
        <v>44958</v>
      </c>
      <c r="Q45" s="6">
        <v>44986</v>
      </c>
      <c r="R45" s="6">
        <v>45017</v>
      </c>
      <c r="S45" s="6">
        <v>45047</v>
      </c>
      <c r="T45" s="6">
        <v>45078</v>
      </c>
      <c r="U45" s="6">
        <v>45108</v>
      </c>
      <c r="V45" s="6">
        <v>45139</v>
      </c>
      <c r="W45" s="6">
        <v>45170</v>
      </c>
      <c r="X45" s="6">
        <v>45200</v>
      </c>
      <c r="Y45" s="6">
        <v>45231</v>
      </c>
      <c r="Z45" s="6">
        <v>45261</v>
      </c>
      <c r="AA45" s="6">
        <v>45292</v>
      </c>
      <c r="AB45" s="6">
        <v>45323</v>
      </c>
      <c r="AC45" s="6">
        <v>45352</v>
      </c>
      <c r="AD45" s="6">
        <v>45383</v>
      </c>
      <c r="AE45" s="6">
        <v>45413</v>
      </c>
      <c r="AF45" s="6">
        <v>45444</v>
      </c>
      <c r="AG45" s="6">
        <v>45474</v>
      </c>
      <c r="AH45" s="6">
        <v>45505</v>
      </c>
      <c r="AI45" s="6">
        <v>45536</v>
      </c>
      <c r="AJ45" s="6">
        <v>45566</v>
      </c>
      <c r="AK45" s="6">
        <v>45597</v>
      </c>
      <c r="AL45" s="6">
        <v>45627</v>
      </c>
      <c r="AM45" s="6">
        <v>45658</v>
      </c>
      <c r="AN45" s="6">
        <v>45689</v>
      </c>
      <c r="AO45" s="6">
        <v>45717</v>
      </c>
      <c r="AP45" s="6">
        <v>45748</v>
      </c>
      <c r="AQ45" s="6">
        <v>45778</v>
      </c>
      <c r="AR45" s="6">
        <v>45809</v>
      </c>
      <c r="AS45" s="6">
        <v>45839</v>
      </c>
      <c r="AT45" s="6">
        <v>45870</v>
      </c>
      <c r="AU45" s="6">
        <v>45901</v>
      </c>
      <c r="AV45" s="6">
        <v>45931</v>
      </c>
      <c r="AW45" s="6">
        <v>45962</v>
      </c>
      <c r="AX45" s="6">
        <v>45992</v>
      </c>
      <c r="AY45" s="6">
        <v>46023</v>
      </c>
      <c r="AZ45" s="6">
        <v>46054</v>
      </c>
      <c r="BA45" s="6">
        <v>46082</v>
      </c>
      <c r="BB45" s="6">
        <v>46113</v>
      </c>
      <c r="BC45" s="6">
        <v>46143</v>
      </c>
      <c r="BD45" s="6">
        <v>46174</v>
      </c>
      <c r="BE45" s="6">
        <v>46204</v>
      </c>
      <c r="BF45" s="6">
        <v>46235</v>
      </c>
      <c r="BG45" s="6">
        <v>46266</v>
      </c>
      <c r="BH45" s="6">
        <v>46296</v>
      </c>
      <c r="BI45" s="6">
        <v>46327</v>
      </c>
      <c r="BJ45" s="6">
        <v>46357</v>
      </c>
    </row>
    <row r="46" spans="1:62" x14ac:dyDescent="0.35">
      <c r="B46" s="6" t="s">
        <v>380</v>
      </c>
      <c r="C46" s="8">
        <f>VLOOKUP(C$45,HAVERM!$A:$C,3,FALSE)</f>
        <v>0.25</v>
      </c>
      <c r="D46" s="8">
        <f>VLOOKUP(D$45,HAVERM!$A:$C,3,FALSE)</f>
        <v>0.47499999999999998</v>
      </c>
      <c r="E46" s="8">
        <f>VLOOKUP(E$45,HAVERM!$A:$C,3,FALSE)</f>
        <v>0.61956521739130432</v>
      </c>
      <c r="F46" s="8">
        <f>VLOOKUP(F$45,HAVERM!$A:$C,3,FALSE)</f>
        <v>0.75</v>
      </c>
      <c r="G46" s="8">
        <f>VLOOKUP(G$45,HAVERM!$A:$C,3,FALSE)</f>
        <v>0.96590909090909094</v>
      </c>
      <c r="H46" s="8">
        <f>VLOOKUP(H$45,HAVERM!$A:$C,3,FALSE)</f>
        <v>1.125</v>
      </c>
      <c r="I46" s="8">
        <f>VLOOKUP(I$45,HAVERM!$A:$C,3,FALSE)</f>
        <v>1.25</v>
      </c>
      <c r="J46" s="8">
        <f>VLOOKUP(J$45,HAVERM!$A:$C,3,FALSE)</f>
        <v>1.6847826086956521</v>
      </c>
      <c r="K46" s="8">
        <f>VLOOKUP(K$45,HAVERM!$A:$C,3,FALSE)</f>
        <v>1.9090909090909092</v>
      </c>
      <c r="L46" s="8">
        <f>VLOOKUP(L$45,HAVERM!$A:$C,3,FALSE)</f>
        <v>2.25</v>
      </c>
      <c r="M46" s="8">
        <f>VLOOKUP(M$45,HAVERM!$A:$C,3,FALSE)</f>
        <v>2.9318181818181817</v>
      </c>
      <c r="N46" s="8">
        <f>VLOOKUP(N$45,HAVERM!$A:$C,3,FALSE)</f>
        <v>3.2727272727272729</v>
      </c>
      <c r="O46" s="8">
        <f>VLOOKUP(O$45,HAVERM!$A:$C,3,FALSE)</f>
        <v>3.5</v>
      </c>
      <c r="P46" s="8">
        <f>VLOOKUP(P$45,HAVERM!$A:$C,3,FALSE)</f>
        <v>3.9750000000000001</v>
      </c>
      <c r="Q46" s="8">
        <f>VLOOKUP(Q$45,HAVERM!$A:$C,3,FALSE)</f>
        <v>4.0760869565217392</v>
      </c>
      <c r="R46" s="8">
        <f>VLOOKUP(R$45,HAVERM!$A:$C,3,FALSE)</f>
        <v>4.25</v>
      </c>
      <c r="S46" s="8">
        <f>VLOOKUP(S$45,HAVERM!$A:$C,3,FALSE)</f>
        <v>4.4130434782608692</v>
      </c>
      <c r="T46" s="8">
        <f>VLOOKUP(T$45,HAVERM!$A:$C,3,FALSE)</f>
        <v>4.6590909090909092</v>
      </c>
      <c r="U46" s="8">
        <f>VLOOKUP(U$45,HAVERM!$A:$C,3,FALSE)</f>
        <v>5</v>
      </c>
      <c r="V46" s="8">
        <f>VLOOKUP(V$45,HAVERM!$A:$C,3,FALSE)</f>
        <v>5.2282608695652177</v>
      </c>
      <c r="W46" s="8">
        <f>VLOOKUP(W$45,HAVERM!$A:$C,3,FALSE)</f>
        <v>5.25</v>
      </c>
      <c r="X46" s="8">
        <f>VLOOKUP(X$45,HAVERM!$A:$C,3,FALSE)</f>
        <v>5.25</v>
      </c>
      <c r="Y46" s="8">
        <f>VLOOKUP(Y$45,HAVERM!$A:$C,3,FALSE)</f>
        <v>5.25</v>
      </c>
      <c r="Z46" s="8">
        <f>VLOOKUP(Z$45,HAVERM!$A:$C,3,FALSE)</f>
        <v>5.25</v>
      </c>
      <c r="AA46" s="8">
        <f>VLOOKUP(AA$45,HAVERM!$A:$C,3,FALSE)</f>
        <v>5.25</v>
      </c>
      <c r="AB46" s="8">
        <f>VLOOKUP(AB$45,HAVERM!$A:$C,3,FALSE)</f>
        <v>5.25</v>
      </c>
      <c r="AC46" s="8">
        <f>VLOOKUP(AC$45,HAVERM!$A:$C,3,FALSE)</f>
        <v>5.25</v>
      </c>
      <c r="AD46" s="8">
        <f>VLOOKUP(AD$45,HAVERM!$A:$C,3,FALSE)</f>
        <v>5.25</v>
      </c>
      <c r="AE46" s="8">
        <f>VLOOKUP(AE$45,HAVERM!$A:$C,3,FALSE)</f>
        <v>5.25</v>
      </c>
      <c r="AF46" s="8">
        <f>VLOOKUP(AF$45,HAVERM!$A:$C,3,FALSE)</f>
        <v>5.25</v>
      </c>
      <c r="AG46" s="8">
        <f>VLOOKUP(AG$45,HAVERM!$A:$C,3,FALSE)</f>
        <v>5.25</v>
      </c>
      <c r="AH46" s="8">
        <f>VLOOKUP(AH$45,HAVERM!$A:$C,3,FALSE)</f>
        <v>5</v>
      </c>
      <c r="AI46" s="8">
        <f>VLOOKUP(AI$45,HAVERM!$A:$C,3,FALSE)</f>
        <v>5</v>
      </c>
      <c r="AJ46" s="8">
        <f>VLOOKUP(AJ$45,HAVERM!$A:$C,3,FALSE)</f>
        <v>5</v>
      </c>
      <c r="AK46" s="8" t="e">
        <f>VLOOKUP(AK$45,HAVERM!$A:$C,3,FALSE)</f>
        <v>#N/A</v>
      </c>
      <c r="AL46" s="8" t="e">
        <f>VLOOKUP(AL$45,HAVERM!$A:$C,3,FALSE)</f>
        <v>#N/A</v>
      </c>
      <c r="AM46" s="8" t="e">
        <f>VLOOKUP(AM$45,HAVERM!$A:$C,3,FALSE)</f>
        <v>#N/A</v>
      </c>
      <c r="AN46" s="8" t="e">
        <f>VLOOKUP(AN$45,HAVERM!$A:$C,3,FALSE)</f>
        <v>#N/A</v>
      </c>
      <c r="AO46" s="8" t="e">
        <f>VLOOKUP(AO$45,HAVERM!$A:$C,3,FALSE)</f>
        <v>#N/A</v>
      </c>
      <c r="AP46" s="8" t="e">
        <f>VLOOKUP(AP$45,HAVERM!$A:$C,3,FALSE)</f>
        <v>#N/A</v>
      </c>
      <c r="AQ46" s="8" t="e">
        <f>VLOOKUP(AQ$45,HAVERM!$A:$C,3,FALSE)</f>
        <v>#N/A</v>
      </c>
      <c r="AR46" s="8" t="e">
        <f>VLOOKUP(AR$45,HAVERM!$A:$C,3,FALSE)</f>
        <v>#N/A</v>
      </c>
      <c r="AS46" s="8" t="e">
        <f>VLOOKUP(AS$45,HAVERM!$A:$C,3,FALSE)</f>
        <v>#N/A</v>
      </c>
      <c r="AT46" s="8" t="e">
        <f>VLOOKUP(AT$45,HAVERM!$A:$C,3,FALSE)</f>
        <v>#N/A</v>
      </c>
      <c r="AU46" s="8" t="e">
        <f>VLOOKUP(AU$45,HAVERM!$A:$C,3,FALSE)</f>
        <v>#N/A</v>
      </c>
      <c r="AV46" s="8" t="e">
        <f>VLOOKUP(AV$45,HAVERM!$A:$C,3,FALSE)</f>
        <v>#N/A</v>
      </c>
      <c r="AW46" s="8" t="e">
        <f>VLOOKUP(AW$45,HAVERM!$A:$C,3,FALSE)</f>
        <v>#N/A</v>
      </c>
      <c r="AX46" s="8" t="e">
        <f>VLOOKUP(AX$45,HAVERM!$A:$C,3,FALSE)</f>
        <v>#N/A</v>
      </c>
      <c r="AY46" s="8" t="e">
        <f>VLOOKUP(AY$45,HAVERM!$A:$C,3,FALSE)</f>
        <v>#N/A</v>
      </c>
      <c r="AZ46" s="8" t="e">
        <f>VLOOKUP(AZ$45,HAVERM!$A:$C,3,FALSE)</f>
        <v>#N/A</v>
      </c>
      <c r="BA46" s="8" t="e">
        <f>VLOOKUP(BA$45,HAVERM!$A:$C,3,FALSE)</f>
        <v>#N/A</v>
      </c>
      <c r="BB46" s="8" t="e">
        <f>VLOOKUP(BB$45,HAVERM!$A:$C,3,FALSE)</f>
        <v>#N/A</v>
      </c>
      <c r="BC46" s="8" t="e">
        <f>VLOOKUP(BC$45,HAVERM!$A:$C,3,FALSE)</f>
        <v>#N/A</v>
      </c>
      <c r="BD46" s="8" t="e">
        <f>VLOOKUP(BD$45,HAVERM!$A:$C,3,FALSE)</f>
        <v>#N/A</v>
      </c>
      <c r="BE46" s="8" t="e">
        <f>VLOOKUP(BE$45,HAVERM!$A:$C,3,FALSE)</f>
        <v>#N/A</v>
      </c>
      <c r="BF46" s="8" t="e">
        <f>VLOOKUP(BF$45,HAVERM!$A:$C,3,FALSE)</f>
        <v>#N/A</v>
      </c>
      <c r="BG46" s="8" t="e">
        <f>VLOOKUP(BG$45,HAVERM!$A:$C,3,FALSE)</f>
        <v>#N/A</v>
      </c>
      <c r="BH46" s="8" t="e">
        <f>VLOOKUP(BH$45,HAVERM!$A:$C,3,FALSE)</f>
        <v>#N/A</v>
      </c>
      <c r="BI46" s="8" t="e">
        <f>VLOOKUP(BI$45,HAVERM!$A:$C,3,FALSE)</f>
        <v>#N/A</v>
      </c>
      <c r="BJ46" s="8" t="e">
        <f>VLOOKUP(BJ$45,HAVERM!$A:$C,3,FALSE)</f>
        <v>#N/A</v>
      </c>
    </row>
    <row r="47" spans="1:62" x14ac:dyDescent="0.35">
      <c r="B47" s="6" t="str">
        <f>B40</f>
        <v>November MPR</v>
      </c>
      <c r="C47" s="8" t="e">
        <f>HLOOKUP(C$45,$C$39:$AY$41,2,FALSE)</f>
        <v>#N/A</v>
      </c>
      <c r="D47" s="8" t="e">
        <f t="shared" ref="D47:BJ47" si="16">HLOOKUP(D$45,$C$39:$AY$41,2,FALSE)</f>
        <v>#N/A</v>
      </c>
      <c r="E47" s="8" t="e">
        <f t="shared" si="16"/>
        <v>#N/A</v>
      </c>
      <c r="F47" s="8" t="e">
        <f t="shared" si="16"/>
        <v>#N/A</v>
      </c>
      <c r="G47" s="8" t="e">
        <f t="shared" si="16"/>
        <v>#N/A</v>
      </c>
      <c r="H47" s="8" t="e">
        <f t="shared" si="16"/>
        <v>#N/A</v>
      </c>
      <c r="I47" s="8" t="e">
        <f t="shared" si="16"/>
        <v>#N/A</v>
      </c>
      <c r="J47" s="8" t="e">
        <f t="shared" si="16"/>
        <v>#N/A</v>
      </c>
      <c r="K47" s="8" t="e">
        <f t="shared" si="16"/>
        <v>#N/A</v>
      </c>
      <c r="L47" s="8" t="e">
        <f t="shared" si="16"/>
        <v>#N/A</v>
      </c>
      <c r="M47" s="8" t="e">
        <f t="shared" si="16"/>
        <v>#N/A</v>
      </c>
      <c r="N47" s="8" t="e">
        <f t="shared" si="16"/>
        <v>#N/A</v>
      </c>
      <c r="O47" s="8" t="e">
        <f t="shared" si="16"/>
        <v>#N/A</v>
      </c>
      <c r="P47" s="8" t="e">
        <f t="shared" si="16"/>
        <v>#N/A</v>
      </c>
      <c r="Q47" s="8" t="e">
        <f t="shared" si="16"/>
        <v>#N/A</v>
      </c>
      <c r="R47" s="8" t="e">
        <f t="shared" si="16"/>
        <v>#N/A</v>
      </c>
      <c r="S47" s="8" t="e">
        <f t="shared" si="16"/>
        <v>#N/A</v>
      </c>
      <c r="T47" s="8" t="e">
        <f t="shared" si="16"/>
        <v>#N/A</v>
      </c>
      <c r="U47" s="8" t="e">
        <f t="shared" si="16"/>
        <v>#N/A</v>
      </c>
      <c r="V47" s="8" t="e">
        <f t="shared" si="16"/>
        <v>#N/A</v>
      </c>
      <c r="W47" s="8" t="e">
        <f t="shared" si="16"/>
        <v>#N/A</v>
      </c>
      <c r="X47" s="8" t="e">
        <f t="shared" si="16"/>
        <v>#N/A</v>
      </c>
      <c r="Y47" s="8" t="e">
        <f t="shared" si="16"/>
        <v>#N/A</v>
      </c>
      <c r="Z47" s="8" t="e">
        <f t="shared" si="16"/>
        <v>#N/A</v>
      </c>
      <c r="AA47" s="8" t="e">
        <f t="shared" si="16"/>
        <v>#N/A</v>
      </c>
      <c r="AB47" s="8" t="e">
        <f t="shared" si="16"/>
        <v>#N/A</v>
      </c>
      <c r="AC47" s="8" t="e">
        <f t="shared" si="16"/>
        <v>#N/A</v>
      </c>
      <c r="AD47" s="8" t="e">
        <f t="shared" si="16"/>
        <v>#N/A</v>
      </c>
      <c r="AE47" s="8" t="e">
        <f t="shared" si="16"/>
        <v>#N/A</v>
      </c>
      <c r="AF47" s="8" t="e">
        <f t="shared" si="16"/>
        <v>#N/A</v>
      </c>
      <c r="AG47" s="8" t="e">
        <f t="shared" si="16"/>
        <v>#N/A</v>
      </c>
      <c r="AH47" s="8" t="e">
        <f t="shared" si="16"/>
        <v>#N/A</v>
      </c>
      <c r="AI47" s="8" t="e">
        <f t="shared" si="16"/>
        <v>#N/A</v>
      </c>
      <c r="AJ47" s="8">
        <f t="shared" si="16"/>
        <v>4.9500000000000011</v>
      </c>
      <c r="AK47" s="8">
        <f t="shared" si="16"/>
        <v>4.7578201533333324</v>
      </c>
      <c r="AL47" s="8">
        <f t="shared" si="16"/>
        <v>4.6327905800000009</v>
      </c>
      <c r="AM47" s="8">
        <f t="shared" si="16"/>
        <v>4.5073895000000004</v>
      </c>
      <c r="AN47" s="8">
        <f t="shared" si="16"/>
        <v>4.3782998599999994</v>
      </c>
      <c r="AO47" s="8">
        <f t="shared" si="16"/>
        <v>4.2492231866666668</v>
      </c>
      <c r="AP47" s="8">
        <f t="shared" si="16"/>
        <v>4.1275688800000001</v>
      </c>
      <c r="AQ47" s="8">
        <f t="shared" si="16"/>
        <v>4.019783686666667</v>
      </c>
      <c r="AR47" s="8">
        <f t="shared" si="16"/>
        <v>3.9295368000000002</v>
      </c>
      <c r="AS47" s="8">
        <f t="shared" si="16"/>
        <v>3.8578716466666667</v>
      </c>
      <c r="AT47" s="8">
        <f t="shared" si="16"/>
        <v>3.8034497733333335</v>
      </c>
      <c r="AU47" s="8">
        <f t="shared" si="16"/>
        <v>3.7639751933333327</v>
      </c>
      <c r="AV47" s="8">
        <f t="shared" si="16"/>
        <v>3.7365498866666664</v>
      </c>
      <c r="AW47" s="8">
        <f t="shared" si="16"/>
        <v>3.7168122066666665</v>
      </c>
      <c r="AX47" s="8">
        <f t="shared" si="16"/>
        <v>3.7028005266666661</v>
      </c>
      <c r="AY47" s="8">
        <f t="shared" si="16"/>
        <v>3.6933273200000003</v>
      </c>
      <c r="AZ47" s="8">
        <f t="shared" si="16"/>
        <v>3.6872050133333336</v>
      </c>
      <c r="BA47" s="8">
        <f t="shared" si="16"/>
        <v>3.6832461333333333</v>
      </c>
      <c r="BB47" s="8">
        <f t="shared" si="16"/>
        <v>3.6802631199999998</v>
      </c>
      <c r="BC47" s="8">
        <f t="shared" si="16"/>
        <v>3.6772711400000007</v>
      </c>
      <c r="BD47" s="8">
        <f t="shared" si="16"/>
        <v>3.6740797733333328</v>
      </c>
      <c r="BE47" s="8">
        <f t="shared" si="16"/>
        <v>3.670694066666667</v>
      </c>
      <c r="BF47" s="8">
        <f t="shared" si="16"/>
        <v>3.6671191733333335</v>
      </c>
      <c r="BG47" s="8">
        <f t="shared" si="16"/>
        <v>3.6633601733333325</v>
      </c>
      <c r="BH47" s="8">
        <f t="shared" si="16"/>
        <v>3.6594222200000006</v>
      </c>
      <c r="BI47" s="8">
        <f t="shared" si="16"/>
        <v>3.6553149533333329</v>
      </c>
      <c r="BJ47" s="8">
        <f t="shared" si="16"/>
        <v>3.6510663866666673</v>
      </c>
    </row>
    <row r="48" spans="1:62" x14ac:dyDescent="0.35">
      <c r="B48" s="6" t="str">
        <f>B41</f>
        <v>6th November</v>
      </c>
      <c r="C48" s="8" t="e">
        <f>HLOOKUP(C$45,$C$39:$AY$41,3,FALSE)</f>
        <v>#N/A</v>
      </c>
      <c r="D48" s="8" t="e">
        <f t="shared" ref="D48:BJ48" si="17">HLOOKUP(D$45,$C$39:$AY$41,3,FALSE)</f>
        <v>#N/A</v>
      </c>
      <c r="E48" s="8" t="e">
        <f t="shared" si="17"/>
        <v>#N/A</v>
      </c>
      <c r="F48" s="8" t="e">
        <f t="shared" si="17"/>
        <v>#N/A</v>
      </c>
      <c r="G48" s="8" t="e">
        <f t="shared" si="17"/>
        <v>#N/A</v>
      </c>
      <c r="H48" s="8" t="e">
        <f t="shared" si="17"/>
        <v>#N/A</v>
      </c>
      <c r="I48" s="8" t="e">
        <f t="shared" si="17"/>
        <v>#N/A</v>
      </c>
      <c r="J48" s="8" t="e">
        <f t="shared" si="17"/>
        <v>#N/A</v>
      </c>
      <c r="K48" s="8" t="e">
        <f t="shared" si="17"/>
        <v>#N/A</v>
      </c>
      <c r="L48" s="8" t="e">
        <f t="shared" si="17"/>
        <v>#N/A</v>
      </c>
      <c r="M48" s="8" t="e">
        <f t="shared" si="17"/>
        <v>#N/A</v>
      </c>
      <c r="N48" s="8" t="e">
        <f t="shared" si="17"/>
        <v>#N/A</v>
      </c>
      <c r="O48" s="8" t="e">
        <f t="shared" si="17"/>
        <v>#N/A</v>
      </c>
      <c r="P48" s="8" t="e">
        <f t="shared" si="17"/>
        <v>#N/A</v>
      </c>
      <c r="Q48" s="8" t="e">
        <f t="shared" si="17"/>
        <v>#N/A</v>
      </c>
      <c r="R48" s="8" t="e">
        <f t="shared" si="17"/>
        <v>#N/A</v>
      </c>
      <c r="S48" s="8" t="e">
        <f t="shared" si="17"/>
        <v>#N/A</v>
      </c>
      <c r="T48" s="8" t="e">
        <f t="shared" si="17"/>
        <v>#N/A</v>
      </c>
      <c r="U48" s="8" t="e">
        <f t="shared" si="17"/>
        <v>#N/A</v>
      </c>
      <c r="V48" s="8" t="e">
        <f t="shared" si="17"/>
        <v>#N/A</v>
      </c>
      <c r="W48" s="8" t="e">
        <f t="shared" si="17"/>
        <v>#N/A</v>
      </c>
      <c r="X48" s="8" t="e">
        <f t="shared" si="17"/>
        <v>#N/A</v>
      </c>
      <c r="Y48" s="8" t="e">
        <f t="shared" si="17"/>
        <v>#N/A</v>
      </c>
      <c r="Z48" s="8" t="e">
        <f t="shared" si="17"/>
        <v>#N/A</v>
      </c>
      <c r="AA48" s="8" t="e">
        <f t="shared" si="17"/>
        <v>#N/A</v>
      </c>
      <c r="AB48" s="8" t="e">
        <f t="shared" si="17"/>
        <v>#N/A</v>
      </c>
      <c r="AC48" s="8" t="e">
        <f t="shared" si="17"/>
        <v>#N/A</v>
      </c>
      <c r="AD48" s="8" t="e">
        <f t="shared" si="17"/>
        <v>#N/A</v>
      </c>
      <c r="AE48" s="8" t="e">
        <f t="shared" si="17"/>
        <v>#N/A</v>
      </c>
      <c r="AF48" s="8" t="e">
        <f t="shared" si="17"/>
        <v>#N/A</v>
      </c>
      <c r="AG48" s="8" t="e">
        <f t="shared" si="17"/>
        <v>#N/A</v>
      </c>
      <c r="AH48" s="8" t="e">
        <f t="shared" si="17"/>
        <v>#N/A</v>
      </c>
      <c r="AI48" s="8" t="e">
        <f t="shared" si="17"/>
        <v>#N/A</v>
      </c>
      <c r="AJ48" s="8">
        <f t="shared" si="17"/>
        <v>4.95</v>
      </c>
      <c r="AK48" s="8">
        <f t="shared" si="17"/>
        <v>4.7055059999999997</v>
      </c>
      <c r="AL48" s="8">
        <f t="shared" si="17"/>
        <v>4.6352969999999996</v>
      </c>
      <c r="AM48" s="8">
        <f t="shared" si="17"/>
        <v>4.5488242000000003</v>
      </c>
      <c r="AN48" s="8">
        <f t="shared" si="17"/>
        <v>4.4563582999999998</v>
      </c>
      <c r="AO48" s="8">
        <f t="shared" si="17"/>
        <v>4.3713069000000004</v>
      </c>
      <c r="AP48" s="8">
        <f t="shared" si="17"/>
        <v>4.2991425999999997</v>
      </c>
      <c r="AQ48" s="8">
        <f t="shared" si="17"/>
        <v>4.2425509999999997</v>
      </c>
      <c r="AR48" s="8">
        <f t="shared" si="17"/>
        <v>4.2017391999999996</v>
      </c>
      <c r="AS48" s="8">
        <f t="shared" si="17"/>
        <v>4.1752247000000002</v>
      </c>
      <c r="AT48" s="8">
        <f t="shared" si="17"/>
        <v>4.1602588999999996</v>
      </c>
      <c r="AU48" s="8">
        <f t="shared" si="17"/>
        <v>4.1541492</v>
      </c>
      <c r="AV48" s="8">
        <f t="shared" si="17"/>
        <v>4.1539543999999999</v>
      </c>
      <c r="AW48" s="8">
        <f t="shared" si="17"/>
        <v>4.1559362000000002</v>
      </c>
      <c r="AX48" s="8">
        <f t="shared" si="17"/>
        <v>4.1587442000000001</v>
      </c>
      <c r="AY48" s="8">
        <f t="shared" si="17"/>
        <v>4.1617227000000003</v>
      </c>
      <c r="AZ48" s="8">
        <f t="shared" si="17"/>
        <v>4.1642158</v>
      </c>
      <c r="BA48" s="8">
        <f t="shared" si="17"/>
        <v>4.1655677999999998</v>
      </c>
      <c r="BB48" s="8">
        <f t="shared" si="17"/>
        <v>4.1651230000000004</v>
      </c>
      <c r="BC48" s="8">
        <f t="shared" si="17"/>
        <v>4.1624097999999998</v>
      </c>
      <c r="BD48" s="8">
        <f t="shared" si="17"/>
        <v>4.1575927000000004</v>
      </c>
      <c r="BE48" s="8">
        <f t="shared" si="17"/>
        <v>4.1509733999999998</v>
      </c>
      <c r="BF48" s="8">
        <f t="shared" si="17"/>
        <v>4.1428533999999999</v>
      </c>
      <c r="BG48" s="8">
        <f t="shared" si="17"/>
        <v>4.1335344000000003</v>
      </c>
      <c r="BH48" s="8">
        <f t="shared" si="17"/>
        <v>4.1233179</v>
      </c>
      <c r="BI48" s="8">
        <f t="shared" si="17"/>
        <v>4.1124688000000003</v>
      </c>
      <c r="BJ48" s="8">
        <f t="shared" si="17"/>
        <v>4.1011052000000001</v>
      </c>
    </row>
    <row r="49" spans="2:62" x14ac:dyDescent="0.35">
      <c r="B49" s="6"/>
    </row>
    <row r="50" spans="2:62" x14ac:dyDescent="0.35">
      <c r="B50" s="9" t="s">
        <v>370</v>
      </c>
    </row>
    <row r="51" spans="2:62" x14ac:dyDescent="0.35">
      <c r="B51" s="6" t="s">
        <v>371</v>
      </c>
      <c r="C51">
        <f>MONTH(C20)</f>
        <v>10</v>
      </c>
      <c r="D51">
        <f t="shared" ref="D51:AY51" si="18">MONTH(D20)</f>
        <v>11</v>
      </c>
      <c r="E51">
        <f t="shared" si="18"/>
        <v>12</v>
      </c>
      <c r="F51">
        <f t="shared" si="18"/>
        <v>1</v>
      </c>
      <c r="G51">
        <f t="shared" si="18"/>
        <v>2</v>
      </c>
      <c r="H51">
        <f t="shared" si="18"/>
        <v>3</v>
      </c>
      <c r="I51">
        <f t="shared" si="18"/>
        <v>4</v>
      </c>
      <c r="J51">
        <f t="shared" si="18"/>
        <v>5</v>
      </c>
      <c r="K51">
        <f t="shared" si="18"/>
        <v>6</v>
      </c>
      <c r="L51">
        <f t="shared" si="18"/>
        <v>7</v>
      </c>
      <c r="M51">
        <f t="shared" si="18"/>
        <v>8</v>
      </c>
      <c r="N51">
        <f t="shared" si="18"/>
        <v>9</v>
      </c>
      <c r="O51">
        <f t="shared" si="18"/>
        <v>10</v>
      </c>
      <c r="P51">
        <f t="shared" si="18"/>
        <v>11</v>
      </c>
      <c r="Q51">
        <f t="shared" si="18"/>
        <v>12</v>
      </c>
      <c r="R51">
        <f t="shared" si="18"/>
        <v>1</v>
      </c>
      <c r="S51">
        <f t="shared" si="18"/>
        <v>2</v>
      </c>
      <c r="T51">
        <f t="shared" si="18"/>
        <v>3</v>
      </c>
      <c r="U51">
        <f t="shared" si="18"/>
        <v>4</v>
      </c>
      <c r="V51">
        <f t="shared" si="18"/>
        <v>5</v>
      </c>
      <c r="W51">
        <f t="shared" si="18"/>
        <v>6</v>
      </c>
      <c r="X51">
        <f t="shared" si="18"/>
        <v>7</v>
      </c>
      <c r="Y51">
        <f t="shared" si="18"/>
        <v>8</v>
      </c>
      <c r="Z51">
        <f t="shared" si="18"/>
        <v>9</v>
      </c>
      <c r="AA51">
        <f t="shared" si="18"/>
        <v>10</v>
      </c>
      <c r="AB51">
        <f t="shared" si="18"/>
        <v>11</v>
      </c>
      <c r="AC51">
        <f t="shared" si="18"/>
        <v>12</v>
      </c>
      <c r="AD51">
        <f t="shared" si="18"/>
        <v>1</v>
      </c>
      <c r="AE51">
        <f t="shared" si="18"/>
        <v>2</v>
      </c>
      <c r="AF51">
        <f t="shared" si="18"/>
        <v>3</v>
      </c>
      <c r="AG51">
        <f t="shared" si="18"/>
        <v>4</v>
      </c>
      <c r="AH51">
        <f t="shared" si="18"/>
        <v>5</v>
      </c>
      <c r="AI51">
        <f t="shared" si="18"/>
        <v>6</v>
      </c>
      <c r="AJ51">
        <f t="shared" si="18"/>
        <v>7</v>
      </c>
      <c r="AK51">
        <f t="shared" si="18"/>
        <v>8</v>
      </c>
      <c r="AL51">
        <f t="shared" si="18"/>
        <v>9</v>
      </c>
      <c r="AM51">
        <f t="shared" si="18"/>
        <v>10</v>
      </c>
      <c r="AN51">
        <f t="shared" si="18"/>
        <v>11</v>
      </c>
      <c r="AO51">
        <f t="shared" si="18"/>
        <v>12</v>
      </c>
      <c r="AP51">
        <f t="shared" si="18"/>
        <v>1</v>
      </c>
      <c r="AQ51">
        <f t="shared" si="18"/>
        <v>2</v>
      </c>
      <c r="AR51">
        <f t="shared" si="18"/>
        <v>3</v>
      </c>
      <c r="AS51">
        <f t="shared" si="18"/>
        <v>4</v>
      </c>
      <c r="AT51">
        <f t="shared" si="18"/>
        <v>5</v>
      </c>
      <c r="AU51">
        <f t="shared" si="18"/>
        <v>6</v>
      </c>
      <c r="AV51">
        <f t="shared" si="18"/>
        <v>7</v>
      </c>
      <c r="AW51">
        <f t="shared" si="18"/>
        <v>8</v>
      </c>
      <c r="AX51">
        <f t="shared" si="18"/>
        <v>9</v>
      </c>
      <c r="AY51">
        <f t="shared" si="18"/>
        <v>10</v>
      </c>
    </row>
    <row r="52" spans="2:62" x14ac:dyDescent="0.35">
      <c r="B52" s="6" t="s">
        <v>372</v>
      </c>
      <c r="C52">
        <f>YEAR(C20)</f>
        <v>2024</v>
      </c>
      <c r="D52">
        <f t="shared" ref="D52:AY52" si="19">YEAR(D20)</f>
        <v>2024</v>
      </c>
      <c r="E52">
        <f t="shared" si="19"/>
        <v>2024</v>
      </c>
      <c r="F52">
        <f t="shared" si="19"/>
        <v>2025</v>
      </c>
      <c r="G52">
        <f t="shared" si="19"/>
        <v>2025</v>
      </c>
      <c r="H52">
        <f t="shared" si="19"/>
        <v>2025</v>
      </c>
      <c r="I52">
        <f t="shared" si="19"/>
        <v>2025</v>
      </c>
      <c r="J52">
        <f t="shared" si="19"/>
        <v>2025</v>
      </c>
      <c r="K52">
        <f t="shared" si="19"/>
        <v>2025</v>
      </c>
      <c r="L52">
        <f t="shared" si="19"/>
        <v>2025</v>
      </c>
      <c r="M52">
        <f t="shared" si="19"/>
        <v>2025</v>
      </c>
      <c r="N52">
        <f t="shared" si="19"/>
        <v>2025</v>
      </c>
      <c r="O52">
        <f t="shared" si="19"/>
        <v>2025</v>
      </c>
      <c r="P52">
        <f t="shared" si="19"/>
        <v>2025</v>
      </c>
      <c r="Q52">
        <f t="shared" si="19"/>
        <v>2025</v>
      </c>
      <c r="R52">
        <f t="shared" si="19"/>
        <v>2026</v>
      </c>
      <c r="S52">
        <f t="shared" si="19"/>
        <v>2026</v>
      </c>
      <c r="T52">
        <f t="shared" si="19"/>
        <v>2026</v>
      </c>
      <c r="U52">
        <f t="shared" si="19"/>
        <v>2026</v>
      </c>
      <c r="V52">
        <f t="shared" si="19"/>
        <v>2026</v>
      </c>
      <c r="W52">
        <f t="shared" si="19"/>
        <v>2026</v>
      </c>
      <c r="X52">
        <f t="shared" si="19"/>
        <v>2026</v>
      </c>
      <c r="Y52">
        <f t="shared" si="19"/>
        <v>2026</v>
      </c>
      <c r="Z52">
        <f t="shared" si="19"/>
        <v>2026</v>
      </c>
      <c r="AA52">
        <f t="shared" si="19"/>
        <v>2026</v>
      </c>
      <c r="AB52">
        <f t="shared" si="19"/>
        <v>2026</v>
      </c>
      <c r="AC52">
        <f t="shared" si="19"/>
        <v>2026</v>
      </c>
      <c r="AD52">
        <f t="shared" si="19"/>
        <v>2027</v>
      </c>
      <c r="AE52">
        <f t="shared" si="19"/>
        <v>2027</v>
      </c>
      <c r="AF52">
        <f t="shared" si="19"/>
        <v>2027</v>
      </c>
      <c r="AG52">
        <f t="shared" si="19"/>
        <v>2027</v>
      </c>
      <c r="AH52">
        <f t="shared" si="19"/>
        <v>2027</v>
      </c>
      <c r="AI52">
        <f t="shared" si="19"/>
        <v>2027</v>
      </c>
      <c r="AJ52">
        <f t="shared" si="19"/>
        <v>2027</v>
      </c>
      <c r="AK52">
        <f t="shared" si="19"/>
        <v>2027</v>
      </c>
      <c r="AL52">
        <f t="shared" si="19"/>
        <v>2027</v>
      </c>
      <c r="AM52">
        <f t="shared" si="19"/>
        <v>2027</v>
      </c>
      <c r="AN52">
        <f t="shared" si="19"/>
        <v>2027</v>
      </c>
      <c r="AO52">
        <f t="shared" si="19"/>
        <v>2027</v>
      </c>
      <c r="AP52">
        <f t="shared" si="19"/>
        <v>2028</v>
      </c>
      <c r="AQ52">
        <f t="shared" si="19"/>
        <v>2028</v>
      </c>
      <c r="AR52">
        <f t="shared" si="19"/>
        <v>2028</v>
      </c>
      <c r="AS52">
        <f t="shared" si="19"/>
        <v>2028</v>
      </c>
      <c r="AT52">
        <f t="shared" si="19"/>
        <v>2028</v>
      </c>
      <c r="AU52">
        <f t="shared" si="19"/>
        <v>2028</v>
      </c>
      <c r="AV52">
        <f t="shared" si="19"/>
        <v>2028</v>
      </c>
      <c r="AW52">
        <f t="shared" si="19"/>
        <v>2028</v>
      </c>
      <c r="AX52">
        <f t="shared" si="19"/>
        <v>2028</v>
      </c>
      <c r="AY52">
        <f t="shared" si="19"/>
        <v>2028</v>
      </c>
    </row>
    <row r="53" spans="2:62" x14ac:dyDescent="0.35">
      <c r="B53" s="6" t="s">
        <v>373</v>
      </c>
      <c r="C53">
        <f>C52*100+C51</f>
        <v>202410</v>
      </c>
      <c r="D53">
        <f t="shared" ref="D53:AY53" si="20">D52*100+D51</f>
        <v>202411</v>
      </c>
      <c r="E53">
        <f t="shared" si="20"/>
        <v>202412</v>
      </c>
      <c r="F53">
        <f t="shared" si="20"/>
        <v>202501</v>
      </c>
      <c r="G53">
        <f t="shared" si="20"/>
        <v>202502</v>
      </c>
      <c r="H53">
        <f t="shared" si="20"/>
        <v>202503</v>
      </c>
      <c r="I53">
        <f t="shared" si="20"/>
        <v>202504</v>
      </c>
      <c r="J53">
        <f t="shared" si="20"/>
        <v>202505</v>
      </c>
      <c r="K53">
        <f t="shared" si="20"/>
        <v>202506</v>
      </c>
      <c r="L53">
        <f t="shared" si="20"/>
        <v>202507</v>
      </c>
      <c r="M53">
        <f t="shared" si="20"/>
        <v>202508</v>
      </c>
      <c r="N53">
        <f t="shared" si="20"/>
        <v>202509</v>
      </c>
      <c r="O53">
        <f t="shared" si="20"/>
        <v>202510</v>
      </c>
      <c r="P53">
        <f t="shared" si="20"/>
        <v>202511</v>
      </c>
      <c r="Q53">
        <f t="shared" si="20"/>
        <v>202512</v>
      </c>
      <c r="R53">
        <f t="shared" si="20"/>
        <v>202601</v>
      </c>
      <c r="S53">
        <f t="shared" si="20"/>
        <v>202602</v>
      </c>
      <c r="T53">
        <f t="shared" si="20"/>
        <v>202603</v>
      </c>
      <c r="U53">
        <f t="shared" si="20"/>
        <v>202604</v>
      </c>
      <c r="V53">
        <f t="shared" si="20"/>
        <v>202605</v>
      </c>
      <c r="W53">
        <f t="shared" si="20"/>
        <v>202606</v>
      </c>
      <c r="X53">
        <f t="shared" si="20"/>
        <v>202607</v>
      </c>
      <c r="Y53">
        <f t="shared" si="20"/>
        <v>202608</v>
      </c>
      <c r="Z53">
        <f t="shared" si="20"/>
        <v>202609</v>
      </c>
      <c r="AA53">
        <f t="shared" si="20"/>
        <v>202610</v>
      </c>
      <c r="AB53">
        <f t="shared" si="20"/>
        <v>202611</v>
      </c>
      <c r="AC53">
        <f t="shared" si="20"/>
        <v>202612</v>
      </c>
      <c r="AD53">
        <f t="shared" si="20"/>
        <v>202701</v>
      </c>
      <c r="AE53">
        <f t="shared" si="20"/>
        <v>202702</v>
      </c>
      <c r="AF53">
        <f t="shared" si="20"/>
        <v>202703</v>
      </c>
      <c r="AG53">
        <f t="shared" si="20"/>
        <v>202704</v>
      </c>
      <c r="AH53">
        <f t="shared" si="20"/>
        <v>202705</v>
      </c>
      <c r="AI53">
        <f t="shared" si="20"/>
        <v>202706</v>
      </c>
      <c r="AJ53">
        <f t="shared" si="20"/>
        <v>202707</v>
      </c>
      <c r="AK53">
        <f t="shared" si="20"/>
        <v>202708</v>
      </c>
      <c r="AL53">
        <f t="shared" si="20"/>
        <v>202709</v>
      </c>
      <c r="AM53">
        <f t="shared" si="20"/>
        <v>202710</v>
      </c>
      <c r="AN53">
        <f t="shared" si="20"/>
        <v>202711</v>
      </c>
      <c r="AO53">
        <f t="shared" si="20"/>
        <v>202712</v>
      </c>
      <c r="AP53">
        <f t="shared" si="20"/>
        <v>202801</v>
      </c>
      <c r="AQ53">
        <f t="shared" si="20"/>
        <v>202802</v>
      </c>
      <c r="AR53">
        <f t="shared" si="20"/>
        <v>202803</v>
      </c>
      <c r="AS53">
        <f t="shared" si="20"/>
        <v>202804</v>
      </c>
      <c r="AT53">
        <f t="shared" si="20"/>
        <v>202805</v>
      </c>
      <c r="AU53">
        <f t="shared" si="20"/>
        <v>202806</v>
      </c>
      <c r="AV53">
        <f t="shared" si="20"/>
        <v>202807</v>
      </c>
      <c r="AW53">
        <f t="shared" si="20"/>
        <v>202808</v>
      </c>
      <c r="AX53">
        <f t="shared" si="20"/>
        <v>202809</v>
      </c>
      <c r="AY53">
        <f t="shared" si="20"/>
        <v>202810</v>
      </c>
    </row>
    <row r="54" spans="2:62" x14ac:dyDescent="0.35">
      <c r="B54" s="6" t="s">
        <v>374</v>
      </c>
      <c r="C54">
        <f>IF(C51&lt;4,1,IF(C51&lt;7,2,IF(C51&lt;10,3,4)))</f>
        <v>4</v>
      </c>
      <c r="D54">
        <f t="shared" ref="D54:AY54" si="21">IF(D51&lt;4,1,IF(D51&lt;7,2,IF(D51&lt;10,3,4)))</f>
        <v>4</v>
      </c>
      <c r="E54">
        <f t="shared" si="21"/>
        <v>4</v>
      </c>
      <c r="F54">
        <f t="shared" si="21"/>
        <v>1</v>
      </c>
      <c r="G54">
        <f t="shared" si="21"/>
        <v>1</v>
      </c>
      <c r="H54">
        <f t="shared" si="21"/>
        <v>1</v>
      </c>
      <c r="I54">
        <f t="shared" si="21"/>
        <v>2</v>
      </c>
      <c r="J54">
        <f t="shared" si="21"/>
        <v>2</v>
      </c>
      <c r="K54">
        <f t="shared" si="21"/>
        <v>2</v>
      </c>
      <c r="L54">
        <f t="shared" si="21"/>
        <v>3</v>
      </c>
      <c r="M54">
        <f t="shared" si="21"/>
        <v>3</v>
      </c>
      <c r="N54">
        <f t="shared" si="21"/>
        <v>3</v>
      </c>
      <c r="O54">
        <f t="shared" si="21"/>
        <v>4</v>
      </c>
      <c r="P54">
        <f t="shared" si="21"/>
        <v>4</v>
      </c>
      <c r="Q54">
        <f t="shared" si="21"/>
        <v>4</v>
      </c>
      <c r="R54">
        <f t="shared" si="21"/>
        <v>1</v>
      </c>
      <c r="S54">
        <f t="shared" si="21"/>
        <v>1</v>
      </c>
      <c r="T54">
        <f t="shared" si="21"/>
        <v>1</v>
      </c>
      <c r="U54">
        <f t="shared" si="21"/>
        <v>2</v>
      </c>
      <c r="V54">
        <f t="shared" si="21"/>
        <v>2</v>
      </c>
      <c r="W54">
        <f t="shared" si="21"/>
        <v>2</v>
      </c>
      <c r="X54">
        <f t="shared" si="21"/>
        <v>3</v>
      </c>
      <c r="Y54">
        <f t="shared" si="21"/>
        <v>3</v>
      </c>
      <c r="Z54">
        <f t="shared" si="21"/>
        <v>3</v>
      </c>
      <c r="AA54">
        <f t="shared" si="21"/>
        <v>4</v>
      </c>
      <c r="AB54">
        <f t="shared" si="21"/>
        <v>4</v>
      </c>
      <c r="AC54">
        <f t="shared" si="21"/>
        <v>4</v>
      </c>
      <c r="AD54">
        <f t="shared" si="21"/>
        <v>1</v>
      </c>
      <c r="AE54">
        <f t="shared" si="21"/>
        <v>1</v>
      </c>
      <c r="AF54">
        <f t="shared" si="21"/>
        <v>1</v>
      </c>
      <c r="AG54">
        <f t="shared" si="21"/>
        <v>2</v>
      </c>
      <c r="AH54">
        <f t="shared" si="21"/>
        <v>2</v>
      </c>
      <c r="AI54">
        <f t="shared" si="21"/>
        <v>2</v>
      </c>
      <c r="AJ54">
        <f t="shared" si="21"/>
        <v>3</v>
      </c>
      <c r="AK54">
        <f t="shared" si="21"/>
        <v>3</v>
      </c>
      <c r="AL54">
        <f t="shared" si="21"/>
        <v>3</v>
      </c>
      <c r="AM54">
        <f t="shared" si="21"/>
        <v>4</v>
      </c>
      <c r="AN54">
        <f t="shared" si="21"/>
        <v>4</v>
      </c>
      <c r="AO54">
        <f t="shared" si="21"/>
        <v>4</v>
      </c>
      <c r="AP54">
        <f t="shared" si="21"/>
        <v>1</v>
      </c>
      <c r="AQ54">
        <f t="shared" si="21"/>
        <v>1</v>
      </c>
      <c r="AR54">
        <f t="shared" si="21"/>
        <v>1</v>
      </c>
      <c r="AS54">
        <f t="shared" si="21"/>
        <v>2</v>
      </c>
      <c r="AT54">
        <f t="shared" si="21"/>
        <v>2</v>
      </c>
      <c r="AU54">
        <f t="shared" si="21"/>
        <v>2</v>
      </c>
      <c r="AV54">
        <f t="shared" si="21"/>
        <v>3</v>
      </c>
      <c r="AW54">
        <f t="shared" si="21"/>
        <v>3</v>
      </c>
      <c r="AX54">
        <f t="shared" si="21"/>
        <v>3</v>
      </c>
      <c r="AY54">
        <f t="shared" si="21"/>
        <v>4</v>
      </c>
    </row>
    <row r="55" spans="2:62" x14ac:dyDescent="0.35">
      <c r="B55" s="6" t="s">
        <v>375</v>
      </c>
      <c r="C55">
        <f>C52*100+C54</f>
        <v>202404</v>
      </c>
      <c r="D55">
        <f t="shared" ref="D55:AY55" si="22">D52*100+D54</f>
        <v>202404</v>
      </c>
      <c r="E55">
        <f t="shared" si="22"/>
        <v>202404</v>
      </c>
      <c r="F55">
        <f t="shared" si="22"/>
        <v>202501</v>
      </c>
      <c r="G55">
        <f t="shared" si="22"/>
        <v>202501</v>
      </c>
      <c r="H55">
        <f t="shared" si="22"/>
        <v>202501</v>
      </c>
      <c r="I55">
        <f t="shared" si="22"/>
        <v>202502</v>
      </c>
      <c r="J55">
        <f t="shared" si="22"/>
        <v>202502</v>
      </c>
      <c r="K55">
        <f t="shared" si="22"/>
        <v>202502</v>
      </c>
      <c r="L55">
        <f t="shared" si="22"/>
        <v>202503</v>
      </c>
      <c r="M55">
        <f t="shared" si="22"/>
        <v>202503</v>
      </c>
      <c r="N55">
        <f t="shared" si="22"/>
        <v>202503</v>
      </c>
      <c r="O55">
        <f t="shared" si="22"/>
        <v>202504</v>
      </c>
      <c r="P55">
        <f t="shared" si="22"/>
        <v>202504</v>
      </c>
      <c r="Q55">
        <f t="shared" si="22"/>
        <v>202504</v>
      </c>
      <c r="R55">
        <f t="shared" si="22"/>
        <v>202601</v>
      </c>
      <c r="S55">
        <f t="shared" si="22"/>
        <v>202601</v>
      </c>
      <c r="T55">
        <f t="shared" si="22"/>
        <v>202601</v>
      </c>
      <c r="U55">
        <f t="shared" si="22"/>
        <v>202602</v>
      </c>
      <c r="V55">
        <f t="shared" si="22"/>
        <v>202602</v>
      </c>
      <c r="W55">
        <f t="shared" si="22"/>
        <v>202602</v>
      </c>
      <c r="X55">
        <f t="shared" si="22"/>
        <v>202603</v>
      </c>
      <c r="Y55">
        <f t="shared" si="22"/>
        <v>202603</v>
      </c>
      <c r="Z55">
        <f t="shared" si="22"/>
        <v>202603</v>
      </c>
      <c r="AA55">
        <f t="shared" si="22"/>
        <v>202604</v>
      </c>
      <c r="AB55">
        <f t="shared" si="22"/>
        <v>202604</v>
      </c>
      <c r="AC55">
        <f t="shared" si="22"/>
        <v>202604</v>
      </c>
      <c r="AD55">
        <f t="shared" si="22"/>
        <v>202701</v>
      </c>
      <c r="AE55">
        <f t="shared" si="22"/>
        <v>202701</v>
      </c>
      <c r="AF55">
        <f t="shared" si="22"/>
        <v>202701</v>
      </c>
      <c r="AG55">
        <f t="shared" si="22"/>
        <v>202702</v>
      </c>
      <c r="AH55">
        <f t="shared" si="22"/>
        <v>202702</v>
      </c>
      <c r="AI55">
        <f t="shared" si="22"/>
        <v>202702</v>
      </c>
      <c r="AJ55">
        <f t="shared" si="22"/>
        <v>202703</v>
      </c>
      <c r="AK55">
        <f t="shared" si="22"/>
        <v>202703</v>
      </c>
      <c r="AL55">
        <f t="shared" si="22"/>
        <v>202703</v>
      </c>
      <c r="AM55">
        <f t="shared" si="22"/>
        <v>202704</v>
      </c>
      <c r="AN55">
        <f t="shared" si="22"/>
        <v>202704</v>
      </c>
      <c r="AO55">
        <f t="shared" si="22"/>
        <v>202704</v>
      </c>
      <c r="AP55">
        <f t="shared" si="22"/>
        <v>202801</v>
      </c>
      <c r="AQ55">
        <f t="shared" si="22"/>
        <v>202801</v>
      </c>
      <c r="AR55">
        <f t="shared" si="22"/>
        <v>202801</v>
      </c>
      <c r="AS55">
        <f t="shared" si="22"/>
        <v>202802</v>
      </c>
      <c r="AT55">
        <f t="shared" si="22"/>
        <v>202802</v>
      </c>
      <c r="AU55">
        <f t="shared" si="22"/>
        <v>202802</v>
      </c>
      <c r="AV55">
        <f t="shared" si="22"/>
        <v>202803</v>
      </c>
      <c r="AW55">
        <f t="shared" si="22"/>
        <v>202803</v>
      </c>
      <c r="AX55">
        <f t="shared" si="22"/>
        <v>202803</v>
      </c>
      <c r="AY55">
        <f t="shared" si="22"/>
        <v>202804</v>
      </c>
    </row>
    <row r="56" spans="2:62" x14ac:dyDescent="0.35">
      <c r="B56" t="s">
        <v>370</v>
      </c>
      <c r="C56" s="8">
        <f>AVERAGE(C23:C37)</f>
        <v>4.9500000000000011</v>
      </c>
      <c r="D56" s="8">
        <f t="shared" ref="D56:AY56" si="23">AVERAGE(D23:D37)</f>
        <v>4.7578201533333324</v>
      </c>
      <c r="E56" s="8">
        <f t="shared" si="23"/>
        <v>4.6327905800000009</v>
      </c>
      <c r="F56" s="8">
        <f t="shared" si="23"/>
        <v>4.5073895000000004</v>
      </c>
      <c r="G56" s="8">
        <f t="shared" si="23"/>
        <v>4.3782998599999994</v>
      </c>
      <c r="H56" s="8">
        <f t="shared" si="23"/>
        <v>4.2492231866666668</v>
      </c>
      <c r="I56" s="8">
        <f t="shared" si="23"/>
        <v>4.1275688800000001</v>
      </c>
      <c r="J56" s="8">
        <f t="shared" si="23"/>
        <v>4.019783686666667</v>
      </c>
      <c r="K56" s="8">
        <f t="shared" si="23"/>
        <v>3.9295368000000002</v>
      </c>
      <c r="L56" s="8">
        <f t="shared" si="23"/>
        <v>3.8578716466666667</v>
      </c>
      <c r="M56" s="8">
        <f t="shared" si="23"/>
        <v>3.8034497733333335</v>
      </c>
      <c r="N56" s="8">
        <f t="shared" si="23"/>
        <v>3.7639751933333327</v>
      </c>
      <c r="O56" s="8">
        <f t="shared" si="23"/>
        <v>3.7365498866666664</v>
      </c>
      <c r="P56" s="8">
        <f t="shared" si="23"/>
        <v>3.7168122066666665</v>
      </c>
      <c r="Q56" s="8">
        <f t="shared" si="23"/>
        <v>3.7028005266666661</v>
      </c>
      <c r="R56" s="8">
        <f t="shared" si="23"/>
        <v>3.6933273200000003</v>
      </c>
      <c r="S56" s="8">
        <f t="shared" si="23"/>
        <v>3.6872050133333336</v>
      </c>
      <c r="T56" s="8">
        <f t="shared" si="23"/>
        <v>3.6832461333333333</v>
      </c>
      <c r="U56" s="8">
        <f t="shared" si="23"/>
        <v>3.6802631199999998</v>
      </c>
      <c r="V56" s="8">
        <f t="shared" si="23"/>
        <v>3.6772711400000007</v>
      </c>
      <c r="W56" s="8">
        <f t="shared" si="23"/>
        <v>3.6740797733333328</v>
      </c>
      <c r="X56" s="8">
        <f t="shared" si="23"/>
        <v>3.670694066666667</v>
      </c>
      <c r="Y56" s="8">
        <f t="shared" si="23"/>
        <v>3.6671191733333335</v>
      </c>
      <c r="Z56" s="8">
        <f t="shared" si="23"/>
        <v>3.6633601733333325</v>
      </c>
      <c r="AA56" s="8">
        <f t="shared" si="23"/>
        <v>3.6594222200000006</v>
      </c>
      <c r="AB56" s="8">
        <f t="shared" si="23"/>
        <v>3.6553149533333329</v>
      </c>
      <c r="AC56" s="8">
        <f t="shared" si="23"/>
        <v>3.6510663866666673</v>
      </c>
      <c r="AD56" s="8">
        <f t="shared" si="23"/>
        <v>3.6467092133333328</v>
      </c>
      <c r="AE56" s="8">
        <f t="shared" si="23"/>
        <v>3.6422761000000006</v>
      </c>
      <c r="AF56" s="8">
        <f t="shared" si="23"/>
        <v>3.6377996933333332</v>
      </c>
      <c r="AG56" s="8">
        <f t="shared" si="23"/>
        <v>3.6333126933333331</v>
      </c>
      <c r="AH56" s="8">
        <f t="shared" si="23"/>
        <v>3.6288477533333334</v>
      </c>
      <c r="AI56" s="8">
        <f t="shared" si="23"/>
        <v>3.6244375266666666</v>
      </c>
      <c r="AJ56" s="8">
        <f t="shared" si="23"/>
        <v>3.6201147000000002</v>
      </c>
      <c r="AK56" s="8">
        <f t="shared" si="23"/>
        <v>3.6159119399999997</v>
      </c>
      <c r="AL56" s="8">
        <f t="shared" si="23"/>
        <v>3.611861906666666</v>
      </c>
      <c r="AM56" s="8">
        <f t="shared" si="23"/>
        <v>3.607997273333333</v>
      </c>
      <c r="AN56" s="8">
        <f t="shared" si="23"/>
        <v>3.6043471133333331</v>
      </c>
      <c r="AO56" s="8">
        <f t="shared" si="23"/>
        <v>3.6009244533333336</v>
      </c>
      <c r="AP56" s="8">
        <f t="shared" si="23"/>
        <v>3.5977378066666668</v>
      </c>
      <c r="AQ56" s="8">
        <f t="shared" si="23"/>
        <v>3.5947957200000005</v>
      </c>
      <c r="AR56" s="8">
        <f t="shared" si="23"/>
        <v>3.5921066933333337</v>
      </c>
      <c r="AS56" s="8">
        <f t="shared" si="23"/>
        <v>3.5896792533333328</v>
      </c>
      <c r="AT56" s="8">
        <f t="shared" si="23"/>
        <v>3.5875218999999992</v>
      </c>
      <c r="AU56" s="8">
        <f t="shared" si="23"/>
        <v>3.5856431866666667</v>
      </c>
      <c r="AV56" s="8">
        <f t="shared" si="23"/>
        <v>3.5840516066666672</v>
      </c>
      <c r="AW56" s="8">
        <f t="shared" si="23"/>
        <v>3.5827556933333331</v>
      </c>
      <c r="AX56" s="8">
        <f t="shared" si="23"/>
        <v>3.5817639666666663</v>
      </c>
      <c r="AY56" s="8">
        <f t="shared" si="23"/>
        <v>3.5810849599999997</v>
      </c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8" spans="2:62" x14ac:dyDescent="0.35">
      <c r="B58" s="9" t="s">
        <v>376</v>
      </c>
    </row>
    <row r="59" spans="2:62" x14ac:dyDescent="0.35">
      <c r="C59">
        <f>C55</f>
        <v>202404</v>
      </c>
      <c r="D59">
        <f>IF(RIGHT(C59)="4",C59+97,C59+1)</f>
        <v>202501</v>
      </c>
      <c r="E59">
        <f t="shared" ref="E59:S59" si="24">IF(RIGHT(D59)="4",D59+97,D59+1)</f>
        <v>202502</v>
      </c>
      <c r="F59">
        <f t="shared" si="24"/>
        <v>202503</v>
      </c>
      <c r="G59">
        <f t="shared" si="24"/>
        <v>202504</v>
      </c>
      <c r="H59">
        <f t="shared" si="24"/>
        <v>202601</v>
      </c>
      <c r="I59">
        <f t="shared" si="24"/>
        <v>202602</v>
      </c>
      <c r="J59">
        <f t="shared" si="24"/>
        <v>202603</v>
      </c>
      <c r="K59">
        <f t="shared" si="24"/>
        <v>202604</v>
      </c>
      <c r="L59">
        <f t="shared" si="24"/>
        <v>202701</v>
      </c>
      <c r="M59">
        <f t="shared" si="24"/>
        <v>202702</v>
      </c>
      <c r="N59">
        <f t="shared" si="24"/>
        <v>202703</v>
      </c>
      <c r="O59">
        <f t="shared" si="24"/>
        <v>202704</v>
      </c>
      <c r="P59">
        <f t="shared" si="24"/>
        <v>202801</v>
      </c>
      <c r="Q59">
        <f t="shared" si="24"/>
        <v>202802</v>
      </c>
      <c r="R59">
        <f t="shared" si="24"/>
        <v>202803</v>
      </c>
      <c r="S59">
        <f t="shared" si="24"/>
        <v>202804</v>
      </c>
    </row>
    <row r="60" spans="2:62" x14ac:dyDescent="0.35">
      <c r="B60" t="str">
        <f>B1</f>
        <v>November MPR</v>
      </c>
      <c r="C60" s="8">
        <f t="shared" ref="C60:S60" si="25">AVERAGEIF($C$55:$AY$55,C59,$C$56:$AY$56)</f>
        <v>4.7802035777777787</v>
      </c>
      <c r="D60" s="8">
        <f t="shared" si="25"/>
        <v>4.3783041822222222</v>
      </c>
      <c r="E60" s="8">
        <f t="shared" si="25"/>
        <v>4.0256297888888888</v>
      </c>
      <c r="F60" s="8">
        <f t="shared" si="25"/>
        <v>3.8084322044444447</v>
      </c>
      <c r="G60" s="8">
        <f t="shared" si="25"/>
        <v>3.7187208733333326</v>
      </c>
      <c r="H60" s="8">
        <f t="shared" si="25"/>
        <v>3.6879261555555556</v>
      </c>
      <c r="I60" s="8">
        <f t="shared" si="25"/>
        <v>3.677204677777778</v>
      </c>
      <c r="J60" s="8">
        <f t="shared" si="25"/>
        <v>3.6670578044444446</v>
      </c>
      <c r="K60" s="8">
        <f t="shared" si="25"/>
        <v>3.6552678533333336</v>
      </c>
      <c r="L60" s="8">
        <f t="shared" si="25"/>
        <v>3.6422616688888887</v>
      </c>
      <c r="M60" s="8">
        <f t="shared" si="25"/>
        <v>3.6288659911111107</v>
      </c>
      <c r="N60" s="8">
        <f t="shared" si="25"/>
        <v>3.6159628488888891</v>
      </c>
      <c r="O60" s="8">
        <f t="shared" si="25"/>
        <v>3.6044229466666664</v>
      </c>
      <c r="P60" s="8">
        <f t="shared" si="25"/>
        <v>3.5948800733333335</v>
      </c>
      <c r="Q60" s="8">
        <f t="shared" si="25"/>
        <v>3.5876147799999996</v>
      </c>
      <c r="R60" s="8">
        <f t="shared" si="25"/>
        <v>3.5828570888888884</v>
      </c>
      <c r="S60" s="8">
        <f t="shared" si="25"/>
        <v>3.5810849599999997</v>
      </c>
      <c r="T60" s="8"/>
      <c r="U60" s="8"/>
      <c r="V6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7252-85D7-4F3B-8C19-026A67214F33}">
  <dimension ref="A1:BS746"/>
  <sheetViews>
    <sheetView workbookViewId="0">
      <pane xSplit="7" ySplit="8" topLeftCell="H218" activePane="bottomRight" state="frozen"/>
      <selection pane="topRight" activeCell="B1" sqref="B1"/>
      <selection pane="bottomLeft" activeCell="A7" sqref="A7"/>
      <selection pane="bottomRight" activeCell="K231" sqref="K231"/>
    </sheetView>
  </sheetViews>
  <sheetFormatPr defaultRowHeight="14.5" x14ac:dyDescent="0.35"/>
  <cols>
    <col min="1" max="1" width="10.7265625" bestFit="1" customWidth="1"/>
    <col min="2" max="6" width="10.7265625" customWidth="1"/>
    <col min="8" max="71" width="16.7265625" customWidth="1"/>
  </cols>
  <sheetData>
    <row r="1" spans="1:71" x14ac:dyDescent="0.35">
      <c r="A1">
        <v>1</v>
      </c>
      <c r="B1">
        <f>+A1+1</f>
        <v>2</v>
      </c>
      <c r="C1">
        <f t="shared" ref="C1:F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ref="G1" si="1">+F1+1</f>
        <v>7</v>
      </c>
      <c r="H1">
        <f t="shared" ref="H1" si="2">+G1+1</f>
        <v>8</v>
      </c>
      <c r="I1">
        <f t="shared" ref="I1" si="3">+H1+1</f>
        <v>9</v>
      </c>
      <c r="J1">
        <f t="shared" ref="J1" si="4">+I1+1</f>
        <v>10</v>
      </c>
      <c r="K1">
        <f t="shared" ref="K1" si="5">+J1+1</f>
        <v>11</v>
      </c>
      <c r="L1">
        <f t="shared" ref="L1" si="6">+K1+1</f>
        <v>12</v>
      </c>
      <c r="M1">
        <f t="shared" ref="M1" si="7">+L1+1</f>
        <v>13</v>
      </c>
      <c r="N1">
        <f t="shared" ref="N1" si="8">+M1+1</f>
        <v>14</v>
      </c>
      <c r="O1">
        <f t="shared" ref="O1" si="9">+N1+1</f>
        <v>15</v>
      </c>
      <c r="P1">
        <f t="shared" ref="P1" si="10">+O1+1</f>
        <v>16</v>
      </c>
      <c r="Q1">
        <f t="shared" ref="Q1" si="11">+P1+1</f>
        <v>17</v>
      </c>
      <c r="R1">
        <f t="shared" ref="R1" si="12">+Q1+1</f>
        <v>18</v>
      </c>
      <c r="S1">
        <f t="shared" ref="S1" si="13">+R1+1</f>
        <v>19</v>
      </c>
      <c r="T1">
        <f t="shared" ref="T1" si="14">+S1+1</f>
        <v>20</v>
      </c>
      <c r="U1">
        <f t="shared" ref="U1" si="15">+T1+1</f>
        <v>21</v>
      </c>
      <c r="V1">
        <f t="shared" ref="V1" si="16">+U1+1</f>
        <v>22</v>
      </c>
      <c r="W1">
        <f t="shared" ref="W1" si="17">+V1+1</f>
        <v>23</v>
      </c>
      <c r="X1">
        <f t="shared" ref="X1" si="18">+W1+1</f>
        <v>24</v>
      </c>
      <c r="Y1">
        <f t="shared" ref="Y1" si="19">+X1+1</f>
        <v>25</v>
      </c>
      <c r="Z1">
        <f t="shared" ref="Z1" si="20">+Y1+1</f>
        <v>26</v>
      </c>
      <c r="AA1">
        <f t="shared" ref="AA1" si="21">+Z1+1</f>
        <v>27</v>
      </c>
      <c r="AB1">
        <f t="shared" ref="AB1" si="22">+AA1+1</f>
        <v>28</v>
      </c>
      <c r="AC1">
        <f t="shared" ref="AC1" si="23">+AB1+1</f>
        <v>29</v>
      </c>
      <c r="AD1">
        <f t="shared" ref="AD1" si="24">+AC1+1</f>
        <v>30</v>
      </c>
      <c r="AE1">
        <f t="shared" ref="AE1" si="25">+AD1+1</f>
        <v>31</v>
      </c>
      <c r="AF1">
        <f t="shared" ref="AF1" si="26">+AE1+1</f>
        <v>32</v>
      </c>
      <c r="AG1">
        <f t="shared" ref="AG1" si="27">+AF1+1</f>
        <v>33</v>
      </c>
      <c r="AH1">
        <f t="shared" ref="AH1" si="28">+AG1+1</f>
        <v>34</v>
      </c>
      <c r="AI1">
        <f t="shared" ref="AI1" si="29">+AH1+1</f>
        <v>35</v>
      </c>
      <c r="AJ1">
        <f t="shared" ref="AJ1" si="30">+AI1+1</f>
        <v>36</v>
      </c>
      <c r="AK1">
        <f t="shared" ref="AK1" si="31">+AJ1+1</f>
        <v>37</v>
      </c>
      <c r="AL1">
        <f t="shared" ref="AL1" si="32">+AK1+1</f>
        <v>38</v>
      </c>
      <c r="AM1">
        <f t="shared" ref="AM1" si="33">+AL1+1</f>
        <v>39</v>
      </c>
      <c r="AN1">
        <f t="shared" ref="AN1" si="34">+AM1+1</f>
        <v>40</v>
      </c>
      <c r="AO1">
        <f t="shared" ref="AO1" si="35">+AN1+1</f>
        <v>41</v>
      </c>
      <c r="AP1">
        <f t="shared" ref="AP1" si="36">+AO1+1</f>
        <v>42</v>
      </c>
      <c r="AQ1">
        <f t="shared" ref="AQ1" si="37">+AP1+1</f>
        <v>43</v>
      </c>
      <c r="AR1">
        <f t="shared" ref="AR1" si="38">+AQ1+1</f>
        <v>44</v>
      </c>
      <c r="AS1">
        <f t="shared" ref="AS1" si="39">+AR1+1</f>
        <v>45</v>
      </c>
      <c r="AT1">
        <f t="shared" ref="AT1" si="40">+AS1+1</f>
        <v>46</v>
      </c>
      <c r="AU1">
        <f t="shared" ref="AU1" si="41">+AT1+1</f>
        <v>47</v>
      </c>
      <c r="AV1">
        <f t="shared" ref="AV1" si="42">+AU1+1</f>
        <v>48</v>
      </c>
      <c r="AW1">
        <f t="shared" ref="AW1" si="43">+AV1+1</f>
        <v>49</v>
      </c>
      <c r="AX1">
        <f t="shared" ref="AX1" si="44">+AW1+1</f>
        <v>50</v>
      </c>
      <c r="AY1">
        <f t="shared" ref="AY1" si="45">+AX1+1</f>
        <v>51</v>
      </c>
      <c r="AZ1">
        <f t="shared" ref="AZ1" si="46">+AY1+1</f>
        <v>52</v>
      </c>
      <c r="BA1">
        <f t="shared" ref="BA1" si="47">+AZ1+1</f>
        <v>53</v>
      </c>
      <c r="BB1">
        <f t="shared" ref="BB1" si="48">+BA1+1</f>
        <v>54</v>
      </c>
      <c r="BC1">
        <f t="shared" ref="BC1" si="49">+BB1+1</f>
        <v>55</v>
      </c>
      <c r="BD1">
        <f t="shared" ref="BD1" si="50">+BC1+1</f>
        <v>56</v>
      </c>
      <c r="BE1">
        <f t="shared" ref="BE1" si="51">+BD1+1</f>
        <v>57</v>
      </c>
      <c r="BF1">
        <f t="shared" ref="BF1" si="52">+BE1+1</f>
        <v>58</v>
      </c>
      <c r="BG1">
        <f t="shared" ref="BG1" si="53">+BF1+1</f>
        <v>59</v>
      </c>
      <c r="BH1">
        <f t="shared" ref="BH1" si="54">+BG1+1</f>
        <v>60</v>
      </c>
      <c r="BI1">
        <f t="shared" ref="BI1" si="55">+BH1+1</f>
        <v>61</v>
      </c>
      <c r="BJ1">
        <f t="shared" ref="BJ1" si="56">+BI1+1</f>
        <v>62</v>
      </c>
      <c r="BK1">
        <f t="shared" ref="BK1" si="57">+BJ1+1</f>
        <v>63</v>
      </c>
      <c r="BL1">
        <f t="shared" ref="BL1" si="58">+BK1+1</f>
        <v>64</v>
      </c>
      <c r="BM1">
        <f t="shared" ref="BM1" si="59">+BL1+1</f>
        <v>65</v>
      </c>
      <c r="BN1">
        <f t="shared" ref="BN1" si="60">+BM1+1</f>
        <v>66</v>
      </c>
      <c r="BO1">
        <f t="shared" ref="BO1" si="61">+BN1+1</f>
        <v>67</v>
      </c>
      <c r="BP1">
        <f t="shared" ref="BP1" si="62">+BO1+1</f>
        <v>68</v>
      </c>
      <c r="BQ1">
        <f t="shared" ref="BQ1" si="63">+BP1+1</f>
        <v>69</v>
      </c>
      <c r="BR1">
        <f t="shared" ref="BR1" si="64">+BQ1+1</f>
        <v>70</v>
      </c>
      <c r="BS1">
        <f t="shared" ref="BS1" si="65">+BR1+1</f>
        <v>71</v>
      </c>
    </row>
    <row r="2" spans="1:71" x14ac:dyDescent="0.35">
      <c r="A2" t="s">
        <v>379</v>
      </c>
      <c r="B2" t="s">
        <v>371</v>
      </c>
      <c r="C2" t="s">
        <v>372</v>
      </c>
      <c r="D2" t="s">
        <v>373</v>
      </c>
      <c r="E2" t="s">
        <v>374</v>
      </c>
      <c r="F2" t="s">
        <v>375</v>
      </c>
      <c r="G2" s="1" t="s">
        <v>64</v>
      </c>
      <c r="H2" t="s">
        <v>380</v>
      </c>
      <c r="I2" t="s">
        <v>381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382</v>
      </c>
      <c r="BS2" t="s">
        <v>383</v>
      </c>
    </row>
    <row r="3" spans="1:71" x14ac:dyDescent="0.35">
      <c r="G3" s="1"/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t="s">
        <v>19</v>
      </c>
      <c r="AB3" t="s">
        <v>20</v>
      </c>
      <c r="AC3" t="s">
        <v>21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37</v>
      </c>
      <c r="AT3" t="s">
        <v>38</v>
      </c>
      <c r="AU3" t="s">
        <v>39</v>
      </c>
      <c r="AV3" t="s">
        <v>40</v>
      </c>
      <c r="AW3" t="s">
        <v>41</v>
      </c>
      <c r="AX3" t="s">
        <v>42</v>
      </c>
      <c r="AY3" t="s">
        <v>43</v>
      </c>
      <c r="AZ3" t="s">
        <v>44</v>
      </c>
      <c r="BA3" t="s">
        <v>45</v>
      </c>
      <c r="BB3" t="s">
        <v>46</v>
      </c>
      <c r="BC3" t="s">
        <v>47</v>
      </c>
      <c r="BD3" t="s">
        <v>48</v>
      </c>
      <c r="BE3" t="s">
        <v>49</v>
      </c>
      <c r="BF3" t="s">
        <v>50</v>
      </c>
      <c r="BG3" t="s">
        <v>51</v>
      </c>
      <c r="BH3" t="s">
        <v>52</v>
      </c>
      <c r="BI3" t="s">
        <v>53</v>
      </c>
      <c r="BJ3" t="s">
        <v>54</v>
      </c>
      <c r="BK3" t="s">
        <v>55</v>
      </c>
      <c r="BL3" t="s">
        <v>56</v>
      </c>
      <c r="BM3" t="s">
        <v>57</v>
      </c>
      <c r="BN3" t="s">
        <v>58</v>
      </c>
      <c r="BO3" t="s">
        <v>59</v>
      </c>
      <c r="BP3" t="s">
        <v>60</v>
      </c>
      <c r="BQ3" t="s">
        <v>61</v>
      </c>
      <c r="BR3" t="s">
        <v>62</v>
      </c>
      <c r="BS3" t="s">
        <v>63</v>
      </c>
    </row>
    <row r="4" spans="1:71" s="10" customFormat="1" ht="58" x14ac:dyDescent="0.35">
      <c r="G4" s="10" t="s">
        <v>70</v>
      </c>
      <c r="H4" s="10" t="s">
        <v>74</v>
      </c>
      <c r="I4" s="10" t="s">
        <v>78</v>
      </c>
      <c r="J4" s="10" t="s">
        <v>80</v>
      </c>
      <c r="K4" s="10" t="s">
        <v>81</v>
      </c>
      <c r="L4" s="10" t="s">
        <v>82</v>
      </c>
      <c r="M4" s="10" t="s">
        <v>83</v>
      </c>
      <c r="N4" s="10" t="s">
        <v>84</v>
      </c>
      <c r="O4" s="10" t="s">
        <v>85</v>
      </c>
      <c r="P4" s="10" t="s">
        <v>86</v>
      </c>
      <c r="Q4" s="10" t="s">
        <v>87</v>
      </c>
      <c r="R4" s="10" t="s">
        <v>88</v>
      </c>
      <c r="S4" s="10" t="s">
        <v>89</v>
      </c>
      <c r="T4" s="10" t="s">
        <v>90</v>
      </c>
      <c r="U4" s="10" t="s">
        <v>91</v>
      </c>
      <c r="V4" s="10" t="s">
        <v>92</v>
      </c>
      <c r="W4" s="10" t="s">
        <v>93</v>
      </c>
      <c r="X4" s="10" t="s">
        <v>94</v>
      </c>
      <c r="Y4" s="10" t="s">
        <v>95</v>
      </c>
      <c r="Z4" s="10" t="s">
        <v>96</v>
      </c>
      <c r="AA4" s="10" t="s">
        <v>97</v>
      </c>
      <c r="AB4" s="10" t="s">
        <v>98</v>
      </c>
      <c r="AC4" s="10" t="s">
        <v>99</v>
      </c>
      <c r="AD4" s="10" t="s">
        <v>100</v>
      </c>
      <c r="AE4" s="10" t="s">
        <v>101</v>
      </c>
      <c r="AF4" s="10" t="s">
        <v>102</v>
      </c>
      <c r="AG4" s="10" t="s">
        <v>103</v>
      </c>
      <c r="AH4" s="10" t="s">
        <v>104</v>
      </c>
      <c r="AI4" s="10" t="s">
        <v>105</v>
      </c>
      <c r="AJ4" s="10" t="s">
        <v>106</v>
      </c>
      <c r="AK4" s="10" t="s">
        <v>107</v>
      </c>
      <c r="AL4" s="10" t="s">
        <v>108</v>
      </c>
      <c r="AM4" s="10" t="s">
        <v>109</v>
      </c>
      <c r="AN4" s="10" t="s">
        <v>110</v>
      </c>
      <c r="AO4" s="10" t="s">
        <v>111</v>
      </c>
      <c r="AP4" s="10" t="s">
        <v>112</v>
      </c>
      <c r="AQ4" s="10" t="s">
        <v>113</v>
      </c>
      <c r="AR4" s="10" t="s">
        <v>114</v>
      </c>
      <c r="AS4" s="10" t="s">
        <v>115</v>
      </c>
      <c r="AT4" s="10" t="s">
        <v>116</v>
      </c>
      <c r="AU4" s="10" t="s">
        <v>117</v>
      </c>
      <c r="AV4" s="10" t="s">
        <v>118</v>
      </c>
      <c r="AW4" s="10" t="s">
        <v>119</v>
      </c>
      <c r="AX4" s="10" t="s">
        <v>120</v>
      </c>
      <c r="AY4" s="10" t="s">
        <v>121</v>
      </c>
      <c r="AZ4" s="10" t="s">
        <v>122</v>
      </c>
      <c r="BA4" s="10" t="s">
        <v>123</v>
      </c>
      <c r="BB4" s="10" t="s">
        <v>124</v>
      </c>
      <c r="BC4" s="10" t="s">
        <v>125</v>
      </c>
      <c r="BD4" s="10" t="s">
        <v>126</v>
      </c>
      <c r="BE4" s="10" t="s">
        <v>127</v>
      </c>
      <c r="BF4" s="10" t="s">
        <v>128</v>
      </c>
      <c r="BG4" s="10" t="s">
        <v>129</v>
      </c>
      <c r="BH4" s="10" t="s">
        <v>130</v>
      </c>
      <c r="BI4" s="10" t="s">
        <v>131</v>
      </c>
      <c r="BJ4" s="10" t="s">
        <v>132</v>
      </c>
      <c r="BK4" s="10" t="s">
        <v>133</v>
      </c>
      <c r="BL4" s="10" t="s">
        <v>134</v>
      </c>
      <c r="BM4" s="10" t="s">
        <v>135</v>
      </c>
      <c r="BN4" s="10" t="s">
        <v>136</v>
      </c>
      <c r="BO4" s="10" t="s">
        <v>137</v>
      </c>
      <c r="BP4" s="10" t="s">
        <v>138</v>
      </c>
      <c r="BQ4" s="10" t="s">
        <v>139</v>
      </c>
      <c r="BR4" s="10" t="s">
        <v>141</v>
      </c>
      <c r="BS4" s="10" t="s">
        <v>142</v>
      </c>
    </row>
    <row r="5" spans="1:71" x14ac:dyDescent="0.35">
      <c r="A5" s="10"/>
      <c r="B5" s="10"/>
      <c r="C5" s="10"/>
      <c r="D5" s="10"/>
      <c r="E5" s="10"/>
      <c r="F5" s="10"/>
      <c r="G5" t="s">
        <v>69</v>
      </c>
      <c r="H5" t="s">
        <v>73</v>
      </c>
      <c r="I5" t="s">
        <v>77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140</v>
      </c>
      <c r="BS5" t="s">
        <v>140</v>
      </c>
    </row>
    <row r="6" spans="1:71" x14ac:dyDescent="0.35">
      <c r="G6" t="s">
        <v>68</v>
      </c>
      <c r="H6" t="s">
        <v>448</v>
      </c>
      <c r="I6" t="s">
        <v>76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72</v>
      </c>
      <c r="BQ6" t="s">
        <v>72</v>
      </c>
      <c r="BR6" t="s">
        <v>72</v>
      </c>
      <c r="BS6" t="s">
        <v>72</v>
      </c>
    </row>
    <row r="7" spans="1:71" x14ac:dyDescent="0.35">
      <c r="G7" t="s">
        <v>67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  <c r="N7" t="s">
        <v>71</v>
      </c>
      <c r="O7" t="s">
        <v>71</v>
      </c>
      <c r="P7" t="s">
        <v>71</v>
      </c>
      <c r="Q7" t="s">
        <v>71</v>
      </c>
      <c r="R7" t="s">
        <v>71</v>
      </c>
      <c r="S7" t="s">
        <v>71</v>
      </c>
      <c r="T7" t="s">
        <v>71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  <c r="BC7" t="s">
        <v>71</v>
      </c>
      <c r="BD7" t="s">
        <v>71</v>
      </c>
      <c r="BE7" t="s">
        <v>71</v>
      </c>
      <c r="BF7" t="s">
        <v>71</v>
      </c>
      <c r="BG7" t="s">
        <v>71</v>
      </c>
      <c r="BH7" t="s">
        <v>71</v>
      </c>
      <c r="BI7" t="s">
        <v>71</v>
      </c>
      <c r="BJ7" t="s">
        <v>71</v>
      </c>
      <c r="BK7" t="s">
        <v>71</v>
      </c>
      <c r="BL7" t="s">
        <v>71</v>
      </c>
      <c r="BM7" t="s">
        <v>71</v>
      </c>
      <c r="BN7" t="s">
        <v>71</v>
      </c>
      <c r="BO7" t="s">
        <v>71</v>
      </c>
      <c r="BP7" t="s">
        <v>71</v>
      </c>
      <c r="BQ7" t="s">
        <v>71</v>
      </c>
      <c r="BR7" t="s">
        <v>71</v>
      </c>
      <c r="BS7" t="s">
        <v>71</v>
      </c>
    </row>
    <row r="8" spans="1:71" x14ac:dyDescent="0.35">
      <c r="G8" t="s">
        <v>66</v>
      </c>
      <c r="H8" t="s">
        <v>447</v>
      </c>
      <c r="I8" t="s">
        <v>75</v>
      </c>
      <c r="J8" t="s">
        <v>450</v>
      </c>
      <c r="K8" t="s">
        <v>450</v>
      </c>
      <c r="L8" t="s">
        <v>450</v>
      </c>
      <c r="M8" t="s">
        <v>450</v>
      </c>
      <c r="N8" t="s">
        <v>450</v>
      </c>
      <c r="O8" t="s">
        <v>450</v>
      </c>
      <c r="P8" t="s">
        <v>450</v>
      </c>
      <c r="Q8" t="s">
        <v>450</v>
      </c>
      <c r="R8" t="s">
        <v>450</v>
      </c>
      <c r="S8" t="s">
        <v>450</v>
      </c>
      <c r="T8" t="s">
        <v>450</v>
      </c>
      <c r="U8" t="s">
        <v>450</v>
      </c>
      <c r="V8" t="s">
        <v>450</v>
      </c>
      <c r="W8" t="s">
        <v>450</v>
      </c>
      <c r="X8" t="s">
        <v>450</v>
      </c>
      <c r="Y8" t="s">
        <v>450</v>
      </c>
      <c r="Z8" t="s">
        <v>450</v>
      </c>
      <c r="AA8" t="s">
        <v>450</v>
      </c>
      <c r="AB8" t="s">
        <v>450</v>
      </c>
      <c r="AC8" t="s">
        <v>450</v>
      </c>
      <c r="AD8" t="s">
        <v>450</v>
      </c>
      <c r="AE8" t="s">
        <v>450</v>
      </c>
      <c r="AF8" t="s">
        <v>450</v>
      </c>
      <c r="AG8" t="s">
        <v>450</v>
      </c>
      <c r="AH8" t="s">
        <v>450</v>
      </c>
      <c r="AI8" t="s">
        <v>450</v>
      </c>
      <c r="AJ8" t="s">
        <v>450</v>
      </c>
      <c r="AK8" t="s">
        <v>450</v>
      </c>
      <c r="AL8" t="s">
        <v>450</v>
      </c>
      <c r="AM8" t="s">
        <v>450</v>
      </c>
      <c r="AN8" t="s">
        <v>450</v>
      </c>
      <c r="AO8" t="s">
        <v>450</v>
      </c>
      <c r="AP8" t="s">
        <v>450</v>
      </c>
      <c r="AQ8" t="s">
        <v>450</v>
      </c>
      <c r="AR8" t="s">
        <v>450</v>
      </c>
      <c r="AS8" t="s">
        <v>450</v>
      </c>
      <c r="AT8" t="s">
        <v>450</v>
      </c>
      <c r="AU8" t="s">
        <v>450</v>
      </c>
      <c r="AV8" t="s">
        <v>450</v>
      </c>
      <c r="AW8" t="s">
        <v>450</v>
      </c>
      <c r="AX8" t="s">
        <v>450</v>
      </c>
      <c r="AY8" t="s">
        <v>450</v>
      </c>
      <c r="AZ8" t="s">
        <v>450</v>
      </c>
      <c r="BA8" t="s">
        <v>450</v>
      </c>
      <c r="BB8" t="s">
        <v>450</v>
      </c>
      <c r="BC8" t="s">
        <v>450</v>
      </c>
      <c r="BD8" t="s">
        <v>450</v>
      </c>
      <c r="BE8" t="s">
        <v>450</v>
      </c>
      <c r="BF8" t="s">
        <v>450</v>
      </c>
      <c r="BG8" t="s">
        <v>450</v>
      </c>
      <c r="BH8" t="s">
        <v>450</v>
      </c>
      <c r="BI8" t="s">
        <v>450</v>
      </c>
      <c r="BJ8" t="s">
        <v>450</v>
      </c>
      <c r="BK8" t="s">
        <v>450</v>
      </c>
      <c r="BL8" t="s">
        <v>450</v>
      </c>
      <c r="BM8" t="s">
        <v>450</v>
      </c>
      <c r="BN8" t="s">
        <v>450</v>
      </c>
      <c r="BO8" t="s">
        <v>450</v>
      </c>
      <c r="BP8" t="s">
        <v>450</v>
      </c>
      <c r="BQ8" t="s">
        <v>450</v>
      </c>
      <c r="BR8" t="s">
        <v>450</v>
      </c>
      <c r="BS8" t="s">
        <v>450</v>
      </c>
    </row>
    <row r="9" spans="1:71" x14ac:dyDescent="0.35">
      <c r="A9" s="6">
        <v>45292</v>
      </c>
      <c r="B9">
        <f>MONTH(A9)</f>
        <v>1</v>
      </c>
      <c r="C9">
        <f>YEAR(A9)</f>
        <v>2024</v>
      </c>
      <c r="D9">
        <f>C9*100+B9</f>
        <v>202401</v>
      </c>
      <c r="E9">
        <f>IF(B9&lt;4,1,IF(B9&lt;7,2,IF(B9&lt;10,3,4)))</f>
        <v>1</v>
      </c>
      <c r="F9">
        <f>C9*100+E9</f>
        <v>202401</v>
      </c>
      <c r="G9" t="s">
        <v>65</v>
      </c>
      <c r="H9" s="2">
        <v>5.25</v>
      </c>
      <c r="I9" s="2" t="e">
        <v>#N/A</v>
      </c>
      <c r="J9" s="3" t="e">
        <v>#N/A</v>
      </c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e">
        <v>#N/A</v>
      </c>
      <c r="AK9" s="3" t="e">
        <v>#N/A</v>
      </c>
      <c r="AL9" s="3" t="e">
        <v>#N/A</v>
      </c>
      <c r="AM9" s="3" t="e">
        <v>#N/A</v>
      </c>
      <c r="AN9" s="3" t="e">
        <v>#N/A</v>
      </c>
      <c r="AO9" s="3" t="e">
        <v>#N/A</v>
      </c>
      <c r="AP9" s="3" t="e">
        <v>#N/A</v>
      </c>
      <c r="AQ9" s="3" t="e">
        <v>#N/A</v>
      </c>
      <c r="AR9" s="3" t="e">
        <v>#N/A</v>
      </c>
      <c r="AS9" s="3" t="e">
        <v>#N/A</v>
      </c>
      <c r="AT9" s="3" t="e">
        <v>#N/A</v>
      </c>
      <c r="AU9" s="3" t="e">
        <v>#N/A</v>
      </c>
      <c r="AV9" s="3" t="e">
        <v>#N/A</v>
      </c>
      <c r="AW9" s="3" t="e">
        <v>#N/A</v>
      </c>
      <c r="AX9" s="3" t="e">
        <v>#N/A</v>
      </c>
      <c r="AY9" s="3" t="e">
        <v>#N/A</v>
      </c>
      <c r="AZ9" s="3" t="e">
        <v>#N/A</v>
      </c>
      <c r="BA9" s="3" t="e">
        <v>#N/A</v>
      </c>
      <c r="BB9" s="3" t="e">
        <v>#N/A</v>
      </c>
      <c r="BC9" s="3" t="e">
        <v>#N/A</v>
      </c>
      <c r="BD9" s="3" t="e">
        <v>#N/A</v>
      </c>
      <c r="BE9" s="3" t="e">
        <v>#N/A</v>
      </c>
      <c r="BF9" s="3" t="e">
        <v>#N/A</v>
      </c>
      <c r="BG9" s="3" t="e">
        <v>#N/A</v>
      </c>
      <c r="BH9" s="3" t="e">
        <v>#N/A</v>
      </c>
      <c r="BI9" s="3" t="e">
        <v>#N/A</v>
      </c>
      <c r="BJ9" s="3" t="e">
        <v>#N/A</v>
      </c>
      <c r="BK9" s="3" t="e">
        <v>#N/A</v>
      </c>
      <c r="BL9" s="3" t="e">
        <v>#N/A</v>
      </c>
      <c r="BM9" s="3" t="e">
        <v>#N/A</v>
      </c>
      <c r="BN9" s="3" t="e">
        <v>#N/A</v>
      </c>
      <c r="BO9" s="3" t="e">
        <v>#N/A</v>
      </c>
      <c r="BP9" s="3" t="e">
        <v>#N/A</v>
      </c>
      <c r="BQ9" s="3" t="e">
        <v>#N/A</v>
      </c>
      <c r="BR9" s="3" t="e">
        <v>#N/A</v>
      </c>
      <c r="BS9" s="3" t="e">
        <v>#N/A</v>
      </c>
    </row>
    <row r="10" spans="1:71" x14ac:dyDescent="0.35">
      <c r="A10" s="6">
        <v>45293</v>
      </c>
      <c r="B10">
        <f>MONTH(A10)</f>
        <v>1</v>
      </c>
      <c r="C10">
        <f>YEAR(A10)</f>
        <v>2024</v>
      </c>
      <c r="D10">
        <f>C10*100+B10</f>
        <v>202401</v>
      </c>
      <c r="E10">
        <f>IF(B10&lt;4,1,IF(B10&lt;7,2,IF(B10&lt;10,3,4)))</f>
        <v>1</v>
      </c>
      <c r="F10">
        <f>C10*100+E10</f>
        <v>202401</v>
      </c>
      <c r="G10" t="s">
        <v>143</v>
      </c>
      <c r="H10" s="2">
        <v>5.25</v>
      </c>
      <c r="I10" s="2">
        <v>5.1863000000000001</v>
      </c>
      <c r="J10" s="3">
        <v>5.1869458000000002</v>
      </c>
      <c r="K10" s="3">
        <v>5.1737152000000002</v>
      </c>
      <c r="L10" s="3">
        <v>5.1274641000000001</v>
      </c>
      <c r="M10" s="3">
        <v>5.0330693000000002</v>
      </c>
      <c r="N10" s="3">
        <v>4.8948083999999996</v>
      </c>
      <c r="O10" s="3">
        <v>4.7267552000000004</v>
      </c>
      <c r="P10" s="3">
        <v>4.5455904</v>
      </c>
      <c r="Q10" s="3">
        <v>4.3673209000000002</v>
      </c>
      <c r="R10" s="3">
        <v>4.2024467000000003</v>
      </c>
      <c r="S10" s="3">
        <v>4.0550731000000004</v>
      </c>
      <c r="T10" s="3">
        <v>3.9257072000000002</v>
      </c>
      <c r="U10" s="3">
        <v>3.8133507</v>
      </c>
      <c r="V10" s="3">
        <v>3.7135649000000002</v>
      </c>
      <c r="W10" s="3">
        <v>3.6243989000000001</v>
      </c>
      <c r="X10" s="3">
        <v>3.5449014999999999</v>
      </c>
      <c r="Y10" s="3">
        <v>3.4741183000000002</v>
      </c>
      <c r="Z10" s="3">
        <v>3.4110950999999998</v>
      </c>
      <c r="AA10" s="3">
        <v>3.3548802000000002</v>
      </c>
      <c r="AB10" s="3">
        <v>3.3045933000000001</v>
      </c>
      <c r="AC10" s="3">
        <v>3.2596362000000001</v>
      </c>
      <c r="AD10" s="3">
        <v>3.2194791</v>
      </c>
      <c r="AE10" s="3">
        <v>3.1835906</v>
      </c>
      <c r="AF10" s="3">
        <v>3.1514395999999998</v>
      </c>
      <c r="AG10" s="3">
        <v>3.1224959999999999</v>
      </c>
      <c r="AH10" s="3">
        <v>3.0962854000000002</v>
      </c>
      <c r="AI10" s="3">
        <v>3.0725845000000001</v>
      </c>
      <c r="AJ10" s="3">
        <v>3.0512400999999998</v>
      </c>
      <c r="AK10" s="3">
        <v>3.0320982000000001</v>
      </c>
      <c r="AL10" s="3">
        <v>3.0150047999999998</v>
      </c>
      <c r="AM10" s="3">
        <v>2.9998064000000002</v>
      </c>
      <c r="AN10" s="3">
        <v>2.9863491</v>
      </c>
      <c r="AO10" s="3">
        <v>2.9744790000000001</v>
      </c>
      <c r="AP10" s="3">
        <v>2.9640426</v>
      </c>
      <c r="AQ10" s="3">
        <v>2.9548858999999998</v>
      </c>
      <c r="AR10" s="3">
        <v>2.9468551000000001</v>
      </c>
      <c r="AS10" s="3">
        <v>2.9397964999999999</v>
      </c>
      <c r="AT10" s="3">
        <v>2.9335732999999999</v>
      </c>
      <c r="AU10" s="3">
        <v>2.9281397</v>
      </c>
      <c r="AV10" s="3">
        <v>2.9234808999999999</v>
      </c>
      <c r="AW10" s="3">
        <v>2.9195818</v>
      </c>
      <c r="AX10" s="3">
        <v>2.9164273000000001</v>
      </c>
      <c r="AY10" s="3">
        <v>2.9140025999999999</v>
      </c>
      <c r="AZ10" s="3">
        <v>2.9122925</v>
      </c>
      <c r="BA10" s="3">
        <v>2.9112821000000002</v>
      </c>
      <c r="BB10" s="3">
        <v>2.9109563999999999</v>
      </c>
      <c r="BC10" s="3">
        <v>2.9113003000000002</v>
      </c>
      <c r="BD10" s="3">
        <v>2.912299</v>
      </c>
      <c r="BE10" s="3">
        <v>2.9139373000000002</v>
      </c>
      <c r="BF10" s="3">
        <v>2.9161996000000001</v>
      </c>
      <c r="BG10" s="3">
        <v>2.9190670000000001</v>
      </c>
      <c r="BH10" s="3">
        <v>2.9225194999999999</v>
      </c>
      <c r="BI10" s="3">
        <v>2.9265371</v>
      </c>
      <c r="BJ10" s="3">
        <v>2.9310996999999999</v>
      </c>
      <c r="BK10" s="3">
        <v>2.9361872</v>
      </c>
      <c r="BL10" s="3">
        <v>2.9417797000000001</v>
      </c>
      <c r="BM10" s="3">
        <v>2.9478570999999998</v>
      </c>
      <c r="BN10" s="3">
        <v>2.9543993999999998</v>
      </c>
      <c r="BO10" s="3">
        <v>2.9613863999999999</v>
      </c>
      <c r="BP10" s="3">
        <v>2.9687983999999998</v>
      </c>
      <c r="BQ10" s="3">
        <v>2.9766149999999998</v>
      </c>
      <c r="BR10" s="3">
        <v>3.0309689999999998</v>
      </c>
      <c r="BS10" s="3">
        <v>3.0953135999999999</v>
      </c>
    </row>
    <row r="11" spans="1:71" x14ac:dyDescent="0.35">
      <c r="A11" s="6">
        <v>45294</v>
      </c>
      <c r="B11">
        <f t="shared" ref="B11:B74" si="66">MONTH(A11)</f>
        <v>1</v>
      </c>
      <c r="C11">
        <f t="shared" ref="C11:C74" si="67">YEAR(A11)</f>
        <v>2024</v>
      </c>
      <c r="D11">
        <f t="shared" ref="D11:D74" si="68">C11*100+B11</f>
        <v>202401</v>
      </c>
      <c r="E11">
        <f t="shared" ref="E11:E74" si="69">IF(B11&lt;4,1,IF(B11&lt;7,2,IF(B11&lt;10,3,4)))</f>
        <v>1</v>
      </c>
      <c r="F11">
        <f t="shared" ref="F11:F74" si="70">C11*100+E11</f>
        <v>202401</v>
      </c>
      <c r="G11" t="s">
        <v>144</v>
      </c>
      <c r="H11" s="2">
        <v>5.25</v>
      </c>
      <c r="I11" s="2">
        <v>5.1863000000000001</v>
      </c>
      <c r="J11" s="3">
        <v>5.1879346000000002</v>
      </c>
      <c r="K11" s="3">
        <v>5.1698623000000001</v>
      </c>
      <c r="L11" s="3">
        <v>5.1217679</v>
      </c>
      <c r="M11" s="3">
        <v>5.0292523999999998</v>
      </c>
      <c r="N11" s="3">
        <v>4.8955915000000001</v>
      </c>
      <c r="O11" s="3">
        <v>4.7327474</v>
      </c>
      <c r="P11" s="3">
        <v>4.5561572999999997</v>
      </c>
      <c r="Q11" s="3">
        <v>4.3801250999999999</v>
      </c>
      <c r="R11" s="3">
        <v>4.2145865999999996</v>
      </c>
      <c r="S11" s="3">
        <v>4.0638513999999999</v>
      </c>
      <c r="T11" s="3">
        <v>3.9292761</v>
      </c>
      <c r="U11" s="3">
        <v>3.8103908999999998</v>
      </c>
      <c r="V11" s="3">
        <v>3.7037410999999998</v>
      </c>
      <c r="W11" s="3">
        <v>3.6077142000000002</v>
      </c>
      <c r="X11" s="3">
        <v>3.5214569999999998</v>
      </c>
      <c r="Y11" s="3">
        <v>3.4441131</v>
      </c>
      <c r="Z11" s="3">
        <v>3.3748263000000001</v>
      </c>
      <c r="AA11" s="3">
        <v>3.3127428999999999</v>
      </c>
      <c r="AB11" s="3">
        <v>3.2570771000000001</v>
      </c>
      <c r="AC11" s="3">
        <v>3.2073119000000001</v>
      </c>
      <c r="AD11" s="3">
        <v>3.1629961</v>
      </c>
      <c r="AE11" s="3">
        <v>3.1236763999999999</v>
      </c>
      <c r="AF11" s="3">
        <v>3.0889000000000002</v>
      </c>
      <c r="AG11" s="3">
        <v>3.0582151</v>
      </c>
      <c r="AH11" s="3">
        <v>3.0311935000000001</v>
      </c>
      <c r="AI11" s="3">
        <v>3.0075392999999999</v>
      </c>
      <c r="AJ11" s="3">
        <v>2.9870022000000001</v>
      </c>
      <c r="AK11" s="3">
        <v>2.9693309999999999</v>
      </c>
      <c r="AL11" s="3">
        <v>2.9542744999999999</v>
      </c>
      <c r="AM11" s="3">
        <v>2.9415821000000002</v>
      </c>
      <c r="AN11" s="3">
        <v>2.9310025999999998</v>
      </c>
      <c r="AO11" s="3">
        <v>2.9222850999999999</v>
      </c>
      <c r="AP11" s="3">
        <v>2.9151788000000001</v>
      </c>
      <c r="AQ11" s="3">
        <v>2.9094326000000001</v>
      </c>
      <c r="AR11" s="3">
        <v>2.9047955000000001</v>
      </c>
      <c r="AS11" s="3">
        <v>2.9010166000000002</v>
      </c>
      <c r="AT11" s="3">
        <v>2.8978771000000001</v>
      </c>
      <c r="AU11" s="3">
        <v>2.8953139999999999</v>
      </c>
      <c r="AV11" s="3">
        <v>2.8933122</v>
      </c>
      <c r="AW11" s="3">
        <v>2.8918564</v>
      </c>
      <c r="AX11" s="3">
        <v>2.8909313999999999</v>
      </c>
      <c r="AY11" s="3">
        <v>2.8905219</v>
      </c>
      <c r="AZ11" s="3">
        <v>2.8906127000000001</v>
      </c>
      <c r="BA11" s="3">
        <v>2.8911885000000002</v>
      </c>
      <c r="BB11" s="3">
        <v>2.8922341</v>
      </c>
      <c r="BC11" s="3">
        <v>2.8937341999999999</v>
      </c>
      <c r="BD11" s="3">
        <v>2.8956737000000001</v>
      </c>
      <c r="BE11" s="3">
        <v>2.8980372000000001</v>
      </c>
      <c r="BF11" s="3">
        <v>2.9008110999999999</v>
      </c>
      <c r="BG11" s="3">
        <v>2.9039899</v>
      </c>
      <c r="BH11" s="3">
        <v>2.9075703000000002</v>
      </c>
      <c r="BI11" s="3">
        <v>2.9115490999999998</v>
      </c>
      <c r="BJ11" s="3">
        <v>2.9159234000000001</v>
      </c>
      <c r="BK11" s="3">
        <v>2.9206896000000002</v>
      </c>
      <c r="BL11" s="3">
        <v>2.9258448000000001</v>
      </c>
      <c r="BM11" s="3">
        <v>2.9313858000000002</v>
      </c>
      <c r="BN11" s="3">
        <v>2.9373092999999999</v>
      </c>
      <c r="BO11" s="3">
        <v>2.9436122</v>
      </c>
      <c r="BP11" s="3">
        <v>2.9502913999999998</v>
      </c>
      <c r="BQ11" s="3">
        <v>2.9573434999999999</v>
      </c>
      <c r="BR11" s="3">
        <v>3.0068421000000001</v>
      </c>
      <c r="BS11" s="3">
        <v>3.0660859999999999</v>
      </c>
    </row>
    <row r="12" spans="1:71" x14ac:dyDescent="0.35">
      <c r="A12" s="6">
        <v>45295</v>
      </c>
      <c r="B12">
        <f t="shared" si="66"/>
        <v>1</v>
      </c>
      <c r="C12">
        <f t="shared" si="67"/>
        <v>2024</v>
      </c>
      <c r="D12">
        <f t="shared" si="68"/>
        <v>202401</v>
      </c>
      <c r="E12">
        <f t="shared" si="69"/>
        <v>1</v>
      </c>
      <c r="F12">
        <f t="shared" si="70"/>
        <v>202401</v>
      </c>
      <c r="G12" t="s">
        <v>145</v>
      </c>
      <c r="H12" s="2">
        <v>5.25</v>
      </c>
      <c r="I12" s="2">
        <v>5.1870000000000003</v>
      </c>
      <c r="J12" s="3">
        <v>5.1847630999999996</v>
      </c>
      <c r="K12" s="3">
        <v>5.1706678000000004</v>
      </c>
      <c r="L12" s="3">
        <v>5.1289198999999996</v>
      </c>
      <c r="M12" s="3">
        <v>5.0490297999999996</v>
      </c>
      <c r="N12" s="3">
        <v>4.9325416000000004</v>
      </c>
      <c r="O12" s="3">
        <v>4.7903403999999998</v>
      </c>
      <c r="P12" s="3">
        <v>4.6344699</v>
      </c>
      <c r="Q12" s="3">
        <v>4.4767792000000002</v>
      </c>
      <c r="R12" s="3">
        <v>4.3259129999999999</v>
      </c>
      <c r="S12" s="3">
        <v>4.1861157999999996</v>
      </c>
      <c r="T12" s="3">
        <v>4.0594066</v>
      </c>
      <c r="U12" s="3">
        <v>3.9458215999999999</v>
      </c>
      <c r="V12" s="3">
        <v>3.8430555000000002</v>
      </c>
      <c r="W12" s="3">
        <v>3.7499595999999999</v>
      </c>
      <c r="X12" s="3">
        <v>3.6659828999999999</v>
      </c>
      <c r="Y12" s="3">
        <v>3.5905711999999999</v>
      </c>
      <c r="Z12" s="3">
        <v>3.5231710999999999</v>
      </c>
      <c r="AA12" s="3">
        <v>3.4632312000000001</v>
      </c>
      <c r="AB12" s="3">
        <v>3.4101861000000002</v>
      </c>
      <c r="AC12" s="3">
        <v>3.3634252999999998</v>
      </c>
      <c r="AD12" s="3">
        <v>3.3223291000000001</v>
      </c>
      <c r="AE12" s="3">
        <v>3.2862764000000002</v>
      </c>
      <c r="AF12" s="3">
        <v>3.2546461</v>
      </c>
      <c r="AG12" s="3">
        <v>3.2268181999999999</v>
      </c>
      <c r="AH12" s="3">
        <v>3.2022270000000002</v>
      </c>
      <c r="AI12" s="3">
        <v>3.1805764000000001</v>
      </c>
      <c r="AJ12" s="3">
        <v>3.1616533000000002</v>
      </c>
      <c r="AK12" s="3">
        <v>3.1452434</v>
      </c>
      <c r="AL12" s="3">
        <v>3.1311331</v>
      </c>
      <c r="AM12" s="3">
        <v>3.1191087999999998</v>
      </c>
      <c r="AN12" s="3">
        <v>3.1089566</v>
      </c>
      <c r="AO12" s="3">
        <v>3.1004627</v>
      </c>
      <c r="AP12" s="3">
        <v>3.0934135</v>
      </c>
      <c r="AQ12" s="3">
        <v>3.0875952</v>
      </c>
      <c r="AR12" s="3">
        <v>3.0827939999999998</v>
      </c>
      <c r="AS12" s="3">
        <v>3.0787962000000002</v>
      </c>
      <c r="AT12" s="3">
        <v>3.0754177999999999</v>
      </c>
      <c r="AU12" s="3">
        <v>3.0726057</v>
      </c>
      <c r="AV12" s="3">
        <v>3.0703431000000001</v>
      </c>
      <c r="AW12" s="3">
        <v>3.0686133</v>
      </c>
      <c r="AX12" s="3">
        <v>3.0673992999999999</v>
      </c>
      <c r="AY12" s="3">
        <v>3.0666845</v>
      </c>
      <c r="AZ12" s="3">
        <v>3.066452</v>
      </c>
      <c r="BA12" s="3">
        <v>3.0666848999999998</v>
      </c>
      <c r="BB12" s="3">
        <v>3.0673664999999999</v>
      </c>
      <c r="BC12" s="3">
        <v>3.0684798999999998</v>
      </c>
      <c r="BD12" s="3">
        <v>3.0700083</v>
      </c>
      <c r="BE12" s="3">
        <v>3.0719349999999999</v>
      </c>
      <c r="BF12" s="3">
        <v>3.0742444999999998</v>
      </c>
      <c r="BG12" s="3">
        <v>3.0769278999999998</v>
      </c>
      <c r="BH12" s="3">
        <v>3.0799780999999999</v>
      </c>
      <c r="BI12" s="3">
        <v>3.0833879999999998</v>
      </c>
      <c r="BJ12" s="3">
        <v>3.0871504999999999</v>
      </c>
      <c r="BK12" s="3">
        <v>3.0912582999999998</v>
      </c>
      <c r="BL12" s="3">
        <v>3.0957043</v>
      </c>
      <c r="BM12" s="3">
        <v>3.1004814000000001</v>
      </c>
      <c r="BN12" s="3">
        <v>3.1055825000000001</v>
      </c>
      <c r="BO12" s="3">
        <v>3.1110004</v>
      </c>
      <c r="BP12" s="3">
        <v>3.1167281</v>
      </c>
      <c r="BQ12" s="3">
        <v>3.1227581999999998</v>
      </c>
      <c r="BR12" s="3">
        <v>3.1648269999999998</v>
      </c>
      <c r="BS12" s="3">
        <v>3.2155847999999998</v>
      </c>
    </row>
    <row r="13" spans="1:71" x14ac:dyDescent="0.35">
      <c r="A13" s="6">
        <v>45296</v>
      </c>
      <c r="B13">
        <f t="shared" si="66"/>
        <v>1</v>
      </c>
      <c r="C13">
        <f t="shared" si="67"/>
        <v>2024</v>
      </c>
      <c r="D13">
        <f t="shared" si="68"/>
        <v>202401</v>
      </c>
      <c r="E13">
        <f t="shared" si="69"/>
        <v>1</v>
      </c>
      <c r="F13">
        <f t="shared" si="70"/>
        <v>202401</v>
      </c>
      <c r="G13" t="s">
        <v>146</v>
      </c>
      <c r="H13" s="2">
        <v>5.25</v>
      </c>
      <c r="I13" s="2">
        <v>5.1868999999999996</v>
      </c>
      <c r="J13" s="3">
        <v>5.1873271000000001</v>
      </c>
      <c r="K13" s="3">
        <v>5.1720791999999998</v>
      </c>
      <c r="L13" s="3">
        <v>5.1334346999999996</v>
      </c>
      <c r="M13" s="3">
        <v>5.0598045000000003</v>
      </c>
      <c r="N13" s="3">
        <v>4.9517376000000004</v>
      </c>
      <c r="O13" s="3">
        <v>4.8187670000000002</v>
      </c>
      <c r="P13" s="3">
        <v>4.6723584999999996</v>
      </c>
      <c r="Q13" s="3">
        <v>4.5243145</v>
      </c>
      <c r="R13" s="3">
        <v>4.3831626999999997</v>
      </c>
      <c r="S13" s="3">
        <v>4.2534108000000002</v>
      </c>
      <c r="T13" s="3">
        <v>4.1364166999999998</v>
      </c>
      <c r="U13" s="3">
        <v>4.0318582999999997</v>
      </c>
      <c r="V13" s="3">
        <v>3.9368302000000002</v>
      </c>
      <c r="W13" s="3">
        <v>3.8500800000000002</v>
      </c>
      <c r="X13" s="3">
        <v>3.7711019000000001</v>
      </c>
      <c r="Y13" s="3">
        <v>3.6993871</v>
      </c>
      <c r="Z13" s="3">
        <v>3.6344272000000002</v>
      </c>
      <c r="AA13" s="3">
        <v>3.5757159000000001</v>
      </c>
      <c r="AB13" s="3">
        <v>3.5227607999999999</v>
      </c>
      <c r="AC13" s="3">
        <v>3.4751452</v>
      </c>
      <c r="AD13" s="3">
        <v>3.4324758000000002</v>
      </c>
      <c r="AE13" s="3">
        <v>3.3943576000000002</v>
      </c>
      <c r="AF13" s="3">
        <v>3.3603955999999999</v>
      </c>
      <c r="AG13" s="3">
        <v>3.3301962999999999</v>
      </c>
      <c r="AH13" s="3">
        <v>3.3033904999999999</v>
      </c>
      <c r="AI13" s="3">
        <v>3.2797228</v>
      </c>
      <c r="AJ13" s="3">
        <v>3.2589695999999999</v>
      </c>
      <c r="AK13" s="3">
        <v>3.2409067999999999</v>
      </c>
      <c r="AL13" s="3">
        <v>3.2253104000000001</v>
      </c>
      <c r="AM13" s="3">
        <v>3.2119566000000002</v>
      </c>
      <c r="AN13" s="3">
        <v>3.2006214000000002</v>
      </c>
      <c r="AO13" s="3">
        <v>3.1910807999999999</v>
      </c>
      <c r="AP13" s="3">
        <v>3.1831111000000001</v>
      </c>
      <c r="AQ13" s="3">
        <v>3.1764880999999998</v>
      </c>
      <c r="AR13" s="3">
        <v>3.1709879000000001</v>
      </c>
      <c r="AS13" s="3">
        <v>3.1663868000000002</v>
      </c>
      <c r="AT13" s="3">
        <v>3.1624897999999999</v>
      </c>
      <c r="AU13" s="3">
        <v>3.1592315000000002</v>
      </c>
      <c r="AV13" s="3">
        <v>3.1565820000000002</v>
      </c>
      <c r="AW13" s="3">
        <v>3.1545114000000001</v>
      </c>
      <c r="AX13" s="3">
        <v>3.1529896000000002</v>
      </c>
      <c r="AY13" s="3">
        <v>3.1519868999999998</v>
      </c>
      <c r="AZ13" s="3">
        <v>3.1514731999999999</v>
      </c>
      <c r="BA13" s="3">
        <v>3.1514186</v>
      </c>
      <c r="BB13" s="3">
        <v>3.1517933</v>
      </c>
      <c r="BC13" s="3">
        <v>3.1525672</v>
      </c>
      <c r="BD13" s="3">
        <v>3.1537104999999999</v>
      </c>
      <c r="BE13" s="3">
        <v>3.1551931999999998</v>
      </c>
      <c r="BF13" s="3">
        <v>3.1569896000000002</v>
      </c>
      <c r="BG13" s="3">
        <v>3.1590924</v>
      </c>
      <c r="BH13" s="3">
        <v>3.1614995000000001</v>
      </c>
      <c r="BI13" s="3">
        <v>3.1642087000000001</v>
      </c>
      <c r="BJ13" s="3">
        <v>3.1672178999999998</v>
      </c>
      <c r="BK13" s="3">
        <v>3.170525</v>
      </c>
      <c r="BL13" s="3">
        <v>3.1741275999999998</v>
      </c>
      <c r="BM13" s="3">
        <v>3.1780238999999999</v>
      </c>
      <c r="BN13" s="3">
        <v>3.1822113999999999</v>
      </c>
      <c r="BO13" s="3">
        <v>3.1866881999999999</v>
      </c>
      <c r="BP13" s="3">
        <v>3.191452</v>
      </c>
      <c r="BQ13" s="3">
        <v>3.1965007000000001</v>
      </c>
      <c r="BR13" s="3">
        <v>3.2325005999999998</v>
      </c>
      <c r="BS13" s="3">
        <v>3.2772655999999998</v>
      </c>
    </row>
    <row r="14" spans="1:71" x14ac:dyDescent="0.35">
      <c r="A14" s="6">
        <f>A9+7</f>
        <v>45299</v>
      </c>
      <c r="B14">
        <f t="shared" si="66"/>
        <v>1</v>
      </c>
      <c r="C14">
        <f t="shared" si="67"/>
        <v>2024</v>
      </c>
      <c r="D14">
        <f t="shared" si="68"/>
        <v>202401</v>
      </c>
      <c r="E14">
        <f t="shared" si="69"/>
        <v>1</v>
      </c>
      <c r="F14">
        <f t="shared" si="70"/>
        <v>202401</v>
      </c>
      <c r="G14" t="s">
        <v>147</v>
      </c>
      <c r="H14" s="2">
        <v>5.25</v>
      </c>
      <c r="I14" s="2">
        <v>5.1868999999999996</v>
      </c>
      <c r="J14" s="3">
        <v>5.1875371000000001</v>
      </c>
      <c r="K14" s="3">
        <v>5.1723518000000004</v>
      </c>
      <c r="L14" s="3">
        <v>5.1318123</v>
      </c>
      <c r="M14" s="3">
        <v>5.0538828000000002</v>
      </c>
      <c r="N14" s="3">
        <v>4.9407069999999997</v>
      </c>
      <c r="O14" s="3">
        <v>4.8022983000000004</v>
      </c>
      <c r="P14" s="3">
        <v>4.6506226000000002</v>
      </c>
      <c r="Q14" s="3">
        <v>4.4975445000000001</v>
      </c>
      <c r="R14" s="3">
        <v>4.3519113999999997</v>
      </c>
      <c r="S14" s="3">
        <v>4.2180825000000004</v>
      </c>
      <c r="T14" s="3">
        <v>4.0980800999999998</v>
      </c>
      <c r="U14" s="3">
        <v>3.9915984999999998</v>
      </c>
      <c r="V14" s="3">
        <v>3.8957126999999998</v>
      </c>
      <c r="W14" s="3">
        <v>3.8090535999999999</v>
      </c>
      <c r="X14" s="3">
        <v>3.7309025</v>
      </c>
      <c r="Y14" s="3">
        <v>3.6605376000000001</v>
      </c>
      <c r="Z14" s="3">
        <v>3.5972374999999999</v>
      </c>
      <c r="AA14" s="3">
        <v>3.5402832000000002</v>
      </c>
      <c r="AB14" s="3">
        <v>3.4890080000000001</v>
      </c>
      <c r="AC14" s="3">
        <v>3.4429542</v>
      </c>
      <c r="AD14" s="3">
        <v>3.4017156000000002</v>
      </c>
      <c r="AE14" s="3">
        <v>3.3648842000000001</v>
      </c>
      <c r="AF14" s="3">
        <v>3.3320520999999999</v>
      </c>
      <c r="AG14" s="3">
        <v>3.3028127999999999</v>
      </c>
      <c r="AH14" s="3">
        <v>3.2767879</v>
      </c>
      <c r="AI14" s="3">
        <v>3.2537294999999999</v>
      </c>
      <c r="AJ14" s="3">
        <v>3.2334263999999999</v>
      </c>
      <c r="AK14" s="3">
        <v>3.2156666</v>
      </c>
      <c r="AL14" s="3">
        <v>3.2002381999999998</v>
      </c>
      <c r="AM14" s="3">
        <v>3.1869299</v>
      </c>
      <c r="AN14" s="3">
        <v>3.1755298000000001</v>
      </c>
      <c r="AO14" s="3">
        <v>3.1658259000000002</v>
      </c>
      <c r="AP14" s="3">
        <v>3.1576069000000002</v>
      </c>
      <c r="AQ14" s="3">
        <v>3.1506609000000001</v>
      </c>
      <c r="AR14" s="3">
        <v>3.1447761000000001</v>
      </c>
      <c r="AS14" s="3">
        <v>3.1397409000000001</v>
      </c>
      <c r="AT14" s="3">
        <v>3.1353719999999998</v>
      </c>
      <c r="AU14" s="3">
        <v>3.1316117999999999</v>
      </c>
      <c r="AV14" s="3">
        <v>3.1284377999999999</v>
      </c>
      <c r="AW14" s="3">
        <v>3.1258268999999999</v>
      </c>
      <c r="AX14" s="3">
        <v>3.1237564999999998</v>
      </c>
      <c r="AY14" s="3">
        <v>3.1222037999999999</v>
      </c>
      <c r="AZ14" s="3">
        <v>3.1211457999999999</v>
      </c>
      <c r="BA14" s="3">
        <v>3.1205599999999998</v>
      </c>
      <c r="BB14" s="3">
        <v>3.1204234</v>
      </c>
      <c r="BC14" s="3">
        <v>3.1207132999999998</v>
      </c>
      <c r="BD14" s="3">
        <v>3.1214067999999999</v>
      </c>
      <c r="BE14" s="3">
        <v>3.1224812000000002</v>
      </c>
      <c r="BF14" s="3">
        <v>3.1239165</v>
      </c>
      <c r="BG14" s="3">
        <v>3.1257071999999999</v>
      </c>
      <c r="BH14" s="3">
        <v>3.1278529000000002</v>
      </c>
      <c r="BI14" s="3">
        <v>3.1303531000000002</v>
      </c>
      <c r="BJ14" s="3">
        <v>3.1332076</v>
      </c>
      <c r="BK14" s="3">
        <v>3.1364157000000001</v>
      </c>
      <c r="BL14" s="3">
        <v>3.139977</v>
      </c>
      <c r="BM14" s="3">
        <v>3.1438912999999999</v>
      </c>
      <c r="BN14" s="3">
        <v>3.1481579000000002</v>
      </c>
      <c r="BO14" s="3">
        <v>3.1527764999999999</v>
      </c>
      <c r="BP14" s="3">
        <v>3.1577465999999998</v>
      </c>
      <c r="BQ14" s="3">
        <v>3.1630677999999999</v>
      </c>
      <c r="BR14" s="3">
        <v>3.2019753999999998</v>
      </c>
      <c r="BS14" s="3">
        <v>3.2511538999999998</v>
      </c>
    </row>
    <row r="15" spans="1:71" x14ac:dyDescent="0.35">
      <c r="A15" s="6">
        <f t="shared" ref="A15:A78" si="71">A10+7</f>
        <v>45300</v>
      </c>
      <c r="B15">
        <f t="shared" si="66"/>
        <v>1</v>
      </c>
      <c r="C15">
        <f t="shared" si="67"/>
        <v>2024</v>
      </c>
      <c r="D15">
        <f t="shared" si="68"/>
        <v>202401</v>
      </c>
      <c r="E15">
        <f t="shared" si="69"/>
        <v>1</v>
      </c>
      <c r="F15">
        <f t="shared" si="70"/>
        <v>202401</v>
      </c>
      <c r="G15" t="s">
        <v>148</v>
      </c>
      <c r="H15" s="2">
        <v>5.25</v>
      </c>
      <c r="I15" s="2">
        <v>5.1867000000000001</v>
      </c>
      <c r="J15" s="3">
        <v>5.1852612000000002</v>
      </c>
      <c r="K15" s="3">
        <v>5.1702462999999996</v>
      </c>
      <c r="L15" s="3">
        <v>5.1298316000000002</v>
      </c>
      <c r="M15" s="3">
        <v>5.0519414999999999</v>
      </c>
      <c r="N15" s="3">
        <v>4.9396490999999996</v>
      </c>
      <c r="O15" s="3">
        <v>4.8037638999999999</v>
      </c>
      <c r="P15" s="3">
        <v>4.6561959999999996</v>
      </c>
      <c r="Q15" s="3">
        <v>4.5079649000000002</v>
      </c>
      <c r="R15" s="3">
        <v>4.3668256999999997</v>
      </c>
      <c r="S15" s="3">
        <v>4.2366576</v>
      </c>
      <c r="T15" s="3">
        <v>4.1187677000000003</v>
      </c>
      <c r="U15" s="3">
        <v>4.0132621999999998</v>
      </c>
      <c r="V15" s="3">
        <v>3.9177742000000002</v>
      </c>
      <c r="W15" s="3">
        <v>3.8311198000000002</v>
      </c>
      <c r="X15" s="3">
        <v>3.7526541999999998</v>
      </c>
      <c r="Y15" s="3">
        <v>3.6817291000000001</v>
      </c>
      <c r="Z15" s="3">
        <v>3.6176968999999999</v>
      </c>
      <c r="AA15" s="3">
        <v>3.5599118000000001</v>
      </c>
      <c r="AB15" s="3">
        <v>3.5077647000000001</v>
      </c>
      <c r="AC15" s="3">
        <v>3.4607923</v>
      </c>
      <c r="AD15" s="3">
        <v>3.4185682000000002</v>
      </c>
      <c r="AE15" s="3">
        <v>3.3806642</v>
      </c>
      <c r="AF15" s="3">
        <v>3.3466521999999999</v>
      </c>
      <c r="AG15" s="3">
        <v>3.3161052999999998</v>
      </c>
      <c r="AH15" s="3">
        <v>3.2886324999999998</v>
      </c>
      <c r="AI15" s="3">
        <v>3.2640061</v>
      </c>
      <c r="AJ15" s="3">
        <v>3.2420445999999998</v>
      </c>
      <c r="AK15" s="3">
        <v>3.2225655</v>
      </c>
      <c r="AL15" s="3">
        <v>3.2053862</v>
      </c>
      <c r="AM15" s="3">
        <v>3.1903250000000001</v>
      </c>
      <c r="AN15" s="3">
        <v>3.1771994000000001</v>
      </c>
      <c r="AO15" s="3">
        <v>3.1658271999999998</v>
      </c>
      <c r="AP15" s="3">
        <v>3.1560261999999999</v>
      </c>
      <c r="AQ15" s="3">
        <v>3.1476142</v>
      </c>
      <c r="AR15" s="3">
        <v>3.1404089000000002</v>
      </c>
      <c r="AS15" s="3">
        <v>3.1342281999999999</v>
      </c>
      <c r="AT15" s="3">
        <v>3.1289080999999999</v>
      </c>
      <c r="AU15" s="3">
        <v>3.1243834000000001</v>
      </c>
      <c r="AV15" s="3">
        <v>3.1206223999999998</v>
      </c>
      <c r="AW15" s="3">
        <v>3.1175928000000002</v>
      </c>
      <c r="AX15" s="3">
        <v>3.1152628</v>
      </c>
      <c r="AY15" s="3">
        <v>3.1136004000000002</v>
      </c>
      <c r="AZ15" s="3">
        <v>3.1125734999999999</v>
      </c>
      <c r="BA15" s="3">
        <v>3.1121503000000001</v>
      </c>
      <c r="BB15" s="3">
        <v>3.1122987000000002</v>
      </c>
      <c r="BC15" s="3">
        <v>3.1129867999999998</v>
      </c>
      <c r="BD15" s="3">
        <v>3.1141825000000001</v>
      </c>
      <c r="BE15" s="3">
        <v>3.1158538999999998</v>
      </c>
      <c r="BF15" s="3">
        <v>3.117972</v>
      </c>
      <c r="BG15" s="3">
        <v>3.1205215000000002</v>
      </c>
      <c r="BH15" s="3">
        <v>3.1234918</v>
      </c>
      <c r="BI15" s="3">
        <v>3.1268718999999998</v>
      </c>
      <c r="BJ15" s="3">
        <v>3.1306511000000001</v>
      </c>
      <c r="BK15" s="3">
        <v>3.1348186</v>
      </c>
      <c r="BL15" s="3">
        <v>3.1393635</v>
      </c>
      <c r="BM15" s="3">
        <v>3.1442751000000002</v>
      </c>
      <c r="BN15" s="3">
        <v>3.1495424000000001</v>
      </c>
      <c r="BO15" s="3">
        <v>3.1551547000000002</v>
      </c>
      <c r="BP15" s="3">
        <v>3.1611012999999999</v>
      </c>
      <c r="BQ15" s="3">
        <v>3.1673711999999998</v>
      </c>
      <c r="BR15" s="3">
        <v>3.2111431000000001</v>
      </c>
      <c r="BS15" s="3">
        <v>3.2636286999999999</v>
      </c>
    </row>
    <row r="16" spans="1:71" x14ac:dyDescent="0.35">
      <c r="A16" s="6">
        <f t="shared" si="71"/>
        <v>45301</v>
      </c>
      <c r="B16">
        <f t="shared" si="66"/>
        <v>1</v>
      </c>
      <c r="C16">
        <f t="shared" si="67"/>
        <v>2024</v>
      </c>
      <c r="D16">
        <f t="shared" si="68"/>
        <v>202401</v>
      </c>
      <c r="E16">
        <f t="shared" si="69"/>
        <v>1</v>
      </c>
      <c r="F16">
        <f t="shared" si="70"/>
        <v>202401</v>
      </c>
      <c r="G16" t="s">
        <v>149</v>
      </c>
      <c r="H16" s="2">
        <v>5.25</v>
      </c>
      <c r="I16" s="2">
        <v>5.1871999999999998</v>
      </c>
      <c r="J16" s="3">
        <v>5.1850911999999996</v>
      </c>
      <c r="K16" s="3">
        <v>5.1708219</v>
      </c>
      <c r="L16" s="3">
        <v>5.1309503000000003</v>
      </c>
      <c r="M16" s="3">
        <v>5.0544507999999997</v>
      </c>
      <c r="N16" s="3">
        <v>4.9451799000000003</v>
      </c>
      <c r="O16" s="3">
        <v>4.8134886000000003</v>
      </c>
      <c r="P16" s="3">
        <v>4.6711023999999997</v>
      </c>
      <c r="Q16" s="3">
        <v>4.5282673999999998</v>
      </c>
      <c r="R16" s="3">
        <v>4.3923388000000001</v>
      </c>
      <c r="S16" s="3">
        <v>4.2669033000000001</v>
      </c>
      <c r="T16" s="3">
        <v>4.1533587000000001</v>
      </c>
      <c r="U16" s="3">
        <v>4.0516975999999998</v>
      </c>
      <c r="V16" s="3">
        <v>3.9600377</v>
      </c>
      <c r="W16" s="3">
        <v>3.8771955</v>
      </c>
      <c r="X16" s="3">
        <v>3.8023256000000001</v>
      </c>
      <c r="Y16" s="3">
        <v>3.7345796</v>
      </c>
      <c r="Z16" s="3">
        <v>3.6731094999999998</v>
      </c>
      <c r="AA16" s="3">
        <v>3.6170692999999998</v>
      </c>
      <c r="AB16" s="3">
        <v>3.5657097000000002</v>
      </c>
      <c r="AC16" s="3">
        <v>3.5186568</v>
      </c>
      <c r="AD16" s="3">
        <v>3.4756281000000002</v>
      </c>
      <c r="AE16" s="3">
        <v>3.4363391999999999</v>
      </c>
      <c r="AF16" s="3">
        <v>3.4005057999999999</v>
      </c>
      <c r="AG16" s="3">
        <v>3.367845</v>
      </c>
      <c r="AH16" s="3">
        <v>3.3380884000000002</v>
      </c>
      <c r="AI16" s="3">
        <v>3.3110529999999998</v>
      </c>
      <c r="AJ16" s="3">
        <v>3.2865853999999999</v>
      </c>
      <c r="AK16" s="3">
        <v>3.2645311000000001</v>
      </c>
      <c r="AL16" s="3">
        <v>3.2447357999999999</v>
      </c>
      <c r="AM16" s="3">
        <v>3.2270458999999998</v>
      </c>
      <c r="AN16" s="3">
        <v>3.2113071</v>
      </c>
      <c r="AO16" s="3">
        <v>3.1973650999999998</v>
      </c>
      <c r="AP16" s="3">
        <v>3.1850660999999998</v>
      </c>
      <c r="AQ16" s="3">
        <v>3.1742558999999999</v>
      </c>
      <c r="AR16" s="3">
        <v>3.1647802999999999</v>
      </c>
      <c r="AS16" s="3">
        <v>3.1564854000000002</v>
      </c>
      <c r="AT16" s="3">
        <v>3.1492323</v>
      </c>
      <c r="AU16" s="3">
        <v>3.1429566000000002</v>
      </c>
      <c r="AV16" s="3">
        <v>3.1376165999999999</v>
      </c>
      <c r="AW16" s="3">
        <v>3.1331706000000001</v>
      </c>
      <c r="AX16" s="3">
        <v>3.1295768000000002</v>
      </c>
      <c r="AY16" s="3">
        <v>3.1267934999999998</v>
      </c>
      <c r="AZ16" s="3">
        <v>3.1247790000000002</v>
      </c>
      <c r="BA16" s="3">
        <v>3.1234915999999999</v>
      </c>
      <c r="BB16" s="3">
        <v>3.1228894999999999</v>
      </c>
      <c r="BC16" s="3">
        <v>3.1229309999999999</v>
      </c>
      <c r="BD16" s="3">
        <v>3.1235745000000001</v>
      </c>
      <c r="BE16" s="3">
        <v>3.1247780999999999</v>
      </c>
      <c r="BF16" s="3">
        <v>3.1265040000000002</v>
      </c>
      <c r="BG16" s="3">
        <v>3.1287318000000002</v>
      </c>
      <c r="BH16" s="3">
        <v>3.1314456000000002</v>
      </c>
      <c r="BI16" s="3">
        <v>3.1346295999999998</v>
      </c>
      <c r="BJ16" s="3">
        <v>3.1382682000000002</v>
      </c>
      <c r="BK16" s="3">
        <v>3.1423454</v>
      </c>
      <c r="BL16" s="3">
        <v>3.1468455</v>
      </c>
      <c r="BM16" s="3">
        <v>3.1517528000000001</v>
      </c>
      <c r="BN16" s="3">
        <v>3.1570515000000001</v>
      </c>
      <c r="BO16" s="3">
        <v>3.1627257000000002</v>
      </c>
      <c r="BP16" s="3">
        <v>3.1687596999999998</v>
      </c>
      <c r="BQ16" s="3">
        <v>3.1751377000000001</v>
      </c>
      <c r="BR16" s="3">
        <v>3.2197924000000002</v>
      </c>
      <c r="BS16" s="3">
        <v>3.2731349000000001</v>
      </c>
    </row>
    <row r="17" spans="1:71" x14ac:dyDescent="0.35">
      <c r="A17" s="6">
        <f t="shared" si="71"/>
        <v>45302</v>
      </c>
      <c r="B17">
        <f t="shared" si="66"/>
        <v>1</v>
      </c>
      <c r="C17">
        <f t="shared" si="67"/>
        <v>2024</v>
      </c>
      <c r="D17">
        <f t="shared" si="68"/>
        <v>202401</v>
      </c>
      <c r="E17">
        <f t="shared" si="69"/>
        <v>1</v>
      </c>
      <c r="F17">
        <f t="shared" si="70"/>
        <v>202401</v>
      </c>
      <c r="G17" t="s">
        <v>150</v>
      </c>
      <c r="H17" s="2">
        <v>5.25</v>
      </c>
      <c r="I17" s="2">
        <v>5.1875999999999998</v>
      </c>
      <c r="J17" s="3">
        <v>5.1883039000000002</v>
      </c>
      <c r="K17" s="3">
        <v>5.1673171</v>
      </c>
      <c r="L17" s="3">
        <v>5.1189593999999996</v>
      </c>
      <c r="M17" s="3">
        <v>5.0346507999999996</v>
      </c>
      <c r="N17" s="3">
        <v>4.9187015000000001</v>
      </c>
      <c r="O17" s="3">
        <v>4.7829969999999999</v>
      </c>
      <c r="P17" s="3">
        <v>4.6394120000000001</v>
      </c>
      <c r="Q17" s="3">
        <v>4.4977175000000003</v>
      </c>
      <c r="R17" s="3">
        <v>4.3643033999999998</v>
      </c>
      <c r="S17" s="3">
        <v>4.2417531999999998</v>
      </c>
      <c r="T17" s="3">
        <v>4.1308655999999999</v>
      </c>
      <c r="U17" s="3">
        <v>4.0309255999999998</v>
      </c>
      <c r="V17" s="3">
        <v>3.9389314999999998</v>
      </c>
      <c r="W17" s="3">
        <v>3.8538378999999998</v>
      </c>
      <c r="X17" s="3">
        <v>3.7754856999999999</v>
      </c>
      <c r="Y17" s="3">
        <v>3.7037130999999999</v>
      </c>
      <c r="Z17" s="3">
        <v>3.6383589000000001</v>
      </c>
      <c r="AA17" s="3">
        <v>3.5792639999999998</v>
      </c>
      <c r="AB17" s="3">
        <v>3.5262153000000001</v>
      </c>
      <c r="AC17" s="3">
        <v>3.4788019999999999</v>
      </c>
      <c r="AD17" s="3">
        <v>3.4365684000000001</v>
      </c>
      <c r="AE17" s="3">
        <v>3.3990567999999999</v>
      </c>
      <c r="AF17" s="3">
        <v>3.3658098000000001</v>
      </c>
      <c r="AG17" s="3">
        <v>3.3363711</v>
      </c>
      <c r="AH17" s="3">
        <v>3.3103155000000002</v>
      </c>
      <c r="AI17" s="3">
        <v>3.2873739999999998</v>
      </c>
      <c r="AJ17" s="3">
        <v>3.2673260000000002</v>
      </c>
      <c r="AK17" s="3">
        <v>3.2499503000000001</v>
      </c>
      <c r="AL17" s="3">
        <v>3.2350254999999999</v>
      </c>
      <c r="AM17" s="3">
        <v>3.2223310000000001</v>
      </c>
      <c r="AN17" s="3">
        <v>3.2116454999999999</v>
      </c>
      <c r="AO17" s="3">
        <v>3.2027477000000002</v>
      </c>
      <c r="AP17" s="3">
        <v>3.195417</v>
      </c>
      <c r="AQ17" s="3">
        <v>3.189432</v>
      </c>
      <c r="AR17" s="3">
        <v>3.1845716999999998</v>
      </c>
      <c r="AS17" s="3">
        <v>3.180615</v>
      </c>
      <c r="AT17" s="3">
        <v>3.1773707</v>
      </c>
      <c r="AU17" s="3">
        <v>3.1747784000000001</v>
      </c>
      <c r="AV17" s="3">
        <v>3.1728144999999999</v>
      </c>
      <c r="AW17" s="3">
        <v>3.1714547999999998</v>
      </c>
      <c r="AX17" s="3">
        <v>3.1706755000000002</v>
      </c>
      <c r="AY17" s="3">
        <v>3.1704526</v>
      </c>
      <c r="AZ17" s="3">
        <v>3.1707622</v>
      </c>
      <c r="BA17" s="3">
        <v>3.1715805000000001</v>
      </c>
      <c r="BB17" s="3">
        <v>3.1728833999999999</v>
      </c>
      <c r="BC17" s="3">
        <v>3.1746470000000002</v>
      </c>
      <c r="BD17" s="3">
        <v>3.1768474000000002</v>
      </c>
      <c r="BE17" s="3">
        <v>3.1794606999999999</v>
      </c>
      <c r="BF17" s="3">
        <v>3.1824648999999998</v>
      </c>
      <c r="BG17" s="3">
        <v>3.1858464</v>
      </c>
      <c r="BH17" s="3">
        <v>3.1895940999999999</v>
      </c>
      <c r="BI17" s="3">
        <v>3.1936968000000001</v>
      </c>
      <c r="BJ17" s="3">
        <v>3.1981434000000002</v>
      </c>
      <c r="BK17" s="3">
        <v>3.2029226999999998</v>
      </c>
      <c r="BL17" s="3">
        <v>3.2080234000000001</v>
      </c>
      <c r="BM17" s="3">
        <v>3.2134345</v>
      </c>
      <c r="BN17" s="3">
        <v>3.2191448</v>
      </c>
      <c r="BO17" s="3">
        <v>3.2251430000000001</v>
      </c>
      <c r="BP17" s="3">
        <v>3.2314181999999998</v>
      </c>
      <c r="BQ17" s="3">
        <v>3.2379589000000002</v>
      </c>
      <c r="BR17" s="3">
        <v>3.2822065</v>
      </c>
      <c r="BS17" s="3">
        <v>3.3335096000000002</v>
      </c>
    </row>
    <row r="18" spans="1:71" x14ac:dyDescent="0.35">
      <c r="A18" s="6">
        <f t="shared" si="71"/>
        <v>45303</v>
      </c>
      <c r="B18">
        <f t="shared" si="66"/>
        <v>1</v>
      </c>
      <c r="C18">
        <f t="shared" si="67"/>
        <v>2024</v>
      </c>
      <c r="D18">
        <f t="shared" si="68"/>
        <v>202401</v>
      </c>
      <c r="E18">
        <f t="shared" si="69"/>
        <v>1</v>
      </c>
      <c r="F18">
        <f t="shared" si="70"/>
        <v>202401</v>
      </c>
      <c r="G18" t="s">
        <v>151</v>
      </c>
      <c r="H18" s="2">
        <v>5.25</v>
      </c>
      <c r="I18" s="2">
        <v>5.1883999999999997</v>
      </c>
      <c r="J18" s="3">
        <v>5.1887350000000003</v>
      </c>
      <c r="K18" s="3">
        <v>5.1604989000000003</v>
      </c>
      <c r="L18" s="3">
        <v>5.0990228999999996</v>
      </c>
      <c r="M18" s="3">
        <v>4.9954140000000002</v>
      </c>
      <c r="N18" s="3">
        <v>4.8574653000000003</v>
      </c>
      <c r="O18" s="3">
        <v>4.7009555000000001</v>
      </c>
      <c r="P18" s="3">
        <v>4.5407209000000002</v>
      </c>
      <c r="Q18" s="3">
        <v>4.3873024999999997</v>
      </c>
      <c r="R18" s="3">
        <v>4.2463179000000002</v>
      </c>
      <c r="S18" s="3">
        <v>4.1196491999999996</v>
      </c>
      <c r="T18" s="3">
        <v>4.0067671999999996</v>
      </c>
      <c r="U18" s="3">
        <v>3.9063379999999999</v>
      </c>
      <c r="V18" s="3">
        <v>3.8150971</v>
      </c>
      <c r="W18" s="3">
        <v>3.7317977999999998</v>
      </c>
      <c r="X18" s="3">
        <v>3.6560160000000002</v>
      </c>
      <c r="Y18" s="3">
        <v>3.5873251000000002</v>
      </c>
      <c r="Z18" s="3">
        <v>3.5252984999999999</v>
      </c>
      <c r="AA18" s="3">
        <v>3.4695121000000002</v>
      </c>
      <c r="AB18" s="3">
        <v>3.4195369000000002</v>
      </c>
      <c r="AC18" s="3">
        <v>3.374933</v>
      </c>
      <c r="AD18" s="3">
        <v>3.3352586</v>
      </c>
      <c r="AE18" s="3">
        <v>3.3000704000000001</v>
      </c>
      <c r="AF18" s="3">
        <v>3.2689254000000001</v>
      </c>
      <c r="AG18" s="3">
        <v>3.2413816</v>
      </c>
      <c r="AH18" s="3">
        <v>3.2170317000000002</v>
      </c>
      <c r="AI18" s="3">
        <v>3.1956270999999998</v>
      </c>
      <c r="AJ18" s="3">
        <v>3.1769634999999998</v>
      </c>
      <c r="AK18" s="3">
        <v>3.1608361</v>
      </c>
      <c r="AL18" s="3">
        <v>3.1470400000000001</v>
      </c>
      <c r="AM18" s="3">
        <v>3.1353707000000002</v>
      </c>
      <c r="AN18" s="3">
        <v>3.1256235999999999</v>
      </c>
      <c r="AO18" s="3">
        <v>3.1175937</v>
      </c>
      <c r="AP18" s="3">
        <v>3.1110766000000001</v>
      </c>
      <c r="AQ18" s="3">
        <v>3.1058674000000002</v>
      </c>
      <c r="AR18" s="3">
        <v>3.1017614999999998</v>
      </c>
      <c r="AS18" s="3">
        <v>3.0985542000000001</v>
      </c>
      <c r="AT18" s="3">
        <v>3.0960678000000001</v>
      </c>
      <c r="AU18" s="3">
        <v>3.0942432000000002</v>
      </c>
      <c r="AV18" s="3">
        <v>3.0930544000000002</v>
      </c>
      <c r="AW18" s="3">
        <v>3.0924751000000001</v>
      </c>
      <c r="AX18" s="3">
        <v>3.0924792999999999</v>
      </c>
      <c r="AY18" s="3">
        <v>3.0930407</v>
      </c>
      <c r="AZ18" s="3">
        <v>3.0941333000000002</v>
      </c>
      <c r="BA18" s="3">
        <v>3.0957309</v>
      </c>
      <c r="BB18" s="3">
        <v>3.0978072000000001</v>
      </c>
      <c r="BC18" s="3">
        <v>3.1003362999999999</v>
      </c>
      <c r="BD18" s="3">
        <v>3.1032918999999999</v>
      </c>
      <c r="BE18" s="3">
        <v>3.1066479</v>
      </c>
      <c r="BF18" s="3">
        <v>3.1103806999999999</v>
      </c>
      <c r="BG18" s="3">
        <v>3.1144783999999999</v>
      </c>
      <c r="BH18" s="3">
        <v>3.1189320999999999</v>
      </c>
      <c r="BI18" s="3">
        <v>3.1237330000000001</v>
      </c>
      <c r="BJ18" s="3">
        <v>3.1288724000000001</v>
      </c>
      <c r="BK18" s="3">
        <v>3.1343415000000001</v>
      </c>
      <c r="BL18" s="3">
        <v>3.1401313000000002</v>
      </c>
      <c r="BM18" s="3">
        <v>3.1462333</v>
      </c>
      <c r="BN18" s="3">
        <v>3.1526383999999998</v>
      </c>
      <c r="BO18" s="3">
        <v>3.1593379000000001</v>
      </c>
      <c r="BP18" s="3">
        <v>3.1663231999999999</v>
      </c>
      <c r="BQ18" s="3">
        <v>3.1735852000000002</v>
      </c>
      <c r="BR18" s="3">
        <v>3.2224387999999999</v>
      </c>
      <c r="BS18" s="3">
        <v>3.2788018999999999</v>
      </c>
    </row>
    <row r="19" spans="1:71" x14ac:dyDescent="0.35">
      <c r="A19" s="6">
        <f t="shared" si="71"/>
        <v>45306</v>
      </c>
      <c r="B19">
        <f t="shared" si="66"/>
        <v>1</v>
      </c>
      <c r="C19">
        <f t="shared" si="67"/>
        <v>2024</v>
      </c>
      <c r="D19">
        <f t="shared" si="68"/>
        <v>202401</v>
      </c>
      <c r="E19">
        <f t="shared" si="69"/>
        <v>1</v>
      </c>
      <c r="F19">
        <f t="shared" si="70"/>
        <v>202401</v>
      </c>
      <c r="G19" t="s">
        <v>152</v>
      </c>
      <c r="H19" s="2">
        <v>5.25</v>
      </c>
      <c r="I19" s="2">
        <v>5.1874000000000002</v>
      </c>
      <c r="J19" s="3">
        <v>5.1864986999999996</v>
      </c>
      <c r="K19" s="3">
        <v>5.1613939000000002</v>
      </c>
      <c r="L19" s="3">
        <v>5.1015344999999996</v>
      </c>
      <c r="M19" s="3">
        <v>4.9956199000000003</v>
      </c>
      <c r="N19" s="3">
        <v>4.8521907999999998</v>
      </c>
      <c r="O19" s="3">
        <v>4.6889729999999998</v>
      </c>
      <c r="P19" s="3">
        <v>4.5229898000000004</v>
      </c>
      <c r="Q19" s="3">
        <v>4.3655984999999999</v>
      </c>
      <c r="R19" s="3">
        <v>4.2226676999999997</v>
      </c>
      <c r="S19" s="3">
        <v>4.0950553999999997</v>
      </c>
      <c r="T19" s="3">
        <v>3.9821699000000002</v>
      </c>
      <c r="U19" s="3">
        <v>3.8821870000000001</v>
      </c>
      <c r="V19" s="3">
        <v>3.7914805999999999</v>
      </c>
      <c r="W19" s="3">
        <v>3.7087614000000002</v>
      </c>
      <c r="X19" s="3">
        <v>3.6335690999999999</v>
      </c>
      <c r="Y19" s="3">
        <v>3.5654406999999999</v>
      </c>
      <c r="Z19" s="3">
        <v>3.5039132999999998</v>
      </c>
      <c r="AA19" s="3">
        <v>3.4485261999999999</v>
      </c>
      <c r="AB19" s="3">
        <v>3.3988263000000001</v>
      </c>
      <c r="AC19" s="3">
        <v>3.3543965999999998</v>
      </c>
      <c r="AD19" s="3">
        <v>3.3148308000000002</v>
      </c>
      <c r="AE19" s="3">
        <v>3.2797206000000001</v>
      </c>
      <c r="AF19" s="3">
        <v>3.2486581999999999</v>
      </c>
      <c r="AG19" s="3">
        <v>3.2212367999999998</v>
      </c>
      <c r="AH19" s="3">
        <v>3.1970774999999998</v>
      </c>
      <c r="AI19" s="3">
        <v>3.1759309</v>
      </c>
      <c r="AJ19" s="3">
        <v>3.1575840999999998</v>
      </c>
      <c r="AK19" s="3">
        <v>3.1418233</v>
      </c>
      <c r="AL19" s="3">
        <v>3.1284345999999998</v>
      </c>
      <c r="AM19" s="3">
        <v>3.1172049999999998</v>
      </c>
      <c r="AN19" s="3">
        <v>3.1079205999999999</v>
      </c>
      <c r="AO19" s="3">
        <v>3.1003677999999999</v>
      </c>
      <c r="AP19" s="3">
        <v>3.0943333000000002</v>
      </c>
      <c r="AQ19" s="3">
        <v>3.0896034000000001</v>
      </c>
      <c r="AR19" s="3">
        <v>3.0859646000000001</v>
      </c>
      <c r="AS19" s="3">
        <v>3.0832033000000001</v>
      </c>
      <c r="AT19" s="3">
        <v>3.0811348000000001</v>
      </c>
      <c r="AU19" s="3">
        <v>3.0797021999999998</v>
      </c>
      <c r="AV19" s="3">
        <v>3.0788836000000002</v>
      </c>
      <c r="AW19" s="3">
        <v>3.0786570000000002</v>
      </c>
      <c r="AX19" s="3">
        <v>3.0790008000000002</v>
      </c>
      <c r="AY19" s="3">
        <v>3.0798928999999999</v>
      </c>
      <c r="AZ19" s="3">
        <v>3.0813115</v>
      </c>
      <c r="BA19" s="3">
        <v>3.0832348000000001</v>
      </c>
      <c r="BB19" s="3">
        <v>3.0856409</v>
      </c>
      <c r="BC19" s="3">
        <v>3.088508</v>
      </c>
      <c r="BD19" s="3">
        <v>3.0918142999999998</v>
      </c>
      <c r="BE19" s="3">
        <v>3.0955377999999998</v>
      </c>
      <c r="BF19" s="3">
        <v>3.0996584</v>
      </c>
      <c r="BG19" s="3">
        <v>3.1041661999999999</v>
      </c>
      <c r="BH19" s="3">
        <v>3.109054</v>
      </c>
      <c r="BI19" s="3">
        <v>3.1143149000000001</v>
      </c>
      <c r="BJ19" s="3">
        <v>3.1199422000000001</v>
      </c>
      <c r="BK19" s="3">
        <v>3.1259288000000001</v>
      </c>
      <c r="BL19" s="3">
        <v>3.1322676999999999</v>
      </c>
      <c r="BM19" s="3">
        <v>3.1389521999999999</v>
      </c>
      <c r="BN19" s="3">
        <v>3.1459752999999999</v>
      </c>
      <c r="BO19" s="3">
        <v>3.15333</v>
      </c>
      <c r="BP19" s="3">
        <v>3.1610095</v>
      </c>
      <c r="BQ19" s="3">
        <v>3.1690068</v>
      </c>
      <c r="BR19" s="3">
        <v>3.2230363</v>
      </c>
      <c r="BS19" s="3">
        <v>3.2852853999999998</v>
      </c>
    </row>
    <row r="20" spans="1:71" x14ac:dyDescent="0.35">
      <c r="A20" s="6">
        <f t="shared" si="71"/>
        <v>45307</v>
      </c>
      <c r="B20">
        <f t="shared" si="66"/>
        <v>1</v>
      </c>
      <c r="C20">
        <f t="shared" si="67"/>
        <v>2024</v>
      </c>
      <c r="D20">
        <f t="shared" si="68"/>
        <v>202401</v>
      </c>
      <c r="E20">
        <f t="shared" si="69"/>
        <v>1</v>
      </c>
      <c r="F20">
        <f t="shared" si="70"/>
        <v>202401</v>
      </c>
      <c r="G20" t="s">
        <v>153</v>
      </c>
      <c r="H20" s="2">
        <v>5.25</v>
      </c>
      <c r="I20" s="2">
        <v>5.1875999999999998</v>
      </c>
      <c r="J20" s="3">
        <v>5.1912832</v>
      </c>
      <c r="K20" s="3">
        <v>5.1664072000000001</v>
      </c>
      <c r="L20" s="3">
        <v>5.1080097000000002</v>
      </c>
      <c r="M20" s="3">
        <v>5.0063493000000001</v>
      </c>
      <c r="N20" s="3">
        <v>4.8679759999999996</v>
      </c>
      <c r="O20" s="3">
        <v>4.7086041999999999</v>
      </c>
      <c r="P20" s="3">
        <v>4.5445595000000001</v>
      </c>
      <c r="Q20" s="3">
        <v>4.3872499999999999</v>
      </c>
      <c r="R20" s="3">
        <v>4.2424888000000003</v>
      </c>
      <c r="S20" s="3">
        <v>4.1116752999999999</v>
      </c>
      <c r="T20" s="3">
        <v>3.9942375999999999</v>
      </c>
      <c r="U20" s="3">
        <v>3.8892679000000001</v>
      </c>
      <c r="V20" s="3">
        <v>3.7938850999999998</v>
      </c>
      <c r="W20" s="3">
        <v>3.7070630000000002</v>
      </c>
      <c r="X20" s="3">
        <v>3.6284901999999999</v>
      </c>
      <c r="Y20" s="3">
        <v>3.557852</v>
      </c>
      <c r="Z20" s="3">
        <v>3.4948342000000001</v>
      </c>
      <c r="AA20" s="3">
        <v>3.4391248000000001</v>
      </c>
      <c r="AB20" s="3">
        <v>3.3903463999999999</v>
      </c>
      <c r="AC20" s="3">
        <v>3.3478821000000001</v>
      </c>
      <c r="AD20" s="3">
        <v>3.3110591</v>
      </c>
      <c r="AE20" s="3">
        <v>3.2792031000000001</v>
      </c>
      <c r="AF20" s="3">
        <v>3.2516403</v>
      </c>
      <c r="AG20" s="3">
        <v>3.2276975000000001</v>
      </c>
      <c r="AH20" s="3">
        <v>3.2067727000000001</v>
      </c>
      <c r="AI20" s="3">
        <v>3.1885810000000001</v>
      </c>
      <c r="AJ20" s="3">
        <v>3.1729261000000002</v>
      </c>
      <c r="AK20" s="3">
        <v>3.1596107</v>
      </c>
      <c r="AL20" s="3">
        <v>3.1484378</v>
      </c>
      <c r="AM20" s="3">
        <v>3.1392107</v>
      </c>
      <c r="AN20" s="3">
        <v>3.1317324000000002</v>
      </c>
      <c r="AO20" s="3">
        <v>3.1258056999999999</v>
      </c>
      <c r="AP20" s="3">
        <v>3.1212339999999998</v>
      </c>
      <c r="AQ20" s="3">
        <v>3.1178202000000002</v>
      </c>
      <c r="AR20" s="3">
        <v>3.1153673999999998</v>
      </c>
      <c r="AS20" s="3">
        <v>3.1136786000000001</v>
      </c>
      <c r="AT20" s="3">
        <v>3.1125797999999998</v>
      </c>
      <c r="AU20" s="3">
        <v>3.1120196999999998</v>
      </c>
      <c r="AV20" s="3">
        <v>3.1119886999999999</v>
      </c>
      <c r="AW20" s="3">
        <v>3.1124767000000002</v>
      </c>
      <c r="AX20" s="3">
        <v>3.1134738999999998</v>
      </c>
      <c r="AY20" s="3">
        <v>3.1149705000000001</v>
      </c>
      <c r="AZ20" s="3">
        <v>3.1169565000000001</v>
      </c>
      <c r="BA20" s="3">
        <v>3.1194223000000001</v>
      </c>
      <c r="BB20" s="3">
        <v>3.1223578000000001</v>
      </c>
      <c r="BC20" s="3">
        <v>3.1257533</v>
      </c>
      <c r="BD20" s="3">
        <v>3.1295988000000001</v>
      </c>
      <c r="BE20" s="3">
        <v>3.1338846</v>
      </c>
      <c r="BF20" s="3">
        <v>3.1386004999999999</v>
      </c>
      <c r="BG20" s="3">
        <v>3.1437357000000001</v>
      </c>
      <c r="BH20" s="3">
        <v>3.1492789000000001</v>
      </c>
      <c r="BI20" s="3">
        <v>3.1552190000000002</v>
      </c>
      <c r="BJ20" s="3">
        <v>3.1615448000000002</v>
      </c>
      <c r="BK20" s="3">
        <v>3.1682450000000002</v>
      </c>
      <c r="BL20" s="3">
        <v>3.1753084</v>
      </c>
      <c r="BM20" s="3">
        <v>3.1827239999999999</v>
      </c>
      <c r="BN20" s="3">
        <v>3.1904802999999999</v>
      </c>
      <c r="BO20" s="3">
        <v>3.1985663</v>
      </c>
      <c r="BP20" s="3">
        <v>3.2069709</v>
      </c>
      <c r="BQ20" s="3">
        <v>3.2156826000000001</v>
      </c>
      <c r="BR20" s="3">
        <v>3.2737519000000002</v>
      </c>
      <c r="BS20" s="3">
        <v>3.3398984999999999</v>
      </c>
    </row>
    <row r="21" spans="1:71" x14ac:dyDescent="0.35">
      <c r="A21" s="6">
        <f t="shared" si="71"/>
        <v>45308</v>
      </c>
      <c r="B21">
        <f t="shared" si="66"/>
        <v>1</v>
      </c>
      <c r="C21">
        <f t="shared" si="67"/>
        <v>2024</v>
      </c>
      <c r="D21">
        <f t="shared" si="68"/>
        <v>202401</v>
      </c>
      <c r="E21">
        <f t="shared" si="69"/>
        <v>1</v>
      </c>
      <c r="F21">
        <f t="shared" si="70"/>
        <v>202401</v>
      </c>
      <c r="G21" t="s">
        <v>154</v>
      </c>
      <c r="H21" s="2">
        <v>5.25</v>
      </c>
      <c r="I21" s="2">
        <v>5.1879999999999997</v>
      </c>
      <c r="J21" s="3">
        <v>5.1870647999999999</v>
      </c>
      <c r="K21" s="3">
        <v>5.1803457999999996</v>
      </c>
      <c r="L21" s="3">
        <v>5.1485105000000004</v>
      </c>
      <c r="M21" s="3">
        <v>5.0809502000000002</v>
      </c>
      <c r="N21" s="3">
        <v>4.9811300000000003</v>
      </c>
      <c r="O21" s="3">
        <v>4.8598482000000001</v>
      </c>
      <c r="P21" s="3">
        <v>4.7298052000000004</v>
      </c>
      <c r="Q21" s="3">
        <v>4.6007116999999997</v>
      </c>
      <c r="R21" s="3">
        <v>4.4787318999999997</v>
      </c>
      <c r="S21" s="3">
        <v>4.3664604000000002</v>
      </c>
      <c r="T21" s="3">
        <v>4.2645356999999997</v>
      </c>
      <c r="U21" s="3">
        <v>4.1724997000000004</v>
      </c>
      <c r="V21" s="3">
        <v>4.0877527000000002</v>
      </c>
      <c r="W21" s="3">
        <v>4.0093645000000002</v>
      </c>
      <c r="X21" s="3">
        <v>3.9370579000000001</v>
      </c>
      <c r="Y21" s="3">
        <v>3.8705528999999999</v>
      </c>
      <c r="Z21" s="3">
        <v>3.8095699000000001</v>
      </c>
      <c r="AA21" s="3">
        <v>3.7538311000000002</v>
      </c>
      <c r="AB21" s="3">
        <v>3.7030482999999998</v>
      </c>
      <c r="AC21" s="3">
        <v>3.6569007999999998</v>
      </c>
      <c r="AD21" s="3">
        <v>3.6150617999999999</v>
      </c>
      <c r="AE21" s="3">
        <v>3.5772029000000001</v>
      </c>
      <c r="AF21" s="3">
        <v>3.5429957000000001</v>
      </c>
      <c r="AG21" s="3">
        <v>3.5121131999999999</v>
      </c>
      <c r="AH21" s="3">
        <v>3.4842456999999998</v>
      </c>
      <c r="AI21" s="3">
        <v>3.4591839000000002</v>
      </c>
      <c r="AJ21" s="3">
        <v>3.4367527</v>
      </c>
      <c r="AK21" s="3">
        <v>3.4167765000000001</v>
      </c>
      <c r="AL21" s="3">
        <v>3.3990794000000002</v>
      </c>
      <c r="AM21" s="3">
        <v>3.3834865000000001</v>
      </c>
      <c r="AN21" s="3">
        <v>3.3698220999999999</v>
      </c>
      <c r="AO21" s="3">
        <v>3.3579105</v>
      </c>
      <c r="AP21" s="3">
        <v>3.3475765000000002</v>
      </c>
      <c r="AQ21" s="3">
        <v>3.3386445</v>
      </c>
      <c r="AR21" s="3">
        <v>3.3309389</v>
      </c>
      <c r="AS21" s="3">
        <v>3.3242843999999998</v>
      </c>
      <c r="AT21" s="3">
        <v>3.3185256000000001</v>
      </c>
      <c r="AU21" s="3">
        <v>3.3136055</v>
      </c>
      <c r="AV21" s="3">
        <v>3.3094972999999999</v>
      </c>
      <c r="AW21" s="3">
        <v>3.3061737</v>
      </c>
      <c r="AX21" s="3">
        <v>3.3036078999999998</v>
      </c>
      <c r="AY21" s="3">
        <v>3.3017729</v>
      </c>
      <c r="AZ21" s="3">
        <v>3.3006414999999998</v>
      </c>
      <c r="BA21" s="3">
        <v>3.3001868999999999</v>
      </c>
      <c r="BB21" s="3">
        <v>3.3003819000000001</v>
      </c>
      <c r="BC21" s="3">
        <v>3.3011997000000002</v>
      </c>
      <c r="BD21" s="3">
        <v>3.3026130999999999</v>
      </c>
      <c r="BE21" s="3">
        <v>3.3045952999999999</v>
      </c>
      <c r="BF21" s="3">
        <v>3.3071204999999999</v>
      </c>
      <c r="BG21" s="3">
        <v>3.3101696</v>
      </c>
      <c r="BH21" s="3">
        <v>3.3137253000000002</v>
      </c>
      <c r="BI21" s="3">
        <v>3.3177699999999999</v>
      </c>
      <c r="BJ21" s="3">
        <v>3.3222865000000001</v>
      </c>
      <c r="BK21" s="3">
        <v>3.3272571000000002</v>
      </c>
      <c r="BL21" s="3">
        <v>3.3326646000000002</v>
      </c>
      <c r="BM21" s="3">
        <v>3.3384915999999998</v>
      </c>
      <c r="BN21" s="3">
        <v>3.3447203999999999</v>
      </c>
      <c r="BO21" s="3">
        <v>3.3513339000000002</v>
      </c>
      <c r="BP21" s="3">
        <v>3.3583145000000001</v>
      </c>
      <c r="BQ21" s="3">
        <v>3.3656448000000001</v>
      </c>
      <c r="BR21" s="3">
        <v>3.4160227000000001</v>
      </c>
      <c r="BS21" s="3">
        <v>3.4747675</v>
      </c>
    </row>
    <row r="22" spans="1:71" x14ac:dyDescent="0.35">
      <c r="A22" s="6">
        <f t="shared" si="71"/>
        <v>45309</v>
      </c>
      <c r="B22">
        <f t="shared" si="66"/>
        <v>1</v>
      </c>
      <c r="C22">
        <f t="shared" si="67"/>
        <v>2024</v>
      </c>
      <c r="D22">
        <f t="shared" si="68"/>
        <v>202401</v>
      </c>
      <c r="E22">
        <f t="shared" si="69"/>
        <v>1</v>
      </c>
      <c r="F22">
        <f t="shared" si="70"/>
        <v>202401</v>
      </c>
      <c r="G22" t="s">
        <v>155</v>
      </c>
      <c r="H22" s="2">
        <v>5.25</v>
      </c>
      <c r="I22" s="2">
        <v>5.1882999999999999</v>
      </c>
      <c r="J22" s="3">
        <v>5.1869164000000003</v>
      </c>
      <c r="K22" s="3">
        <v>5.1776901000000004</v>
      </c>
      <c r="L22" s="3">
        <v>5.1408351999999997</v>
      </c>
      <c r="M22" s="3">
        <v>5.0663888999999998</v>
      </c>
      <c r="N22" s="3">
        <v>4.9579611999999997</v>
      </c>
      <c r="O22" s="3">
        <v>4.8290191</v>
      </c>
      <c r="P22" s="3">
        <v>4.6930677000000003</v>
      </c>
      <c r="Q22" s="3">
        <v>4.5596575000000001</v>
      </c>
      <c r="R22" s="3">
        <v>4.4343028999999996</v>
      </c>
      <c r="S22" s="3">
        <v>4.3189016999999996</v>
      </c>
      <c r="T22" s="3">
        <v>4.2137297</v>
      </c>
      <c r="U22" s="3">
        <v>4.1179306000000002</v>
      </c>
      <c r="V22" s="3">
        <v>4.0287191</v>
      </c>
      <c r="W22" s="3">
        <v>3.9452891999999999</v>
      </c>
      <c r="X22" s="3">
        <v>3.8677035000000002</v>
      </c>
      <c r="Y22" s="3">
        <v>3.7960221999999999</v>
      </c>
      <c r="Z22" s="3">
        <v>3.7303058</v>
      </c>
      <c r="AA22" s="3">
        <v>3.670617</v>
      </c>
      <c r="AB22" s="3">
        <v>3.6169267000000001</v>
      </c>
      <c r="AC22" s="3">
        <v>3.5688651999999998</v>
      </c>
      <c r="AD22" s="3">
        <v>3.5259830999999999</v>
      </c>
      <c r="AE22" s="3">
        <v>3.4878293999999999</v>
      </c>
      <c r="AF22" s="3">
        <v>3.4539534000000001</v>
      </c>
      <c r="AG22" s="3">
        <v>3.4239054000000002</v>
      </c>
      <c r="AH22" s="3">
        <v>3.3972655</v>
      </c>
      <c r="AI22" s="3">
        <v>3.3737640999999998</v>
      </c>
      <c r="AJ22" s="3">
        <v>3.3531784</v>
      </c>
      <c r="AK22" s="3">
        <v>3.3352845000000002</v>
      </c>
      <c r="AL22" s="3">
        <v>3.3198588999999998</v>
      </c>
      <c r="AM22" s="3">
        <v>3.3066783000000002</v>
      </c>
      <c r="AN22" s="3">
        <v>3.2955192000000002</v>
      </c>
      <c r="AO22" s="3">
        <v>3.2861579000000001</v>
      </c>
      <c r="AP22" s="3">
        <v>3.2783712999999999</v>
      </c>
      <c r="AQ22" s="3">
        <v>3.2719356999999998</v>
      </c>
      <c r="AR22" s="3">
        <v>3.2666274999999998</v>
      </c>
      <c r="AS22" s="3">
        <v>3.2622235000000002</v>
      </c>
      <c r="AT22" s="3">
        <v>3.2585313</v>
      </c>
      <c r="AU22" s="3">
        <v>3.2554962999999999</v>
      </c>
      <c r="AV22" s="3">
        <v>3.2531021999999998</v>
      </c>
      <c r="AW22" s="3">
        <v>3.2513323000000001</v>
      </c>
      <c r="AX22" s="3">
        <v>3.2501701000000001</v>
      </c>
      <c r="AY22" s="3">
        <v>3.2495992</v>
      </c>
      <c r="AZ22" s="3">
        <v>3.249603</v>
      </c>
      <c r="BA22" s="3">
        <v>3.250165</v>
      </c>
      <c r="BB22" s="3">
        <v>3.2512688000000001</v>
      </c>
      <c r="BC22" s="3">
        <v>3.2528977000000001</v>
      </c>
      <c r="BD22" s="3">
        <v>3.2550354000000001</v>
      </c>
      <c r="BE22" s="3">
        <v>3.2576651999999999</v>
      </c>
      <c r="BF22" s="3">
        <v>3.2607713</v>
      </c>
      <c r="BG22" s="3">
        <v>3.2643407999999998</v>
      </c>
      <c r="BH22" s="3">
        <v>3.2683613</v>
      </c>
      <c r="BI22" s="3">
        <v>3.2728207</v>
      </c>
      <c r="BJ22" s="3">
        <v>3.2777067999999998</v>
      </c>
      <c r="BK22" s="3">
        <v>3.2830073999999998</v>
      </c>
      <c r="BL22" s="3">
        <v>3.2887100999999999</v>
      </c>
      <c r="BM22" s="3">
        <v>3.2948029999999999</v>
      </c>
      <c r="BN22" s="3">
        <v>3.3012736999999999</v>
      </c>
      <c r="BO22" s="3">
        <v>3.3081098999999998</v>
      </c>
      <c r="BP22" s="3">
        <v>3.3152995999999999</v>
      </c>
      <c r="BQ22" s="3">
        <v>3.3228304</v>
      </c>
      <c r="BR22" s="3">
        <v>3.3743970000000001</v>
      </c>
      <c r="BS22" s="3">
        <v>3.4345602</v>
      </c>
    </row>
    <row r="23" spans="1:71" x14ac:dyDescent="0.35">
      <c r="A23" s="6">
        <f t="shared" si="71"/>
        <v>45310</v>
      </c>
      <c r="B23">
        <f t="shared" si="66"/>
        <v>1</v>
      </c>
      <c r="C23">
        <f t="shared" si="67"/>
        <v>2024</v>
      </c>
      <c r="D23">
        <f t="shared" si="68"/>
        <v>202401</v>
      </c>
      <c r="E23">
        <f t="shared" si="69"/>
        <v>1</v>
      </c>
      <c r="F23">
        <f t="shared" si="70"/>
        <v>202401</v>
      </c>
      <c r="G23" t="s">
        <v>156</v>
      </c>
      <c r="H23" s="2">
        <v>5.25</v>
      </c>
      <c r="I23" s="2">
        <v>5.1875999999999998</v>
      </c>
      <c r="J23" s="3">
        <v>5.1887527999999996</v>
      </c>
      <c r="K23" s="3">
        <v>5.1780002999999999</v>
      </c>
      <c r="L23" s="3">
        <v>5.1399207999999996</v>
      </c>
      <c r="M23" s="3">
        <v>5.0660791999999999</v>
      </c>
      <c r="N23" s="3">
        <v>4.9607850999999998</v>
      </c>
      <c r="O23" s="3">
        <v>4.8358841999999997</v>
      </c>
      <c r="P23" s="3">
        <v>4.7040654999999996</v>
      </c>
      <c r="Q23" s="3">
        <v>4.5747957000000001</v>
      </c>
      <c r="R23" s="3">
        <v>4.4535067000000002</v>
      </c>
      <c r="S23" s="3">
        <v>4.3424420000000001</v>
      </c>
      <c r="T23" s="3">
        <v>4.2414709000000004</v>
      </c>
      <c r="U23" s="3">
        <v>4.1495841000000002</v>
      </c>
      <c r="V23" s="3">
        <v>4.0640079</v>
      </c>
      <c r="W23" s="3">
        <v>3.9839484000000001</v>
      </c>
      <c r="X23" s="3">
        <v>3.9094061999999998</v>
      </c>
      <c r="Y23" s="3">
        <v>3.8403786000000002</v>
      </c>
      <c r="Z23" s="3">
        <v>3.7768635000000002</v>
      </c>
      <c r="AA23" s="3">
        <v>3.718861</v>
      </c>
      <c r="AB23" s="3">
        <v>3.6663114999999999</v>
      </c>
      <c r="AC23" s="3">
        <v>3.6188894999999999</v>
      </c>
      <c r="AD23" s="3">
        <v>3.5761943</v>
      </c>
      <c r="AE23" s="3">
        <v>3.5378231000000002</v>
      </c>
      <c r="AF23" s="3">
        <v>3.5033734999999999</v>
      </c>
      <c r="AG23" s="3">
        <v>3.4724444000000001</v>
      </c>
      <c r="AH23" s="3">
        <v>3.4446637</v>
      </c>
      <c r="AI23" s="3">
        <v>3.4197932</v>
      </c>
      <c r="AJ23" s="3">
        <v>3.3976326000000001</v>
      </c>
      <c r="AK23" s="3">
        <v>3.3779807000000002</v>
      </c>
      <c r="AL23" s="3">
        <v>3.3606364000000002</v>
      </c>
      <c r="AM23" s="3">
        <v>3.3453992000000001</v>
      </c>
      <c r="AN23" s="3">
        <v>3.332068</v>
      </c>
      <c r="AO23" s="3">
        <v>3.3204416999999999</v>
      </c>
      <c r="AP23" s="3">
        <v>3.3103197</v>
      </c>
      <c r="AQ23" s="3">
        <v>3.3015010999999999</v>
      </c>
      <c r="AR23" s="3">
        <v>3.2937846999999998</v>
      </c>
      <c r="AS23" s="3">
        <v>3.2869698000000001</v>
      </c>
      <c r="AT23" s="3">
        <v>3.2808836000000001</v>
      </c>
      <c r="AU23" s="3">
        <v>3.2754764999999999</v>
      </c>
      <c r="AV23" s="3">
        <v>3.2707334000000001</v>
      </c>
      <c r="AW23" s="3">
        <v>3.2666390999999999</v>
      </c>
      <c r="AX23" s="3">
        <v>3.2631784000000001</v>
      </c>
      <c r="AY23" s="3">
        <v>3.2603360000000001</v>
      </c>
      <c r="AZ23" s="3">
        <v>3.2580966999999998</v>
      </c>
      <c r="BA23" s="3">
        <v>3.2564451999999999</v>
      </c>
      <c r="BB23" s="3">
        <v>3.2553664000000002</v>
      </c>
      <c r="BC23" s="3">
        <v>3.2548450999999998</v>
      </c>
      <c r="BD23" s="3">
        <v>3.2548659</v>
      </c>
      <c r="BE23" s="3">
        <v>3.2554135999999998</v>
      </c>
      <c r="BF23" s="3">
        <v>3.2564736000000001</v>
      </c>
      <c r="BG23" s="3">
        <v>3.2580330000000002</v>
      </c>
      <c r="BH23" s="3">
        <v>3.2600796000000001</v>
      </c>
      <c r="BI23" s="3">
        <v>3.2626013</v>
      </c>
      <c r="BJ23" s="3">
        <v>3.2655858000000002</v>
      </c>
      <c r="BK23" s="3">
        <v>3.269021</v>
      </c>
      <c r="BL23" s="3">
        <v>3.2728947000000002</v>
      </c>
      <c r="BM23" s="3">
        <v>3.2771946999999999</v>
      </c>
      <c r="BN23" s="3">
        <v>3.2819086999999998</v>
      </c>
      <c r="BO23" s="3">
        <v>3.2870246000000001</v>
      </c>
      <c r="BP23" s="3">
        <v>3.2925303000000001</v>
      </c>
      <c r="BQ23" s="3">
        <v>3.2984133999999998</v>
      </c>
      <c r="BR23" s="3">
        <v>3.3409002999999999</v>
      </c>
      <c r="BS23" s="3">
        <v>3.3935567</v>
      </c>
    </row>
    <row r="24" spans="1:71" x14ac:dyDescent="0.35">
      <c r="A24" s="6">
        <f t="shared" si="71"/>
        <v>45313</v>
      </c>
      <c r="B24">
        <f t="shared" si="66"/>
        <v>1</v>
      </c>
      <c r="C24">
        <f t="shared" si="67"/>
        <v>2024</v>
      </c>
      <c r="D24">
        <f t="shared" si="68"/>
        <v>202401</v>
      </c>
      <c r="E24">
        <f t="shared" si="69"/>
        <v>1</v>
      </c>
      <c r="F24">
        <f t="shared" si="70"/>
        <v>202401</v>
      </c>
      <c r="G24" t="s">
        <v>157</v>
      </c>
      <c r="H24" s="2">
        <v>5.25</v>
      </c>
      <c r="I24" s="2">
        <v>5.1879</v>
      </c>
      <c r="J24" s="3">
        <v>5.1876758000000001</v>
      </c>
      <c r="K24" s="3">
        <v>5.1735163000000002</v>
      </c>
      <c r="L24" s="3">
        <v>5.1304359000000002</v>
      </c>
      <c r="M24" s="3">
        <v>5.0506997</v>
      </c>
      <c r="N24" s="3">
        <v>4.9406131999999996</v>
      </c>
      <c r="O24" s="3">
        <v>4.8124133000000002</v>
      </c>
      <c r="P24" s="3">
        <v>4.6785996000000001</v>
      </c>
      <c r="Q24" s="3">
        <v>4.5482889999999996</v>
      </c>
      <c r="R24" s="3">
        <v>4.4266204</v>
      </c>
      <c r="S24" s="3">
        <v>4.3151827999999997</v>
      </c>
      <c r="T24" s="3">
        <v>4.2142325999999999</v>
      </c>
      <c r="U24" s="3">
        <v>4.1228926000000001</v>
      </c>
      <c r="V24" s="3">
        <v>4.0394158999999998</v>
      </c>
      <c r="W24" s="3">
        <v>3.9630131</v>
      </c>
      <c r="X24" s="3">
        <v>3.8932351000000001</v>
      </c>
      <c r="Y24" s="3">
        <v>3.8296296999999999</v>
      </c>
      <c r="Z24" s="3">
        <v>3.7717453000000001</v>
      </c>
      <c r="AA24" s="3">
        <v>3.7191320999999999</v>
      </c>
      <c r="AB24" s="3">
        <v>3.6713504000000001</v>
      </c>
      <c r="AC24" s="3">
        <v>3.6280057999999999</v>
      </c>
      <c r="AD24" s="3">
        <v>3.5887163000000002</v>
      </c>
      <c r="AE24" s="3">
        <v>3.5530986000000002</v>
      </c>
      <c r="AF24" s="3">
        <v>3.5207690999999999</v>
      </c>
      <c r="AG24" s="3">
        <v>3.4913457999999999</v>
      </c>
      <c r="AH24" s="3">
        <v>3.4644813999999999</v>
      </c>
      <c r="AI24" s="3">
        <v>3.4399885000000001</v>
      </c>
      <c r="AJ24" s="3">
        <v>3.4177247999999998</v>
      </c>
      <c r="AK24" s="3">
        <v>3.3975468000000002</v>
      </c>
      <c r="AL24" s="3">
        <v>3.3793112999999999</v>
      </c>
      <c r="AM24" s="3">
        <v>3.3628757999999999</v>
      </c>
      <c r="AN24" s="3">
        <v>3.3480968999999998</v>
      </c>
      <c r="AO24" s="3">
        <v>3.3348315999999998</v>
      </c>
      <c r="AP24" s="3">
        <v>3.322937</v>
      </c>
      <c r="AQ24" s="3">
        <v>3.3122699999999998</v>
      </c>
      <c r="AR24" s="3">
        <v>3.3026875000000002</v>
      </c>
      <c r="AS24" s="3">
        <v>3.2940466000000002</v>
      </c>
      <c r="AT24" s="3">
        <v>3.2862231</v>
      </c>
      <c r="AU24" s="3">
        <v>3.2791755</v>
      </c>
      <c r="AV24" s="3">
        <v>3.2728858999999999</v>
      </c>
      <c r="AW24" s="3">
        <v>3.2673356999999998</v>
      </c>
      <c r="AX24" s="3">
        <v>3.2625066999999999</v>
      </c>
      <c r="AY24" s="3">
        <v>3.2583806000000002</v>
      </c>
      <c r="AZ24" s="3">
        <v>3.2549391000000001</v>
      </c>
      <c r="BA24" s="3">
        <v>3.2521639000000002</v>
      </c>
      <c r="BB24" s="3">
        <v>3.2500366000000001</v>
      </c>
      <c r="BC24" s="3">
        <v>3.2485390999999999</v>
      </c>
      <c r="BD24" s="3">
        <v>3.2476528999999998</v>
      </c>
      <c r="BE24" s="3">
        <v>3.2473597000000001</v>
      </c>
      <c r="BF24" s="3">
        <v>3.2476419999999999</v>
      </c>
      <c r="BG24" s="3">
        <v>3.2484853</v>
      </c>
      <c r="BH24" s="3">
        <v>3.2498762999999999</v>
      </c>
      <c r="BI24" s="3">
        <v>3.2518020000000001</v>
      </c>
      <c r="BJ24" s="3">
        <v>3.2542491</v>
      </c>
      <c r="BK24" s="3">
        <v>3.2572043000000002</v>
      </c>
      <c r="BL24" s="3">
        <v>3.2606544</v>
      </c>
      <c r="BM24" s="3">
        <v>3.2645862999999999</v>
      </c>
      <c r="BN24" s="3">
        <v>3.2689867000000001</v>
      </c>
      <c r="BO24" s="3">
        <v>3.2738421999999998</v>
      </c>
      <c r="BP24" s="3">
        <v>3.2791399000000001</v>
      </c>
      <c r="BQ24" s="3">
        <v>3.2848663999999999</v>
      </c>
      <c r="BR24" s="3">
        <v>3.3273443999999999</v>
      </c>
      <c r="BS24" s="3">
        <v>3.3810345000000002</v>
      </c>
    </row>
    <row r="25" spans="1:71" x14ac:dyDescent="0.35">
      <c r="A25" s="6">
        <f t="shared" si="71"/>
        <v>45314</v>
      </c>
      <c r="B25">
        <f t="shared" si="66"/>
        <v>1</v>
      </c>
      <c r="C25">
        <f t="shared" si="67"/>
        <v>2024</v>
      </c>
      <c r="D25">
        <f t="shared" si="68"/>
        <v>202401</v>
      </c>
      <c r="E25">
        <f t="shared" si="69"/>
        <v>1</v>
      </c>
      <c r="F25">
        <f t="shared" si="70"/>
        <v>202401</v>
      </c>
      <c r="G25" t="s">
        <v>158</v>
      </c>
      <c r="H25" s="2">
        <v>5.25</v>
      </c>
      <c r="I25" s="2">
        <v>5.1872999999999996</v>
      </c>
      <c r="J25" s="3">
        <v>5.1859941000000003</v>
      </c>
      <c r="K25" s="3">
        <v>5.1749590000000003</v>
      </c>
      <c r="L25" s="3">
        <v>5.1400496000000002</v>
      </c>
      <c r="M25" s="3">
        <v>5.0725395999999998</v>
      </c>
      <c r="N25" s="3">
        <v>4.9760911999999999</v>
      </c>
      <c r="O25" s="3">
        <v>4.8604414</v>
      </c>
      <c r="P25" s="3">
        <v>4.7365585000000001</v>
      </c>
      <c r="Q25" s="3">
        <v>4.6134215999999997</v>
      </c>
      <c r="R25" s="3">
        <v>4.4966809999999997</v>
      </c>
      <c r="S25" s="3">
        <v>4.3890212000000002</v>
      </c>
      <c r="T25" s="3">
        <v>4.2910855999999997</v>
      </c>
      <c r="U25" s="3">
        <v>4.2025816999999996</v>
      </c>
      <c r="V25" s="3">
        <v>4.1210901</v>
      </c>
      <c r="W25" s="3">
        <v>4.0457403000000003</v>
      </c>
      <c r="X25" s="3">
        <v>3.9762845000000002</v>
      </c>
      <c r="Y25" s="3">
        <v>3.9124720000000002</v>
      </c>
      <c r="Z25" s="3">
        <v>3.8540524</v>
      </c>
      <c r="AA25" s="3">
        <v>3.8007773999999999</v>
      </c>
      <c r="AB25" s="3">
        <v>3.7523740000000001</v>
      </c>
      <c r="AC25" s="3">
        <v>3.7084834</v>
      </c>
      <c r="AD25" s="3">
        <v>3.6687280000000002</v>
      </c>
      <c r="AE25" s="3">
        <v>3.6327286999999999</v>
      </c>
      <c r="AF25" s="3">
        <v>3.6001064</v>
      </c>
      <c r="AG25" s="3">
        <v>3.5704832</v>
      </c>
      <c r="AH25" s="3">
        <v>3.5435145000000001</v>
      </c>
      <c r="AI25" s="3">
        <v>3.5190070000000002</v>
      </c>
      <c r="AJ25" s="3">
        <v>3.4968102999999999</v>
      </c>
      <c r="AK25" s="3">
        <v>3.4767730999999999</v>
      </c>
      <c r="AL25" s="3">
        <v>3.4587441000000001</v>
      </c>
      <c r="AM25" s="3">
        <v>3.4425726999999999</v>
      </c>
      <c r="AN25" s="3">
        <v>3.4281076000000001</v>
      </c>
      <c r="AO25" s="3">
        <v>3.4151975999999999</v>
      </c>
      <c r="AP25" s="3">
        <v>3.4036919999999999</v>
      </c>
      <c r="AQ25" s="3">
        <v>3.3934397000000001</v>
      </c>
      <c r="AR25" s="3">
        <v>3.3842894000000001</v>
      </c>
      <c r="AS25" s="3">
        <v>3.3760902000000002</v>
      </c>
      <c r="AT25" s="3">
        <v>3.3687071999999998</v>
      </c>
      <c r="AU25" s="3">
        <v>3.3620912000000001</v>
      </c>
      <c r="AV25" s="3">
        <v>3.3562224999999999</v>
      </c>
      <c r="AW25" s="3">
        <v>3.3510808999999999</v>
      </c>
      <c r="AX25" s="3">
        <v>3.3466464999999999</v>
      </c>
      <c r="AY25" s="3">
        <v>3.3428993999999999</v>
      </c>
      <c r="AZ25" s="3">
        <v>3.3398194999999999</v>
      </c>
      <c r="BA25" s="3">
        <v>3.3373868999999998</v>
      </c>
      <c r="BB25" s="3">
        <v>3.3355815</v>
      </c>
      <c r="BC25" s="3">
        <v>3.3343834999999999</v>
      </c>
      <c r="BD25" s="3">
        <v>3.3337726999999999</v>
      </c>
      <c r="BE25" s="3">
        <v>3.3337292999999999</v>
      </c>
      <c r="BF25" s="3">
        <v>3.3342339999999999</v>
      </c>
      <c r="BG25" s="3">
        <v>3.3352710999999999</v>
      </c>
      <c r="BH25" s="3">
        <v>3.3368259</v>
      </c>
      <c r="BI25" s="3">
        <v>3.3388838999999999</v>
      </c>
      <c r="BJ25" s="3">
        <v>3.3414304000000001</v>
      </c>
      <c r="BK25" s="3">
        <v>3.3444509</v>
      </c>
      <c r="BL25" s="3">
        <v>3.3479307</v>
      </c>
      <c r="BM25" s="3">
        <v>3.3518553</v>
      </c>
      <c r="BN25" s="3">
        <v>3.3562099000000001</v>
      </c>
      <c r="BO25" s="3">
        <v>3.3609800000000001</v>
      </c>
      <c r="BP25" s="3">
        <v>3.3661511000000002</v>
      </c>
      <c r="BQ25" s="3">
        <v>3.3717084000000002</v>
      </c>
      <c r="BR25" s="3">
        <v>3.4123271000000002</v>
      </c>
      <c r="BS25" s="3">
        <v>3.4630551999999999</v>
      </c>
    </row>
    <row r="26" spans="1:71" x14ac:dyDescent="0.35">
      <c r="A26" s="6">
        <f t="shared" si="71"/>
        <v>45315</v>
      </c>
      <c r="B26">
        <f t="shared" si="66"/>
        <v>1</v>
      </c>
      <c r="C26">
        <f t="shared" si="67"/>
        <v>2024</v>
      </c>
      <c r="D26">
        <f t="shared" si="68"/>
        <v>202401</v>
      </c>
      <c r="E26">
        <f t="shared" si="69"/>
        <v>1</v>
      </c>
      <c r="F26">
        <f t="shared" si="70"/>
        <v>202401</v>
      </c>
      <c r="G26" t="s">
        <v>159</v>
      </c>
      <c r="H26" s="2">
        <v>5.25</v>
      </c>
      <c r="I26" s="2">
        <v>5.1875</v>
      </c>
      <c r="J26" s="3">
        <v>5.1849090000000002</v>
      </c>
      <c r="K26" s="3">
        <v>5.1767840999999999</v>
      </c>
      <c r="L26" s="3">
        <v>5.1466114999999997</v>
      </c>
      <c r="M26" s="3">
        <v>5.0856415999999998</v>
      </c>
      <c r="N26" s="3">
        <v>4.9962078999999999</v>
      </c>
      <c r="O26" s="3">
        <v>4.8863583999999998</v>
      </c>
      <c r="P26" s="3">
        <v>4.7669034000000003</v>
      </c>
      <c r="Q26" s="3">
        <v>4.6468661999999998</v>
      </c>
      <c r="R26" s="3">
        <v>4.5323209000000002</v>
      </c>
      <c r="S26" s="3">
        <v>4.4261775999999999</v>
      </c>
      <c r="T26" s="3">
        <v>4.3293257000000001</v>
      </c>
      <c r="U26" s="3">
        <v>4.2413793999999996</v>
      </c>
      <c r="V26" s="3">
        <v>4.1600153999999998</v>
      </c>
      <c r="W26" s="3">
        <v>4.0844407</v>
      </c>
      <c r="X26" s="3">
        <v>4.0144536000000004</v>
      </c>
      <c r="Y26" s="3">
        <v>3.9498500999999999</v>
      </c>
      <c r="Z26" s="3">
        <v>3.8904258999999999</v>
      </c>
      <c r="AA26" s="3">
        <v>3.8359793999999998</v>
      </c>
      <c r="AB26" s="3">
        <v>3.7862836999999998</v>
      </c>
      <c r="AC26" s="3">
        <v>3.7410260000000002</v>
      </c>
      <c r="AD26" s="3">
        <v>3.6998742999999998</v>
      </c>
      <c r="AE26" s="3">
        <v>3.6624949999999998</v>
      </c>
      <c r="AF26" s="3">
        <v>3.6285549000000001</v>
      </c>
      <c r="AG26" s="3">
        <v>3.5977218</v>
      </c>
      <c r="AH26" s="3">
        <v>3.5696826000000001</v>
      </c>
      <c r="AI26" s="3">
        <v>3.5442338000000002</v>
      </c>
      <c r="AJ26" s="3">
        <v>3.5212096000000002</v>
      </c>
      <c r="AK26" s="3">
        <v>3.5004431999999999</v>
      </c>
      <c r="AL26" s="3">
        <v>3.4817681</v>
      </c>
      <c r="AM26" s="3">
        <v>3.4650181</v>
      </c>
      <c r="AN26" s="3">
        <v>3.4500266000000002</v>
      </c>
      <c r="AO26" s="3">
        <v>3.4366270999999999</v>
      </c>
      <c r="AP26" s="3">
        <v>3.4246533000000001</v>
      </c>
      <c r="AQ26" s="3">
        <v>3.4139387999999999</v>
      </c>
      <c r="AR26" s="3">
        <v>3.4043168000000001</v>
      </c>
      <c r="AS26" s="3">
        <v>3.3956214</v>
      </c>
      <c r="AT26" s="3">
        <v>3.3877060000000001</v>
      </c>
      <c r="AU26" s="3">
        <v>3.3805230000000002</v>
      </c>
      <c r="AV26" s="3">
        <v>3.3740549</v>
      </c>
      <c r="AW26" s="3">
        <v>3.3682839000000002</v>
      </c>
      <c r="AX26" s="3">
        <v>3.3631924</v>
      </c>
      <c r="AY26" s="3">
        <v>3.3587628999999999</v>
      </c>
      <c r="AZ26" s="3">
        <v>3.3549775999999998</v>
      </c>
      <c r="BA26" s="3">
        <v>3.3518189</v>
      </c>
      <c r="BB26" s="3">
        <v>3.3492692000000002</v>
      </c>
      <c r="BC26" s="3">
        <v>3.3473107999999998</v>
      </c>
      <c r="BD26" s="3">
        <v>3.3459260999999998</v>
      </c>
      <c r="BE26" s="3">
        <v>3.3450975000000001</v>
      </c>
      <c r="BF26" s="3">
        <v>3.344808</v>
      </c>
      <c r="BG26" s="3">
        <v>3.3450446</v>
      </c>
      <c r="BH26" s="3">
        <v>3.3457951000000001</v>
      </c>
      <c r="BI26" s="3">
        <v>3.3470471000000002</v>
      </c>
      <c r="BJ26" s="3">
        <v>3.3487885999999998</v>
      </c>
      <c r="BK26" s="3">
        <v>3.3510073</v>
      </c>
      <c r="BL26" s="3">
        <v>3.3536910999999998</v>
      </c>
      <c r="BM26" s="3">
        <v>3.3568278</v>
      </c>
      <c r="BN26" s="3">
        <v>3.3604050000000001</v>
      </c>
      <c r="BO26" s="3">
        <v>3.3644107000000001</v>
      </c>
      <c r="BP26" s="3">
        <v>3.3688327</v>
      </c>
      <c r="BQ26" s="3">
        <v>3.3736587999999998</v>
      </c>
      <c r="BR26" s="3">
        <v>3.4103029</v>
      </c>
      <c r="BS26" s="3">
        <v>3.4577190999999998</v>
      </c>
    </row>
    <row r="27" spans="1:71" x14ac:dyDescent="0.35">
      <c r="A27" s="6">
        <f t="shared" si="71"/>
        <v>45316</v>
      </c>
      <c r="B27">
        <f t="shared" si="66"/>
        <v>1</v>
      </c>
      <c r="C27">
        <f t="shared" si="67"/>
        <v>2024</v>
      </c>
      <c r="D27">
        <f t="shared" si="68"/>
        <v>202401</v>
      </c>
      <c r="E27">
        <f t="shared" si="69"/>
        <v>1</v>
      </c>
      <c r="F27">
        <f t="shared" si="70"/>
        <v>202401</v>
      </c>
      <c r="G27" t="s">
        <v>160</v>
      </c>
      <c r="H27" s="2">
        <v>5.25</v>
      </c>
      <c r="I27" s="2">
        <v>5.1882000000000001</v>
      </c>
      <c r="J27" s="3">
        <v>5.1848684</v>
      </c>
      <c r="K27" s="3">
        <v>5.1711606000000003</v>
      </c>
      <c r="L27" s="3">
        <v>5.1350126999999999</v>
      </c>
      <c r="M27" s="3">
        <v>5.0678324999999997</v>
      </c>
      <c r="N27" s="3">
        <v>4.9714397999999997</v>
      </c>
      <c r="O27" s="3">
        <v>4.8557014000000001</v>
      </c>
      <c r="P27" s="3">
        <v>4.7312193999999996</v>
      </c>
      <c r="Q27" s="3">
        <v>4.6063979000000002</v>
      </c>
      <c r="R27" s="3">
        <v>4.4865811000000004</v>
      </c>
      <c r="S27" s="3">
        <v>4.3743689999999997</v>
      </c>
      <c r="T27" s="3">
        <v>4.2709707999999997</v>
      </c>
      <c r="U27" s="3">
        <v>4.1762113999999997</v>
      </c>
      <c r="V27" s="3">
        <v>4.0885337000000002</v>
      </c>
      <c r="W27" s="3">
        <v>4.0073987999999998</v>
      </c>
      <c r="X27" s="3">
        <v>3.9327614999999998</v>
      </c>
      <c r="Y27" s="3">
        <v>3.8645738000000001</v>
      </c>
      <c r="Z27" s="3">
        <v>3.8027880000000001</v>
      </c>
      <c r="AA27" s="3">
        <v>3.7473586000000001</v>
      </c>
      <c r="AB27" s="3">
        <v>3.6981440000000001</v>
      </c>
      <c r="AC27" s="3">
        <v>3.6546449999999999</v>
      </c>
      <c r="AD27" s="3">
        <v>3.6162787000000001</v>
      </c>
      <c r="AE27" s="3">
        <v>3.5824606999999999</v>
      </c>
      <c r="AF27" s="3">
        <v>3.5526068</v>
      </c>
      <c r="AG27" s="3">
        <v>3.5261338000000002</v>
      </c>
      <c r="AH27" s="3">
        <v>3.5025116999999999</v>
      </c>
      <c r="AI27" s="3">
        <v>3.4814745999999999</v>
      </c>
      <c r="AJ27" s="3">
        <v>3.4628378</v>
      </c>
      <c r="AK27" s="3">
        <v>3.4464158</v>
      </c>
      <c r="AL27" s="3">
        <v>3.4320232000000002</v>
      </c>
      <c r="AM27" s="3">
        <v>3.4194751999999999</v>
      </c>
      <c r="AN27" s="3">
        <v>3.4085863000000001</v>
      </c>
      <c r="AO27" s="3">
        <v>3.3991712000000001</v>
      </c>
      <c r="AP27" s="3">
        <v>3.3910448999999998</v>
      </c>
      <c r="AQ27" s="3">
        <v>3.3840221000000001</v>
      </c>
      <c r="AR27" s="3">
        <v>3.3779175000000001</v>
      </c>
      <c r="AS27" s="3">
        <v>3.3725459999999998</v>
      </c>
      <c r="AT27" s="3">
        <v>3.3677491000000002</v>
      </c>
      <c r="AU27" s="3">
        <v>3.3634868999999998</v>
      </c>
      <c r="AV27" s="3">
        <v>3.3597524000000001</v>
      </c>
      <c r="AW27" s="3">
        <v>3.3565382000000001</v>
      </c>
      <c r="AX27" s="3">
        <v>3.3538372999999999</v>
      </c>
      <c r="AY27" s="3">
        <v>3.3516423</v>
      </c>
      <c r="AZ27" s="3">
        <v>3.3499462000000002</v>
      </c>
      <c r="BA27" s="3">
        <v>3.3487417000000002</v>
      </c>
      <c r="BB27" s="3">
        <v>3.3480216</v>
      </c>
      <c r="BC27" s="3">
        <v>3.3477787999999999</v>
      </c>
      <c r="BD27" s="3">
        <v>3.3480059999999998</v>
      </c>
      <c r="BE27" s="3">
        <v>3.3486961000000002</v>
      </c>
      <c r="BF27" s="3">
        <v>3.3498415000000001</v>
      </c>
      <c r="BG27" s="3">
        <v>3.3514322000000001</v>
      </c>
      <c r="BH27" s="3">
        <v>3.3534578000000002</v>
      </c>
      <c r="BI27" s="3">
        <v>3.3559079999999999</v>
      </c>
      <c r="BJ27" s="3">
        <v>3.3587723999999999</v>
      </c>
      <c r="BK27" s="3">
        <v>3.3620404000000002</v>
      </c>
      <c r="BL27" s="3">
        <v>3.3657018000000001</v>
      </c>
      <c r="BM27" s="3">
        <v>3.3697460000000001</v>
      </c>
      <c r="BN27" s="3">
        <v>3.3741628000000001</v>
      </c>
      <c r="BO27" s="3">
        <v>3.3789414999999998</v>
      </c>
      <c r="BP27" s="3">
        <v>3.3840720000000002</v>
      </c>
      <c r="BQ27" s="3">
        <v>3.3895436999999999</v>
      </c>
      <c r="BR27" s="3">
        <v>3.4289336000000001</v>
      </c>
      <c r="BS27" s="3">
        <v>3.4778424999999999</v>
      </c>
    </row>
    <row r="28" spans="1:71" x14ac:dyDescent="0.35">
      <c r="A28" s="6">
        <f t="shared" si="71"/>
        <v>45317</v>
      </c>
      <c r="B28">
        <f t="shared" si="66"/>
        <v>1</v>
      </c>
      <c r="C28">
        <f t="shared" si="67"/>
        <v>2024</v>
      </c>
      <c r="D28">
        <f t="shared" si="68"/>
        <v>202401</v>
      </c>
      <c r="E28">
        <f t="shared" si="69"/>
        <v>1</v>
      </c>
      <c r="F28">
        <f t="shared" si="70"/>
        <v>202401</v>
      </c>
      <c r="G28" t="s">
        <v>161</v>
      </c>
      <c r="H28" s="2">
        <v>5.25</v>
      </c>
      <c r="I28" s="2">
        <v>5.1882000000000001</v>
      </c>
      <c r="J28" s="3">
        <v>5.1874973999999998</v>
      </c>
      <c r="K28" s="3">
        <v>5.1729279000000004</v>
      </c>
      <c r="L28" s="3">
        <v>5.1327997999999999</v>
      </c>
      <c r="M28" s="3">
        <v>5.0586389</v>
      </c>
      <c r="N28" s="3">
        <v>4.9538674</v>
      </c>
      <c r="O28" s="3">
        <v>4.8295180999999996</v>
      </c>
      <c r="P28" s="3">
        <v>4.6976255</v>
      </c>
      <c r="Q28" s="3">
        <v>4.5675298</v>
      </c>
      <c r="R28" s="3">
        <v>4.4446446000000002</v>
      </c>
      <c r="S28" s="3">
        <v>4.3316486999999997</v>
      </c>
      <c r="T28" s="3">
        <v>4.229031</v>
      </c>
      <c r="U28" s="3">
        <v>4.1361011000000003</v>
      </c>
      <c r="V28" s="3">
        <v>4.0503140000000002</v>
      </c>
      <c r="W28" s="3">
        <v>3.9708169</v>
      </c>
      <c r="X28" s="3">
        <v>3.8974764999999998</v>
      </c>
      <c r="Y28" s="3">
        <v>3.8301566</v>
      </c>
      <c r="Z28" s="3">
        <v>3.7687214999999998</v>
      </c>
      <c r="AA28" s="3">
        <v>3.7130375999999998</v>
      </c>
      <c r="AB28" s="3">
        <v>3.6629307999999998</v>
      </c>
      <c r="AC28" s="3">
        <v>3.6180496</v>
      </c>
      <c r="AD28" s="3">
        <v>3.5779926999999998</v>
      </c>
      <c r="AE28" s="3">
        <v>3.5423570999999998</v>
      </c>
      <c r="AF28" s="3">
        <v>3.5107401</v>
      </c>
      <c r="AG28" s="3">
        <v>3.4827398999999999</v>
      </c>
      <c r="AH28" s="3">
        <v>3.4579816000000001</v>
      </c>
      <c r="AI28" s="3">
        <v>3.4362127</v>
      </c>
      <c r="AJ28" s="3">
        <v>3.4172153999999999</v>
      </c>
      <c r="AK28" s="3">
        <v>3.4007711</v>
      </c>
      <c r="AL28" s="3">
        <v>3.3866611999999998</v>
      </c>
      <c r="AM28" s="3">
        <v>3.3746676999999998</v>
      </c>
      <c r="AN28" s="3">
        <v>3.3645722</v>
      </c>
      <c r="AO28" s="3">
        <v>3.3561559999999999</v>
      </c>
      <c r="AP28" s="3">
        <v>3.3492011000000002</v>
      </c>
      <c r="AQ28" s="3">
        <v>3.3434889999999999</v>
      </c>
      <c r="AR28" s="3">
        <v>3.3388013000000001</v>
      </c>
      <c r="AS28" s="3">
        <v>3.3349198000000002</v>
      </c>
      <c r="AT28" s="3">
        <v>3.3316558999999999</v>
      </c>
      <c r="AU28" s="3">
        <v>3.3289534000000001</v>
      </c>
      <c r="AV28" s="3">
        <v>3.3267924999999998</v>
      </c>
      <c r="AW28" s="3">
        <v>3.3251534</v>
      </c>
      <c r="AX28" s="3">
        <v>3.3240162</v>
      </c>
      <c r="AY28" s="3">
        <v>3.3233611999999999</v>
      </c>
      <c r="AZ28" s="3">
        <v>3.3231685999999998</v>
      </c>
      <c r="BA28" s="3">
        <v>3.3234184999999998</v>
      </c>
      <c r="BB28" s="3">
        <v>3.3240911</v>
      </c>
      <c r="BC28" s="3">
        <v>3.3251667</v>
      </c>
      <c r="BD28" s="3">
        <v>3.3266254000000002</v>
      </c>
      <c r="BE28" s="3">
        <v>3.3284473999999999</v>
      </c>
      <c r="BF28" s="3">
        <v>3.3306155</v>
      </c>
      <c r="BG28" s="3">
        <v>3.3331238000000001</v>
      </c>
      <c r="BH28" s="3">
        <v>3.3359694000000002</v>
      </c>
      <c r="BI28" s="3">
        <v>3.3391495</v>
      </c>
      <c r="BJ28" s="3">
        <v>3.3426615000000002</v>
      </c>
      <c r="BK28" s="3">
        <v>3.3465023999999999</v>
      </c>
      <c r="BL28" s="3">
        <v>3.3506695</v>
      </c>
      <c r="BM28" s="3">
        <v>3.3551601</v>
      </c>
      <c r="BN28" s="3">
        <v>3.3599711999999999</v>
      </c>
      <c r="BO28" s="3">
        <v>3.3651000999999998</v>
      </c>
      <c r="BP28" s="3">
        <v>3.3705441</v>
      </c>
      <c r="BQ28" s="3">
        <v>3.3763003</v>
      </c>
      <c r="BR28" s="3">
        <v>3.4170300999999998</v>
      </c>
      <c r="BS28" s="3">
        <v>3.4670204999999998</v>
      </c>
    </row>
    <row r="29" spans="1:71" x14ac:dyDescent="0.35">
      <c r="A29" s="6">
        <f t="shared" si="71"/>
        <v>45320</v>
      </c>
      <c r="B29">
        <f t="shared" si="66"/>
        <v>1</v>
      </c>
      <c r="C29">
        <f t="shared" si="67"/>
        <v>2024</v>
      </c>
      <c r="D29">
        <f t="shared" si="68"/>
        <v>202401</v>
      </c>
      <c r="E29">
        <f t="shared" si="69"/>
        <v>1</v>
      </c>
      <c r="F29">
        <f t="shared" si="70"/>
        <v>202401</v>
      </c>
      <c r="G29" t="s">
        <v>162</v>
      </c>
      <c r="H29" s="2">
        <v>5.25</v>
      </c>
      <c r="I29" s="2">
        <v>5.1879</v>
      </c>
      <c r="J29" s="3">
        <v>5.1864936999999998</v>
      </c>
      <c r="K29" s="3">
        <v>5.1663777</v>
      </c>
      <c r="L29" s="3">
        <v>5.1185650000000003</v>
      </c>
      <c r="M29" s="3">
        <v>5.0334146999999998</v>
      </c>
      <c r="N29" s="3">
        <v>4.9173387999999996</v>
      </c>
      <c r="O29" s="3">
        <v>4.7828564</v>
      </c>
      <c r="P29" s="3">
        <v>4.6430781999999997</v>
      </c>
      <c r="Q29" s="3">
        <v>4.5071275999999996</v>
      </c>
      <c r="R29" s="3">
        <v>4.3797940999999998</v>
      </c>
      <c r="S29" s="3">
        <v>4.2627777</v>
      </c>
      <c r="T29" s="3">
        <v>4.1567100000000003</v>
      </c>
      <c r="U29" s="3">
        <v>4.0609840999999998</v>
      </c>
      <c r="V29" s="3">
        <v>3.9735798999999998</v>
      </c>
      <c r="W29" s="3">
        <v>3.8936277000000001</v>
      </c>
      <c r="X29" s="3">
        <v>3.8207013000000001</v>
      </c>
      <c r="Y29" s="3">
        <v>3.7543714000000001</v>
      </c>
      <c r="Z29" s="3">
        <v>3.6942089999999999</v>
      </c>
      <c r="AA29" s="3">
        <v>3.6397875000000002</v>
      </c>
      <c r="AB29" s="3">
        <v>3.5906908999999998</v>
      </c>
      <c r="AC29" s="3">
        <v>3.546554</v>
      </c>
      <c r="AD29" s="3">
        <v>3.5070247999999999</v>
      </c>
      <c r="AE29" s="3">
        <v>3.4717498</v>
      </c>
      <c r="AF29" s="3">
        <v>3.4403758</v>
      </c>
      <c r="AG29" s="3">
        <v>3.4125505</v>
      </c>
      <c r="AH29" s="3">
        <v>3.3879402999999999</v>
      </c>
      <c r="AI29" s="3">
        <v>3.3662987000000002</v>
      </c>
      <c r="AJ29" s="3">
        <v>3.3474039000000002</v>
      </c>
      <c r="AK29" s="3">
        <v>3.3310331</v>
      </c>
      <c r="AL29" s="3">
        <v>3.316964</v>
      </c>
      <c r="AM29" s="3">
        <v>3.3049745000000001</v>
      </c>
      <c r="AN29" s="3">
        <v>3.2948420999999999</v>
      </c>
      <c r="AO29" s="3">
        <v>3.2863443999999999</v>
      </c>
      <c r="AP29" s="3">
        <v>3.2792593000000001</v>
      </c>
      <c r="AQ29" s="3">
        <v>3.2733642999999999</v>
      </c>
      <c r="AR29" s="3">
        <v>3.268437</v>
      </c>
      <c r="AS29" s="3">
        <v>3.2642552</v>
      </c>
      <c r="AT29" s="3">
        <v>3.2606278</v>
      </c>
      <c r="AU29" s="3">
        <v>3.2575020000000001</v>
      </c>
      <c r="AV29" s="3">
        <v>3.2548634000000001</v>
      </c>
      <c r="AW29" s="3">
        <v>3.2526972000000001</v>
      </c>
      <c r="AX29" s="3">
        <v>3.2509888999999998</v>
      </c>
      <c r="AY29" s="3">
        <v>3.2497237999999999</v>
      </c>
      <c r="AZ29" s="3">
        <v>3.2488872999999998</v>
      </c>
      <c r="BA29" s="3">
        <v>3.2484649000000001</v>
      </c>
      <c r="BB29" s="3">
        <v>3.2484419</v>
      </c>
      <c r="BC29" s="3">
        <v>3.2488036999999998</v>
      </c>
      <c r="BD29" s="3">
        <v>3.2495357999999999</v>
      </c>
      <c r="BE29" s="3">
        <v>3.2506235000000001</v>
      </c>
      <c r="BF29" s="3">
        <v>3.2520544</v>
      </c>
      <c r="BG29" s="3">
        <v>3.2538288</v>
      </c>
      <c r="BH29" s="3">
        <v>3.2559509000000002</v>
      </c>
      <c r="BI29" s="3">
        <v>3.2584247999999998</v>
      </c>
      <c r="BJ29" s="3">
        <v>3.2612549999999998</v>
      </c>
      <c r="BK29" s="3">
        <v>3.2644457</v>
      </c>
      <c r="BL29" s="3">
        <v>3.2680009999999999</v>
      </c>
      <c r="BM29" s="3">
        <v>3.2719252999999999</v>
      </c>
      <c r="BN29" s="3">
        <v>3.2762229</v>
      </c>
      <c r="BO29" s="3">
        <v>3.2808978999999998</v>
      </c>
      <c r="BP29" s="3">
        <v>3.2859547999999998</v>
      </c>
      <c r="BQ29" s="3">
        <v>3.2913975999999998</v>
      </c>
      <c r="BR29" s="3">
        <v>3.3317771999999999</v>
      </c>
      <c r="BS29" s="3">
        <v>3.3833080999999998</v>
      </c>
    </row>
    <row r="30" spans="1:71" x14ac:dyDescent="0.35">
      <c r="A30" s="6">
        <f t="shared" si="71"/>
        <v>45321</v>
      </c>
      <c r="B30">
        <f t="shared" si="66"/>
        <v>1</v>
      </c>
      <c r="C30">
        <f t="shared" si="67"/>
        <v>2024</v>
      </c>
      <c r="D30">
        <f t="shared" si="68"/>
        <v>202401</v>
      </c>
      <c r="E30">
        <f t="shared" si="69"/>
        <v>1</v>
      </c>
      <c r="F30">
        <f t="shared" si="70"/>
        <v>202401</v>
      </c>
      <c r="G30" t="s">
        <v>163</v>
      </c>
      <c r="H30" s="2">
        <v>5.25</v>
      </c>
      <c r="I30" s="2">
        <v>5.1883999999999997</v>
      </c>
      <c r="J30" s="3">
        <v>5.1869579999999997</v>
      </c>
      <c r="K30" s="3">
        <v>5.1684799999999997</v>
      </c>
      <c r="L30" s="3">
        <v>5.1244585999999996</v>
      </c>
      <c r="M30" s="3">
        <v>5.0467744999999997</v>
      </c>
      <c r="N30" s="3">
        <v>4.9411632000000001</v>
      </c>
      <c r="O30" s="3">
        <v>4.8183483999999996</v>
      </c>
      <c r="P30" s="3">
        <v>4.6897798000000002</v>
      </c>
      <c r="Q30" s="3">
        <v>4.5638500999999998</v>
      </c>
      <c r="R30" s="3">
        <v>4.4450089999999998</v>
      </c>
      <c r="S30" s="3">
        <v>4.3352313999999996</v>
      </c>
      <c r="T30" s="3">
        <v>4.2351082</v>
      </c>
      <c r="U30" s="3">
        <v>4.1444714999999999</v>
      </c>
      <c r="V30" s="3">
        <v>4.0609405000000001</v>
      </c>
      <c r="W30" s="3">
        <v>3.9836651999999999</v>
      </c>
      <c r="X30" s="3">
        <v>3.9124211999999998</v>
      </c>
      <c r="Y30" s="3">
        <v>3.8469814000000002</v>
      </c>
      <c r="Z30" s="3">
        <v>3.7871190000000001</v>
      </c>
      <c r="AA30" s="3">
        <v>3.7326093</v>
      </c>
      <c r="AB30" s="3">
        <v>3.6831920999999999</v>
      </c>
      <c r="AC30" s="3">
        <v>3.6384810000000001</v>
      </c>
      <c r="AD30" s="3">
        <v>3.598061</v>
      </c>
      <c r="AE30" s="3">
        <v>3.5615152999999999</v>
      </c>
      <c r="AF30" s="3">
        <v>3.5284276000000001</v>
      </c>
      <c r="AG30" s="3">
        <v>3.4983825</v>
      </c>
      <c r="AH30" s="3">
        <v>3.4710035000000001</v>
      </c>
      <c r="AI30" s="3">
        <v>3.4460909000000002</v>
      </c>
      <c r="AJ30" s="3">
        <v>3.4234947999999998</v>
      </c>
      <c r="AK30" s="3">
        <v>3.4030642000000002</v>
      </c>
      <c r="AL30" s="3">
        <v>3.3846482</v>
      </c>
      <c r="AM30" s="3">
        <v>3.3680965999999999</v>
      </c>
      <c r="AN30" s="3">
        <v>3.3532586000000002</v>
      </c>
      <c r="AO30" s="3">
        <v>3.3399833999999999</v>
      </c>
      <c r="AP30" s="3">
        <v>3.3281206999999999</v>
      </c>
      <c r="AQ30" s="3">
        <v>3.3175195999999998</v>
      </c>
      <c r="AR30" s="3">
        <v>3.3080295</v>
      </c>
      <c r="AS30" s="3">
        <v>3.2994998999999998</v>
      </c>
      <c r="AT30" s="3">
        <v>3.2917964999999998</v>
      </c>
      <c r="AU30" s="3">
        <v>3.2848739</v>
      </c>
      <c r="AV30" s="3">
        <v>3.2787166999999999</v>
      </c>
      <c r="AW30" s="3">
        <v>3.2733089999999998</v>
      </c>
      <c r="AX30" s="3">
        <v>3.2686354</v>
      </c>
      <c r="AY30" s="3">
        <v>3.2646803000000002</v>
      </c>
      <c r="AZ30" s="3">
        <v>3.2614279000000002</v>
      </c>
      <c r="BA30" s="3">
        <v>3.2588628000000002</v>
      </c>
      <c r="BB30" s="3">
        <v>3.2569694</v>
      </c>
      <c r="BC30" s="3">
        <v>3.2557320000000001</v>
      </c>
      <c r="BD30" s="3">
        <v>3.2551350000000001</v>
      </c>
      <c r="BE30" s="3">
        <v>3.2551629000000002</v>
      </c>
      <c r="BF30" s="3">
        <v>3.2557996999999999</v>
      </c>
      <c r="BG30" s="3">
        <v>3.2570285000000001</v>
      </c>
      <c r="BH30" s="3">
        <v>3.258832</v>
      </c>
      <c r="BI30" s="3">
        <v>3.2611929000000002</v>
      </c>
      <c r="BJ30" s="3">
        <v>3.2640937000000001</v>
      </c>
      <c r="BK30" s="3">
        <v>3.2675171000000001</v>
      </c>
      <c r="BL30" s="3">
        <v>3.2714458999999998</v>
      </c>
      <c r="BM30" s="3">
        <v>3.2758626</v>
      </c>
      <c r="BN30" s="3">
        <v>3.2807499999999998</v>
      </c>
      <c r="BO30" s="3">
        <v>3.2860906000000001</v>
      </c>
      <c r="BP30" s="3">
        <v>3.2918672</v>
      </c>
      <c r="BQ30" s="3">
        <v>3.2980624000000001</v>
      </c>
      <c r="BR30" s="3">
        <v>3.3430422000000002</v>
      </c>
      <c r="BS30" s="3">
        <v>3.3986548000000001</v>
      </c>
    </row>
    <row r="31" spans="1:71" x14ac:dyDescent="0.35">
      <c r="A31" s="6">
        <f t="shared" si="71"/>
        <v>45322</v>
      </c>
      <c r="B31">
        <f t="shared" si="66"/>
        <v>1</v>
      </c>
      <c r="C31">
        <f t="shared" si="67"/>
        <v>2024</v>
      </c>
      <c r="D31">
        <f t="shared" si="68"/>
        <v>202401</v>
      </c>
      <c r="E31">
        <f t="shared" si="69"/>
        <v>1</v>
      </c>
      <c r="F31">
        <f t="shared" si="70"/>
        <v>202401</v>
      </c>
      <c r="G31" t="s">
        <v>164</v>
      </c>
      <c r="H31" s="2">
        <v>5.25</v>
      </c>
      <c r="I31" s="2">
        <v>5.1881000000000004</v>
      </c>
      <c r="J31" s="3">
        <v>5.1819325999999997</v>
      </c>
      <c r="K31" s="3">
        <v>5.1503085999999998</v>
      </c>
      <c r="L31" s="3">
        <v>5.0887986999999999</v>
      </c>
      <c r="M31" s="3">
        <v>4.9931459</v>
      </c>
      <c r="N31" s="3">
        <v>4.8711301000000002</v>
      </c>
      <c r="O31" s="3">
        <v>4.7343362000000004</v>
      </c>
      <c r="P31" s="3">
        <v>4.5946926000000001</v>
      </c>
      <c r="Q31" s="3">
        <v>4.4605300000000003</v>
      </c>
      <c r="R31" s="3">
        <v>4.3360110000000001</v>
      </c>
      <c r="S31" s="3">
        <v>4.2224447999999999</v>
      </c>
      <c r="T31" s="3">
        <v>4.1198302</v>
      </c>
      <c r="U31" s="3">
        <v>4.0272195000000002</v>
      </c>
      <c r="V31" s="3">
        <v>3.9413366000000001</v>
      </c>
      <c r="W31" s="3">
        <v>3.8612251</v>
      </c>
      <c r="X31" s="3">
        <v>3.7867907999999999</v>
      </c>
      <c r="Y31" s="3">
        <v>3.7179365</v>
      </c>
      <c r="Z31" s="3">
        <v>3.6545652</v>
      </c>
      <c r="AA31" s="3">
        <v>3.5965824</v>
      </c>
      <c r="AB31" s="3">
        <v>3.5438521999999999</v>
      </c>
      <c r="AC31" s="3">
        <v>3.4960920999999998</v>
      </c>
      <c r="AD31" s="3">
        <v>3.4529857000000002</v>
      </c>
      <c r="AE31" s="3">
        <v>3.4142152000000001</v>
      </c>
      <c r="AF31" s="3">
        <v>3.3794629</v>
      </c>
      <c r="AG31" s="3">
        <v>3.3484123000000001</v>
      </c>
      <c r="AH31" s="3">
        <v>3.3207564999999999</v>
      </c>
      <c r="AI31" s="3">
        <v>3.2962463</v>
      </c>
      <c r="AJ31" s="3">
        <v>3.2746526999999999</v>
      </c>
      <c r="AK31" s="3">
        <v>3.2557459999999998</v>
      </c>
      <c r="AL31" s="3">
        <v>3.2392965999999999</v>
      </c>
      <c r="AM31" s="3">
        <v>3.2250754000000001</v>
      </c>
      <c r="AN31" s="3">
        <v>3.2128526000000002</v>
      </c>
      <c r="AO31" s="3">
        <v>3.2023986999999998</v>
      </c>
      <c r="AP31" s="3">
        <v>3.1934844999999998</v>
      </c>
      <c r="AQ31" s="3">
        <v>3.1858803999999998</v>
      </c>
      <c r="AR31" s="3">
        <v>3.1793567</v>
      </c>
      <c r="AS31" s="3">
        <v>3.1736841999999998</v>
      </c>
      <c r="AT31" s="3">
        <v>3.1686629000000002</v>
      </c>
      <c r="AU31" s="3">
        <v>3.1642364999999999</v>
      </c>
      <c r="AV31" s="3">
        <v>3.160393</v>
      </c>
      <c r="AW31" s="3">
        <v>3.1571199000000001</v>
      </c>
      <c r="AX31" s="3">
        <v>3.1544048</v>
      </c>
      <c r="AY31" s="3">
        <v>3.1522356999999999</v>
      </c>
      <c r="AZ31" s="3">
        <v>3.1505999999999998</v>
      </c>
      <c r="BA31" s="3">
        <v>3.1494856000000002</v>
      </c>
      <c r="BB31" s="3">
        <v>3.1488800000000001</v>
      </c>
      <c r="BC31" s="3">
        <v>3.1487710999999998</v>
      </c>
      <c r="BD31" s="3">
        <v>3.1491465000000001</v>
      </c>
      <c r="BE31" s="3">
        <v>3.1499939000000001</v>
      </c>
      <c r="BF31" s="3">
        <v>3.1513018000000002</v>
      </c>
      <c r="BG31" s="3">
        <v>3.1530629000000001</v>
      </c>
      <c r="BH31" s="3">
        <v>3.1552707999999998</v>
      </c>
      <c r="BI31" s="3">
        <v>3.1579190000000001</v>
      </c>
      <c r="BJ31" s="3">
        <v>3.1610014</v>
      </c>
      <c r="BK31" s="3">
        <v>3.1645113999999999</v>
      </c>
      <c r="BL31" s="3">
        <v>3.1684426999999999</v>
      </c>
      <c r="BM31" s="3">
        <v>3.1727891000000001</v>
      </c>
      <c r="BN31" s="3">
        <v>3.1775440000000001</v>
      </c>
      <c r="BO31" s="3">
        <v>3.1827011000000001</v>
      </c>
      <c r="BP31" s="3">
        <v>3.1882541999999998</v>
      </c>
      <c r="BQ31" s="3">
        <v>3.1941967</v>
      </c>
      <c r="BR31" s="3">
        <v>3.2373375000000002</v>
      </c>
      <c r="BS31" s="3">
        <v>3.2908241999999999</v>
      </c>
    </row>
    <row r="32" spans="1:71" x14ac:dyDescent="0.35">
      <c r="A32" s="6">
        <f t="shared" si="71"/>
        <v>45323</v>
      </c>
      <c r="B32">
        <f t="shared" si="66"/>
        <v>2</v>
      </c>
      <c r="C32">
        <f t="shared" si="67"/>
        <v>2024</v>
      </c>
      <c r="D32">
        <f t="shared" si="68"/>
        <v>202402</v>
      </c>
      <c r="E32">
        <f t="shared" si="69"/>
        <v>1</v>
      </c>
      <c r="F32">
        <f t="shared" si="70"/>
        <v>202401</v>
      </c>
      <c r="G32" t="s">
        <v>165</v>
      </c>
      <c r="H32" s="2">
        <v>5.25</v>
      </c>
      <c r="I32" s="2">
        <v>5.1878000000000002</v>
      </c>
      <c r="J32" s="3">
        <v>5.1843307000000003</v>
      </c>
      <c r="K32" s="3">
        <v>5.1616550999999999</v>
      </c>
      <c r="L32" s="3">
        <v>5.1100726999999999</v>
      </c>
      <c r="M32" s="3">
        <v>5.0244027999999998</v>
      </c>
      <c r="N32" s="3">
        <v>4.9106955000000001</v>
      </c>
      <c r="O32" s="3">
        <v>4.7796438999999999</v>
      </c>
      <c r="P32" s="3">
        <v>4.6421660999999999</v>
      </c>
      <c r="Q32" s="3">
        <v>4.5062578999999996</v>
      </c>
      <c r="R32" s="3">
        <v>4.3762499000000004</v>
      </c>
      <c r="S32" s="3">
        <v>4.2541212000000002</v>
      </c>
      <c r="T32" s="3">
        <v>4.1406957999999996</v>
      </c>
      <c r="U32" s="3">
        <v>4.0357456999999997</v>
      </c>
      <c r="V32" s="3">
        <v>3.9378179000000002</v>
      </c>
      <c r="W32" s="3">
        <v>3.8465082000000002</v>
      </c>
      <c r="X32" s="3">
        <v>3.7618965000000002</v>
      </c>
      <c r="Y32" s="3">
        <v>3.6840595999999999</v>
      </c>
      <c r="Z32" s="3">
        <v>3.6130745000000002</v>
      </c>
      <c r="AA32" s="3">
        <v>3.5490208999999999</v>
      </c>
      <c r="AB32" s="3">
        <v>3.4918613000000001</v>
      </c>
      <c r="AC32" s="3">
        <v>3.4411219000000002</v>
      </c>
      <c r="AD32" s="3">
        <v>3.3962268</v>
      </c>
      <c r="AE32" s="3">
        <v>3.3565982999999999</v>
      </c>
      <c r="AF32" s="3">
        <v>3.3216592</v>
      </c>
      <c r="AG32" s="3">
        <v>3.2908330000000001</v>
      </c>
      <c r="AH32" s="3">
        <v>3.2635881000000002</v>
      </c>
      <c r="AI32" s="3">
        <v>3.2396148999999999</v>
      </c>
      <c r="AJ32" s="3">
        <v>3.2186724999999998</v>
      </c>
      <c r="AK32" s="3">
        <v>3.2005191000000002</v>
      </c>
      <c r="AL32" s="3">
        <v>3.1849129</v>
      </c>
      <c r="AM32" s="3">
        <v>3.1716129999999998</v>
      </c>
      <c r="AN32" s="3">
        <v>3.1603775999999999</v>
      </c>
      <c r="AO32" s="3">
        <v>3.1509649999999998</v>
      </c>
      <c r="AP32" s="3">
        <v>3.1431339999999999</v>
      </c>
      <c r="AQ32" s="3">
        <v>3.1366429999999998</v>
      </c>
      <c r="AR32" s="3">
        <v>3.1312503999999999</v>
      </c>
      <c r="AS32" s="3">
        <v>3.1267147999999998</v>
      </c>
      <c r="AT32" s="3">
        <v>3.1228286999999999</v>
      </c>
      <c r="AU32" s="3">
        <v>3.1195347</v>
      </c>
      <c r="AV32" s="3">
        <v>3.1168171</v>
      </c>
      <c r="AW32" s="3">
        <v>3.1146598999999999</v>
      </c>
      <c r="AX32" s="3">
        <v>3.1130472999999999</v>
      </c>
      <c r="AY32" s="3">
        <v>3.1119634999999999</v>
      </c>
      <c r="AZ32" s="3">
        <v>3.1113925999999998</v>
      </c>
      <c r="BA32" s="3">
        <v>3.1113187</v>
      </c>
      <c r="BB32" s="3">
        <v>3.1117260999999998</v>
      </c>
      <c r="BC32" s="3">
        <v>3.1125986999999999</v>
      </c>
      <c r="BD32" s="3">
        <v>3.1139207999999998</v>
      </c>
      <c r="BE32" s="3">
        <v>3.1156765000000002</v>
      </c>
      <c r="BF32" s="3">
        <v>3.1178512</v>
      </c>
      <c r="BG32" s="3">
        <v>3.1204358999999999</v>
      </c>
      <c r="BH32" s="3">
        <v>3.1234231000000001</v>
      </c>
      <c r="BI32" s="3">
        <v>3.1268050999999999</v>
      </c>
      <c r="BJ32" s="3">
        <v>3.1305746999999999</v>
      </c>
      <c r="BK32" s="3">
        <v>3.1347241000000001</v>
      </c>
      <c r="BL32" s="3">
        <v>3.1392459000000001</v>
      </c>
      <c r="BM32" s="3">
        <v>3.1441325999999998</v>
      </c>
      <c r="BN32" s="3">
        <v>3.1493766000000001</v>
      </c>
      <c r="BO32" s="3">
        <v>3.1549705000000001</v>
      </c>
      <c r="BP32" s="3">
        <v>3.1609067999999998</v>
      </c>
      <c r="BQ32" s="3">
        <v>3.1671779</v>
      </c>
      <c r="BR32" s="3">
        <v>3.2112845999999999</v>
      </c>
      <c r="BS32" s="3">
        <v>3.2647526</v>
      </c>
    </row>
    <row r="33" spans="1:71" x14ac:dyDescent="0.35">
      <c r="A33" s="6">
        <f t="shared" si="71"/>
        <v>45324</v>
      </c>
      <c r="B33">
        <f t="shared" si="66"/>
        <v>2</v>
      </c>
      <c r="C33">
        <f t="shared" si="67"/>
        <v>2024</v>
      </c>
      <c r="D33">
        <f t="shared" si="68"/>
        <v>202402</v>
      </c>
      <c r="E33">
        <f t="shared" si="69"/>
        <v>1</v>
      </c>
      <c r="F33">
        <f t="shared" si="70"/>
        <v>202401</v>
      </c>
      <c r="G33" t="s">
        <v>166</v>
      </c>
      <c r="H33" s="2">
        <v>5.25</v>
      </c>
      <c r="I33" s="2">
        <v>5.1885000000000003</v>
      </c>
      <c r="J33" s="3">
        <v>5.1810986000000003</v>
      </c>
      <c r="K33" s="3">
        <v>5.1687959000000001</v>
      </c>
      <c r="L33" s="3">
        <v>5.1308084000000003</v>
      </c>
      <c r="M33" s="3">
        <v>5.0609634999999997</v>
      </c>
      <c r="N33" s="3">
        <v>4.9644914</v>
      </c>
      <c r="O33" s="3">
        <v>4.8513273999999997</v>
      </c>
      <c r="P33" s="3">
        <v>4.7330914999999996</v>
      </c>
      <c r="Q33" s="3">
        <v>4.6182891000000001</v>
      </c>
      <c r="R33" s="3">
        <v>4.5105414000000001</v>
      </c>
      <c r="S33" s="3">
        <v>4.4107979999999998</v>
      </c>
      <c r="T33" s="3">
        <v>4.3182790999999998</v>
      </c>
      <c r="U33" s="3">
        <v>4.2314125000000002</v>
      </c>
      <c r="V33" s="3">
        <v>4.1478409000000003</v>
      </c>
      <c r="W33" s="3">
        <v>4.0672927999999997</v>
      </c>
      <c r="X33" s="3">
        <v>3.9902348999999999</v>
      </c>
      <c r="Y33" s="3">
        <v>3.9171312999999999</v>
      </c>
      <c r="Z33" s="3">
        <v>3.8484460999999999</v>
      </c>
      <c r="AA33" s="3">
        <v>3.7846460999999998</v>
      </c>
      <c r="AB33" s="3">
        <v>3.7260905000000002</v>
      </c>
      <c r="AC33" s="3">
        <v>3.6726510000000001</v>
      </c>
      <c r="AD33" s="3">
        <v>3.6240602000000002</v>
      </c>
      <c r="AE33" s="3">
        <v>3.5800488000000001</v>
      </c>
      <c r="AF33" s="3">
        <v>3.5403475000000002</v>
      </c>
      <c r="AG33" s="3">
        <v>3.5046886000000002</v>
      </c>
      <c r="AH33" s="3">
        <v>3.4728061000000001</v>
      </c>
      <c r="AI33" s="3">
        <v>3.4444485</v>
      </c>
      <c r="AJ33" s="3">
        <v>3.4193696999999998</v>
      </c>
      <c r="AK33" s="3">
        <v>3.3973222000000001</v>
      </c>
      <c r="AL33" s="3">
        <v>3.3780587</v>
      </c>
      <c r="AM33" s="3">
        <v>3.3613325999999999</v>
      </c>
      <c r="AN33" s="3">
        <v>3.3468966999999998</v>
      </c>
      <c r="AO33" s="3">
        <v>3.3345039000000001</v>
      </c>
      <c r="AP33" s="3">
        <v>3.3239071999999998</v>
      </c>
      <c r="AQ33" s="3">
        <v>3.3148597</v>
      </c>
      <c r="AR33" s="3">
        <v>3.3071141000000002</v>
      </c>
      <c r="AS33" s="3">
        <v>3.3004235999999998</v>
      </c>
      <c r="AT33" s="3">
        <v>3.2945734999999998</v>
      </c>
      <c r="AU33" s="3">
        <v>3.2894925000000002</v>
      </c>
      <c r="AV33" s="3">
        <v>3.2851490999999999</v>
      </c>
      <c r="AW33" s="3">
        <v>3.2815115000000001</v>
      </c>
      <c r="AX33" s="3">
        <v>3.2785479999999998</v>
      </c>
      <c r="AY33" s="3">
        <v>3.276227</v>
      </c>
      <c r="AZ33" s="3">
        <v>3.2745166999999999</v>
      </c>
      <c r="BA33" s="3">
        <v>3.2733854999999998</v>
      </c>
      <c r="BB33" s="3">
        <v>3.2728016000000002</v>
      </c>
      <c r="BC33" s="3">
        <v>3.2727335000000002</v>
      </c>
      <c r="BD33" s="3">
        <v>3.2731493</v>
      </c>
      <c r="BE33" s="3">
        <v>3.2740174999999998</v>
      </c>
      <c r="BF33" s="3">
        <v>3.2753100000000002</v>
      </c>
      <c r="BG33" s="3">
        <v>3.2770158</v>
      </c>
      <c r="BH33" s="3">
        <v>3.279128</v>
      </c>
      <c r="BI33" s="3">
        <v>3.2816399999999999</v>
      </c>
      <c r="BJ33" s="3">
        <v>3.2845453</v>
      </c>
      <c r="BK33" s="3">
        <v>3.2878371</v>
      </c>
      <c r="BL33" s="3">
        <v>3.2915087999999999</v>
      </c>
      <c r="BM33" s="3">
        <v>3.2955537000000001</v>
      </c>
      <c r="BN33" s="3">
        <v>3.2999651999999999</v>
      </c>
      <c r="BO33" s="3">
        <v>3.3047366999999999</v>
      </c>
      <c r="BP33" s="3">
        <v>3.3098614</v>
      </c>
      <c r="BQ33" s="3">
        <v>3.3153328000000002</v>
      </c>
      <c r="BR33" s="3">
        <v>3.3549177000000001</v>
      </c>
      <c r="BS33" s="3">
        <v>3.4043849000000002</v>
      </c>
    </row>
    <row r="34" spans="1:71" x14ac:dyDescent="0.35">
      <c r="A34" s="6">
        <f t="shared" si="71"/>
        <v>45327</v>
      </c>
      <c r="B34">
        <f t="shared" si="66"/>
        <v>2</v>
      </c>
      <c r="C34">
        <f t="shared" si="67"/>
        <v>2024</v>
      </c>
      <c r="D34">
        <f t="shared" si="68"/>
        <v>202402</v>
      </c>
      <c r="E34">
        <f t="shared" si="69"/>
        <v>1</v>
      </c>
      <c r="F34">
        <f t="shared" si="70"/>
        <v>202401</v>
      </c>
      <c r="G34" t="s">
        <v>167</v>
      </c>
      <c r="H34" s="2">
        <v>5.25</v>
      </c>
      <c r="I34" s="2">
        <v>5.1883999999999997</v>
      </c>
      <c r="J34" s="3">
        <v>5.1834436000000004</v>
      </c>
      <c r="K34" s="3">
        <v>5.1678597999999996</v>
      </c>
      <c r="L34" s="3">
        <v>5.1348197000000004</v>
      </c>
      <c r="M34" s="3">
        <v>5.0772466999999999</v>
      </c>
      <c r="N34" s="3">
        <v>4.9979082000000004</v>
      </c>
      <c r="O34" s="3">
        <v>4.9020260000000002</v>
      </c>
      <c r="P34" s="3">
        <v>4.7967801000000003</v>
      </c>
      <c r="Q34" s="3">
        <v>4.6884772000000003</v>
      </c>
      <c r="R34" s="3">
        <v>4.5819403000000003</v>
      </c>
      <c r="S34" s="3">
        <v>4.4804639999999996</v>
      </c>
      <c r="T34" s="3">
        <v>4.3862252000000002</v>
      </c>
      <c r="U34" s="3">
        <v>4.2995466000000002</v>
      </c>
      <c r="V34" s="3">
        <v>4.2182966999999998</v>
      </c>
      <c r="W34" s="3">
        <v>4.1418647999999996</v>
      </c>
      <c r="X34" s="3">
        <v>4.0702769999999999</v>
      </c>
      <c r="Y34" s="3">
        <v>4.0035562000000002</v>
      </c>
      <c r="Z34" s="3">
        <v>3.9417260999999999</v>
      </c>
      <c r="AA34" s="3">
        <v>3.8848121</v>
      </c>
      <c r="AB34" s="3">
        <v>3.8327757</v>
      </c>
      <c r="AC34" s="3">
        <v>3.7853431999999998</v>
      </c>
      <c r="AD34" s="3">
        <v>3.7421864</v>
      </c>
      <c r="AE34" s="3">
        <v>3.7029755999999998</v>
      </c>
      <c r="AF34" s="3">
        <v>3.6673809999999998</v>
      </c>
      <c r="AG34" s="3">
        <v>3.6350742</v>
      </c>
      <c r="AH34" s="3">
        <v>3.6057462</v>
      </c>
      <c r="AI34" s="3">
        <v>3.5791789999999999</v>
      </c>
      <c r="AJ34" s="3">
        <v>3.5551808</v>
      </c>
      <c r="AK34" s="3">
        <v>3.5335588000000002</v>
      </c>
      <c r="AL34" s="3">
        <v>3.5141201999999998</v>
      </c>
      <c r="AM34" s="3">
        <v>3.4966732</v>
      </c>
      <c r="AN34" s="3">
        <v>3.4810248000000001</v>
      </c>
      <c r="AO34" s="3">
        <v>3.4669824999999999</v>
      </c>
      <c r="AP34" s="3">
        <v>3.4543542</v>
      </c>
      <c r="AQ34" s="3">
        <v>3.4429471</v>
      </c>
      <c r="AR34" s="3">
        <v>3.4325687</v>
      </c>
      <c r="AS34" s="3">
        <v>3.4230266999999999</v>
      </c>
      <c r="AT34" s="3">
        <v>3.4141569999999999</v>
      </c>
      <c r="AU34" s="3">
        <v>3.4059211999999999</v>
      </c>
      <c r="AV34" s="3">
        <v>3.3983158000000002</v>
      </c>
      <c r="AW34" s="3">
        <v>3.391337</v>
      </c>
      <c r="AX34" s="3">
        <v>3.3849811000000001</v>
      </c>
      <c r="AY34" s="3">
        <v>3.3792445999999998</v>
      </c>
      <c r="AZ34" s="3">
        <v>3.3741237000000002</v>
      </c>
      <c r="BA34" s="3">
        <v>3.3696147999999999</v>
      </c>
      <c r="BB34" s="3">
        <v>3.3657142000000002</v>
      </c>
      <c r="BC34" s="3">
        <v>3.3624182999999999</v>
      </c>
      <c r="BD34" s="3">
        <v>3.3597234</v>
      </c>
      <c r="BE34" s="3">
        <v>3.3576258999999999</v>
      </c>
      <c r="BF34" s="3">
        <v>3.3561212999999999</v>
      </c>
      <c r="BG34" s="3">
        <v>3.3552018000000001</v>
      </c>
      <c r="BH34" s="3">
        <v>3.3548581999999998</v>
      </c>
      <c r="BI34" s="3">
        <v>3.3550811999999999</v>
      </c>
      <c r="BJ34" s="3">
        <v>3.3558615999999999</v>
      </c>
      <c r="BK34" s="3">
        <v>3.3571903000000001</v>
      </c>
      <c r="BL34" s="3">
        <v>3.3590580000000001</v>
      </c>
      <c r="BM34" s="3">
        <v>3.3614557</v>
      </c>
      <c r="BN34" s="3">
        <v>3.3643738999999999</v>
      </c>
      <c r="BO34" s="3">
        <v>3.3678037000000001</v>
      </c>
      <c r="BP34" s="3">
        <v>3.3717356999999999</v>
      </c>
      <c r="BQ34" s="3">
        <v>3.3761608000000001</v>
      </c>
      <c r="BR34" s="3">
        <v>3.4121519999999999</v>
      </c>
      <c r="BS34" s="3">
        <v>3.4611282999999999</v>
      </c>
    </row>
    <row r="35" spans="1:71" x14ac:dyDescent="0.35">
      <c r="A35" s="6">
        <f t="shared" si="71"/>
        <v>45328</v>
      </c>
      <c r="B35">
        <f t="shared" si="66"/>
        <v>2</v>
      </c>
      <c r="C35">
        <f t="shared" si="67"/>
        <v>2024</v>
      </c>
      <c r="D35">
        <f t="shared" si="68"/>
        <v>202402</v>
      </c>
      <c r="E35">
        <f t="shared" si="69"/>
        <v>1</v>
      </c>
      <c r="F35">
        <f t="shared" si="70"/>
        <v>202401</v>
      </c>
      <c r="G35" t="s">
        <v>168</v>
      </c>
      <c r="H35" s="2">
        <v>5.25</v>
      </c>
      <c r="I35" s="2">
        <v>5.1894</v>
      </c>
      <c r="J35" s="3">
        <v>5.1834636999999999</v>
      </c>
      <c r="K35" s="3">
        <v>5.1643863999999997</v>
      </c>
      <c r="L35" s="3">
        <v>5.1270356000000001</v>
      </c>
      <c r="M35" s="3">
        <v>5.0645870000000004</v>
      </c>
      <c r="N35" s="3">
        <v>4.9802979000000001</v>
      </c>
      <c r="O35" s="3">
        <v>4.8808309999999997</v>
      </c>
      <c r="P35" s="3">
        <v>4.7733169000000002</v>
      </c>
      <c r="Q35" s="3">
        <v>4.6638856000000004</v>
      </c>
      <c r="R35" s="3">
        <v>4.5565648000000003</v>
      </c>
      <c r="S35" s="3">
        <v>4.4538570999999996</v>
      </c>
      <c r="T35" s="3">
        <v>4.3573573999999997</v>
      </c>
      <c r="U35" s="3">
        <v>4.2673702000000002</v>
      </c>
      <c r="V35" s="3">
        <v>4.1831063000000004</v>
      </c>
      <c r="W35" s="3">
        <v>4.1043107000000001</v>
      </c>
      <c r="X35" s="3">
        <v>4.0309542</v>
      </c>
      <c r="Y35" s="3">
        <v>3.9630049000000001</v>
      </c>
      <c r="Z35" s="3">
        <v>3.9004313000000002</v>
      </c>
      <c r="AA35" s="3">
        <v>3.8432037999999999</v>
      </c>
      <c r="AB35" s="3">
        <v>3.7912205999999999</v>
      </c>
      <c r="AC35" s="3">
        <v>3.7441122999999998</v>
      </c>
      <c r="AD35" s="3">
        <v>3.7014480999999999</v>
      </c>
      <c r="AE35" s="3">
        <v>3.6627949000000002</v>
      </c>
      <c r="AF35" s="3">
        <v>3.6277202000000002</v>
      </c>
      <c r="AG35" s="3">
        <v>3.5957925999999998</v>
      </c>
      <c r="AH35" s="3">
        <v>3.5666194</v>
      </c>
      <c r="AI35" s="3">
        <v>3.5399848999999999</v>
      </c>
      <c r="AJ35" s="3">
        <v>3.5157231000000002</v>
      </c>
      <c r="AK35" s="3">
        <v>3.4936669</v>
      </c>
      <c r="AL35" s="3">
        <v>3.4736494000000002</v>
      </c>
      <c r="AM35" s="3">
        <v>3.4555045</v>
      </c>
      <c r="AN35" s="3">
        <v>3.4390651999999999</v>
      </c>
      <c r="AO35" s="3">
        <v>3.4241646000000001</v>
      </c>
      <c r="AP35" s="3">
        <v>3.4106366000000001</v>
      </c>
      <c r="AQ35" s="3">
        <v>3.3983140999999999</v>
      </c>
      <c r="AR35" s="3">
        <v>3.3870304999999998</v>
      </c>
      <c r="AS35" s="3">
        <v>3.3766193000000002</v>
      </c>
      <c r="AT35" s="3">
        <v>3.3669337000000001</v>
      </c>
      <c r="AU35" s="3">
        <v>3.3579349999999999</v>
      </c>
      <c r="AV35" s="3">
        <v>3.3496212000000001</v>
      </c>
      <c r="AW35" s="3">
        <v>3.3419895999999998</v>
      </c>
      <c r="AX35" s="3">
        <v>3.3350379000000001</v>
      </c>
      <c r="AY35" s="3">
        <v>3.3287637999999999</v>
      </c>
      <c r="AZ35" s="3">
        <v>3.3231649000000001</v>
      </c>
      <c r="BA35" s="3">
        <v>3.3182388999999999</v>
      </c>
      <c r="BB35" s="3">
        <v>3.3139834000000001</v>
      </c>
      <c r="BC35" s="3">
        <v>3.3103959999999999</v>
      </c>
      <c r="BD35" s="3">
        <v>3.3074743999999998</v>
      </c>
      <c r="BE35" s="3">
        <v>3.3052161</v>
      </c>
      <c r="BF35" s="3">
        <v>3.3036164000000001</v>
      </c>
      <c r="BG35" s="3">
        <v>3.3026577000000001</v>
      </c>
      <c r="BH35" s="3">
        <v>3.3023188999999999</v>
      </c>
      <c r="BI35" s="3">
        <v>3.3025788</v>
      </c>
      <c r="BJ35" s="3">
        <v>3.3034161000000002</v>
      </c>
      <c r="BK35" s="3">
        <v>3.3048096999999999</v>
      </c>
      <c r="BL35" s="3">
        <v>3.3067383000000001</v>
      </c>
      <c r="BM35" s="3">
        <v>3.3091807000000002</v>
      </c>
      <c r="BN35" s="3">
        <v>3.3121157999999999</v>
      </c>
      <c r="BO35" s="3">
        <v>3.3155222000000002</v>
      </c>
      <c r="BP35" s="3">
        <v>3.3193790000000001</v>
      </c>
      <c r="BQ35" s="3">
        <v>3.3236645999999999</v>
      </c>
      <c r="BR35" s="3">
        <v>3.3572734</v>
      </c>
      <c r="BS35" s="3">
        <v>3.4014300999999998</v>
      </c>
    </row>
    <row r="36" spans="1:71" x14ac:dyDescent="0.35">
      <c r="A36" s="6">
        <f t="shared" si="71"/>
        <v>45329</v>
      </c>
      <c r="B36">
        <f t="shared" si="66"/>
        <v>2</v>
      </c>
      <c r="C36">
        <f t="shared" si="67"/>
        <v>2024</v>
      </c>
      <c r="D36">
        <f t="shared" si="68"/>
        <v>202402</v>
      </c>
      <c r="E36">
        <f t="shared" si="69"/>
        <v>1</v>
      </c>
      <c r="F36">
        <f t="shared" si="70"/>
        <v>202401</v>
      </c>
      <c r="G36" t="s">
        <v>169</v>
      </c>
      <c r="H36" s="2">
        <v>5.25</v>
      </c>
      <c r="I36" s="2">
        <v>5.1890000000000001</v>
      </c>
      <c r="J36" s="3">
        <v>5.1841197000000001</v>
      </c>
      <c r="K36" s="3">
        <v>5.1656370999999996</v>
      </c>
      <c r="L36" s="3">
        <v>5.1278486000000001</v>
      </c>
      <c r="M36" s="3">
        <v>5.0659045000000003</v>
      </c>
      <c r="N36" s="3">
        <v>4.9838412999999999</v>
      </c>
      <c r="O36" s="3">
        <v>4.8876809999999997</v>
      </c>
      <c r="P36" s="3">
        <v>4.783944</v>
      </c>
      <c r="Q36" s="3">
        <v>4.6781153</v>
      </c>
      <c r="R36" s="3">
        <v>4.574001</v>
      </c>
      <c r="S36" s="3">
        <v>4.4741635999999998</v>
      </c>
      <c r="T36" s="3">
        <v>4.380077</v>
      </c>
      <c r="U36" s="3">
        <v>4.2922424000000001</v>
      </c>
      <c r="V36" s="3">
        <v>4.2099333000000003</v>
      </c>
      <c r="W36" s="3">
        <v>4.1328601000000003</v>
      </c>
      <c r="X36" s="3">
        <v>4.0609484</v>
      </c>
      <c r="Y36" s="3">
        <v>3.9941211000000001</v>
      </c>
      <c r="Z36" s="3">
        <v>3.9323011000000001</v>
      </c>
      <c r="AA36" s="3">
        <v>3.8754138</v>
      </c>
      <c r="AB36" s="3">
        <v>3.8233340999999998</v>
      </c>
      <c r="AC36" s="3">
        <v>3.7757546</v>
      </c>
      <c r="AD36" s="3">
        <v>3.7323263</v>
      </c>
      <c r="AE36" s="3">
        <v>3.6926982000000002</v>
      </c>
      <c r="AF36" s="3">
        <v>3.6565197</v>
      </c>
      <c r="AG36" s="3">
        <v>3.6234413000000001</v>
      </c>
      <c r="AH36" s="3">
        <v>3.5931367999999999</v>
      </c>
      <c r="AI36" s="3">
        <v>3.5654119</v>
      </c>
      <c r="AJ36" s="3">
        <v>3.5401177000000001</v>
      </c>
      <c r="AK36" s="3">
        <v>3.5171041999999999</v>
      </c>
      <c r="AL36" s="3">
        <v>3.4962214</v>
      </c>
      <c r="AM36" s="3">
        <v>3.4773201</v>
      </c>
      <c r="AN36" s="3">
        <v>3.4602504999999999</v>
      </c>
      <c r="AO36" s="3">
        <v>3.4448628000000001</v>
      </c>
      <c r="AP36" s="3">
        <v>3.4310076</v>
      </c>
      <c r="AQ36" s="3">
        <v>3.4185349999999999</v>
      </c>
      <c r="AR36" s="3">
        <v>3.4072954000000002</v>
      </c>
      <c r="AS36" s="3">
        <v>3.3971393000000001</v>
      </c>
      <c r="AT36" s="3">
        <v>3.3879334999999999</v>
      </c>
      <c r="AU36" s="3">
        <v>3.3796265000000001</v>
      </c>
      <c r="AV36" s="3">
        <v>3.3721915999999998</v>
      </c>
      <c r="AW36" s="3">
        <v>3.3656019000000001</v>
      </c>
      <c r="AX36" s="3">
        <v>3.3598303999999999</v>
      </c>
      <c r="AY36" s="3">
        <v>3.3548505999999998</v>
      </c>
      <c r="AZ36" s="3">
        <v>3.3506353999999998</v>
      </c>
      <c r="BA36" s="3">
        <v>3.3471581000000001</v>
      </c>
      <c r="BB36" s="3">
        <v>3.344392</v>
      </c>
      <c r="BC36" s="3">
        <v>3.3423101000000002</v>
      </c>
      <c r="BD36" s="3">
        <v>3.3408856999999998</v>
      </c>
      <c r="BE36" s="3">
        <v>3.3400918000000002</v>
      </c>
      <c r="BF36" s="3">
        <v>3.3399030000000001</v>
      </c>
      <c r="BG36" s="3">
        <v>3.3402989999999999</v>
      </c>
      <c r="BH36" s="3">
        <v>3.3412611000000001</v>
      </c>
      <c r="BI36" s="3">
        <v>3.3427704</v>
      </c>
      <c r="BJ36" s="3">
        <v>3.3448082000000001</v>
      </c>
      <c r="BK36" s="3">
        <v>3.3473557999999999</v>
      </c>
      <c r="BL36" s="3">
        <v>3.3503945000000002</v>
      </c>
      <c r="BM36" s="3">
        <v>3.3539055000000002</v>
      </c>
      <c r="BN36" s="3">
        <v>3.3578698999999999</v>
      </c>
      <c r="BO36" s="3">
        <v>3.3622690999999998</v>
      </c>
      <c r="BP36" s="3">
        <v>3.3670844</v>
      </c>
      <c r="BQ36" s="3">
        <v>3.3722968999999998</v>
      </c>
      <c r="BR36" s="3">
        <v>3.4109571999999999</v>
      </c>
      <c r="BS36" s="3">
        <v>3.4597630000000001</v>
      </c>
    </row>
    <row r="37" spans="1:71" x14ac:dyDescent="0.35">
      <c r="A37" s="6">
        <f t="shared" si="71"/>
        <v>45330</v>
      </c>
      <c r="B37">
        <f t="shared" si="66"/>
        <v>2</v>
      </c>
      <c r="C37">
        <f t="shared" si="67"/>
        <v>2024</v>
      </c>
      <c r="D37">
        <f t="shared" si="68"/>
        <v>202402</v>
      </c>
      <c r="E37">
        <f t="shared" si="69"/>
        <v>1</v>
      </c>
      <c r="F37">
        <f t="shared" si="70"/>
        <v>202401</v>
      </c>
      <c r="G37" t="s">
        <v>170</v>
      </c>
      <c r="H37" s="2">
        <v>5.25</v>
      </c>
      <c r="I37" s="2">
        <v>5.1879999999999997</v>
      </c>
      <c r="J37" s="3">
        <v>5.1825599000000002</v>
      </c>
      <c r="K37" s="3">
        <v>5.1710200999999998</v>
      </c>
      <c r="L37" s="3">
        <v>5.1430100000000003</v>
      </c>
      <c r="M37" s="3">
        <v>5.0892860999999998</v>
      </c>
      <c r="N37" s="3">
        <v>5.0095948999999997</v>
      </c>
      <c r="O37" s="3">
        <v>4.9130456000000002</v>
      </c>
      <c r="P37" s="3">
        <v>4.8090488999999996</v>
      </c>
      <c r="Q37" s="3">
        <v>4.7030608000000003</v>
      </c>
      <c r="R37" s="3">
        <v>4.5984802</v>
      </c>
      <c r="S37" s="3">
        <v>4.4977678000000001</v>
      </c>
      <c r="T37" s="3">
        <v>4.4033538999999999</v>
      </c>
      <c r="U37" s="3">
        <v>4.3165857000000001</v>
      </c>
      <c r="V37" s="3">
        <v>4.2368703999999999</v>
      </c>
      <c r="W37" s="3">
        <v>4.1636537999999996</v>
      </c>
      <c r="X37" s="3">
        <v>4.0965590000000001</v>
      </c>
      <c r="Y37" s="3">
        <v>4.0352063999999999</v>
      </c>
      <c r="Z37" s="3">
        <v>3.9792168000000001</v>
      </c>
      <c r="AA37" s="3">
        <v>3.928213</v>
      </c>
      <c r="AB37" s="3">
        <v>3.8818122000000002</v>
      </c>
      <c r="AC37" s="3">
        <v>3.8396186000000001</v>
      </c>
      <c r="AD37" s="3">
        <v>3.8012348</v>
      </c>
      <c r="AE37" s="3">
        <v>3.7662616</v>
      </c>
      <c r="AF37" s="3">
        <v>3.7343001999999998</v>
      </c>
      <c r="AG37" s="3">
        <v>3.7049528999999999</v>
      </c>
      <c r="AH37" s="3">
        <v>3.6778594999999998</v>
      </c>
      <c r="AI37" s="3">
        <v>3.6528483</v>
      </c>
      <c r="AJ37" s="3">
        <v>3.6298059999999999</v>
      </c>
      <c r="AK37" s="3">
        <v>3.6086181000000002</v>
      </c>
      <c r="AL37" s="3">
        <v>3.5891704999999998</v>
      </c>
      <c r="AM37" s="3">
        <v>3.5713496999999998</v>
      </c>
      <c r="AN37" s="3">
        <v>3.5550413000000001</v>
      </c>
      <c r="AO37" s="3">
        <v>3.5401313000000001</v>
      </c>
      <c r="AP37" s="3">
        <v>3.5265059999999999</v>
      </c>
      <c r="AQ37" s="3">
        <v>3.5140511999999999</v>
      </c>
      <c r="AR37" s="3">
        <v>3.5026527999999999</v>
      </c>
      <c r="AS37" s="3">
        <v>3.492197</v>
      </c>
      <c r="AT37" s="3">
        <v>3.4825837000000002</v>
      </c>
      <c r="AU37" s="3">
        <v>3.4737740000000001</v>
      </c>
      <c r="AV37" s="3">
        <v>3.4657464999999998</v>
      </c>
      <c r="AW37" s="3">
        <v>3.4584795000000002</v>
      </c>
      <c r="AX37" s="3">
        <v>3.4519510000000002</v>
      </c>
      <c r="AY37" s="3">
        <v>3.4461396999999998</v>
      </c>
      <c r="AZ37" s="3">
        <v>3.4410237000000001</v>
      </c>
      <c r="BA37" s="3">
        <v>3.4365812</v>
      </c>
      <c r="BB37" s="3">
        <v>3.4327907</v>
      </c>
      <c r="BC37" s="3">
        <v>3.4296305</v>
      </c>
      <c r="BD37" s="3">
        <v>3.4270787999999999</v>
      </c>
      <c r="BE37" s="3">
        <v>3.4251138999999999</v>
      </c>
      <c r="BF37" s="3">
        <v>3.4237150000000001</v>
      </c>
      <c r="BG37" s="3">
        <v>3.4228638999999998</v>
      </c>
      <c r="BH37" s="3">
        <v>3.4225436999999999</v>
      </c>
      <c r="BI37" s="3">
        <v>3.4227373000000001</v>
      </c>
      <c r="BJ37" s="3">
        <v>3.4234276000000001</v>
      </c>
      <c r="BK37" s="3">
        <v>3.4245975</v>
      </c>
      <c r="BL37" s="3">
        <v>3.4262299999999999</v>
      </c>
      <c r="BM37" s="3">
        <v>3.4283079999999999</v>
      </c>
      <c r="BN37" s="3">
        <v>3.4308144</v>
      </c>
      <c r="BO37" s="3">
        <v>3.4337322000000001</v>
      </c>
      <c r="BP37" s="3">
        <v>3.4370441999999999</v>
      </c>
      <c r="BQ37" s="3">
        <v>3.4407334000000001</v>
      </c>
      <c r="BR37" s="3">
        <v>3.4700072999999998</v>
      </c>
      <c r="BS37" s="3">
        <v>3.5096235</v>
      </c>
    </row>
    <row r="38" spans="1:71" x14ac:dyDescent="0.35">
      <c r="A38" s="6">
        <f t="shared" si="71"/>
        <v>45331</v>
      </c>
      <c r="B38">
        <f t="shared" si="66"/>
        <v>2</v>
      </c>
      <c r="C38">
        <f t="shared" si="67"/>
        <v>2024</v>
      </c>
      <c r="D38">
        <f t="shared" si="68"/>
        <v>202402</v>
      </c>
      <c r="E38">
        <f t="shared" si="69"/>
        <v>1</v>
      </c>
      <c r="F38">
        <f t="shared" si="70"/>
        <v>202401</v>
      </c>
      <c r="G38" t="s">
        <v>171</v>
      </c>
      <c r="H38" s="2">
        <v>5.25</v>
      </c>
      <c r="I38" s="2">
        <v>5.1885000000000003</v>
      </c>
      <c r="J38" s="3">
        <v>5.1829739999999997</v>
      </c>
      <c r="K38" s="3">
        <v>5.1678312000000002</v>
      </c>
      <c r="L38" s="3">
        <v>5.1350043999999997</v>
      </c>
      <c r="M38" s="3">
        <v>5.0810604000000001</v>
      </c>
      <c r="N38" s="3">
        <v>5.0096257</v>
      </c>
      <c r="O38" s="3">
        <v>4.9257526</v>
      </c>
      <c r="P38" s="3">
        <v>4.8347306999999997</v>
      </c>
      <c r="Q38" s="3">
        <v>4.7412763</v>
      </c>
      <c r="R38" s="3">
        <v>4.6490660999999998</v>
      </c>
      <c r="S38" s="3">
        <v>4.5607471000000004</v>
      </c>
      <c r="T38" s="3">
        <v>4.4777113000000002</v>
      </c>
      <c r="U38" s="3">
        <v>4.4001298000000002</v>
      </c>
      <c r="V38" s="3">
        <v>4.3261238000000004</v>
      </c>
      <c r="W38" s="3">
        <v>4.2552664</v>
      </c>
      <c r="X38" s="3">
        <v>4.1877652999999997</v>
      </c>
      <c r="Y38" s="3">
        <v>4.1238257000000003</v>
      </c>
      <c r="Z38" s="3">
        <v>4.0636532000000001</v>
      </c>
      <c r="AA38" s="3">
        <v>4.0074551999999999</v>
      </c>
      <c r="AB38" s="3">
        <v>3.9553791999999999</v>
      </c>
      <c r="AC38" s="3">
        <v>3.9073036000000001</v>
      </c>
      <c r="AD38" s="3">
        <v>3.8630306999999999</v>
      </c>
      <c r="AE38" s="3">
        <v>3.8223607999999998</v>
      </c>
      <c r="AF38" s="3">
        <v>3.7850945999999999</v>
      </c>
      <c r="AG38" s="3">
        <v>3.7510338999999999</v>
      </c>
      <c r="AH38" s="3">
        <v>3.7199814999999998</v>
      </c>
      <c r="AI38" s="3">
        <v>3.6917498000000002</v>
      </c>
      <c r="AJ38" s="3">
        <v>3.6661545000000002</v>
      </c>
      <c r="AK38" s="3">
        <v>3.6430106000000002</v>
      </c>
      <c r="AL38" s="3">
        <v>3.6221331999999999</v>
      </c>
      <c r="AM38" s="3">
        <v>3.6033379999999999</v>
      </c>
      <c r="AN38" s="3">
        <v>3.5864398999999998</v>
      </c>
      <c r="AO38" s="3">
        <v>3.5712540000000002</v>
      </c>
      <c r="AP38" s="3">
        <v>3.5575960000000002</v>
      </c>
      <c r="AQ38" s="3">
        <v>3.5452808999999998</v>
      </c>
      <c r="AR38" s="3">
        <v>3.5341238000000001</v>
      </c>
      <c r="AS38" s="3">
        <v>3.5239403</v>
      </c>
      <c r="AT38" s="3">
        <v>3.5145689999999998</v>
      </c>
      <c r="AU38" s="3">
        <v>3.5059521999999999</v>
      </c>
      <c r="AV38" s="3">
        <v>3.4980614999999999</v>
      </c>
      <c r="AW38" s="3">
        <v>3.4908679999999999</v>
      </c>
      <c r="AX38" s="3">
        <v>3.4843427</v>
      </c>
      <c r="AY38" s="3">
        <v>3.4784570000000001</v>
      </c>
      <c r="AZ38" s="3">
        <v>3.473182</v>
      </c>
      <c r="BA38" s="3">
        <v>3.4684889000000001</v>
      </c>
      <c r="BB38" s="3">
        <v>3.4643489999999999</v>
      </c>
      <c r="BC38" s="3">
        <v>3.4607334000000001</v>
      </c>
      <c r="BD38" s="3">
        <v>3.4576134000000001</v>
      </c>
      <c r="BE38" s="3">
        <v>3.4549601000000001</v>
      </c>
      <c r="BF38" s="3">
        <v>3.4527481999999998</v>
      </c>
      <c r="BG38" s="3">
        <v>3.4509672999999998</v>
      </c>
      <c r="BH38" s="3">
        <v>3.4496112000000001</v>
      </c>
      <c r="BI38" s="3">
        <v>3.4486739000000002</v>
      </c>
      <c r="BJ38" s="3">
        <v>3.4481492</v>
      </c>
      <c r="BK38" s="3">
        <v>3.4480309</v>
      </c>
      <c r="BL38" s="3">
        <v>3.4483128000000001</v>
      </c>
      <c r="BM38" s="3">
        <v>3.4489888</v>
      </c>
      <c r="BN38" s="3">
        <v>3.4500527000000001</v>
      </c>
      <c r="BO38" s="3">
        <v>3.4514984000000002</v>
      </c>
      <c r="BP38" s="3">
        <v>3.4533197000000002</v>
      </c>
      <c r="BQ38" s="3">
        <v>3.4555104999999999</v>
      </c>
      <c r="BR38" s="3">
        <v>3.4760114</v>
      </c>
      <c r="BS38" s="3">
        <v>3.5079091999999998</v>
      </c>
    </row>
    <row r="39" spans="1:71" x14ac:dyDescent="0.35">
      <c r="A39" s="6">
        <f t="shared" si="71"/>
        <v>45334</v>
      </c>
      <c r="B39">
        <f t="shared" si="66"/>
        <v>2</v>
      </c>
      <c r="C39">
        <f t="shared" si="67"/>
        <v>2024</v>
      </c>
      <c r="D39">
        <f t="shared" si="68"/>
        <v>202402</v>
      </c>
      <c r="E39">
        <f t="shared" si="69"/>
        <v>1</v>
      </c>
      <c r="F39">
        <f t="shared" si="70"/>
        <v>202401</v>
      </c>
      <c r="G39" t="s">
        <v>172</v>
      </c>
      <c r="H39" s="2">
        <v>5.25</v>
      </c>
      <c r="I39" s="2">
        <v>5.1882000000000001</v>
      </c>
      <c r="J39" s="3">
        <v>5.1822813999999999</v>
      </c>
      <c r="K39" s="3">
        <v>5.1596266999999996</v>
      </c>
      <c r="L39" s="3">
        <v>5.1197986999999996</v>
      </c>
      <c r="M39" s="3">
        <v>5.0581494999999999</v>
      </c>
      <c r="N39" s="3">
        <v>4.9790009</v>
      </c>
      <c r="O39" s="3">
        <v>4.8882089000000004</v>
      </c>
      <c r="P39" s="3">
        <v>4.7921037999999996</v>
      </c>
      <c r="Q39" s="3">
        <v>4.6957531000000001</v>
      </c>
      <c r="R39" s="3">
        <v>4.6026030000000002</v>
      </c>
      <c r="S39" s="3">
        <v>4.5143342999999998</v>
      </c>
      <c r="T39" s="3">
        <v>4.4317773999999996</v>
      </c>
      <c r="U39" s="3">
        <v>4.3545467000000002</v>
      </c>
      <c r="V39" s="3">
        <v>4.2814094000000003</v>
      </c>
      <c r="W39" s="3">
        <v>4.2121206000000004</v>
      </c>
      <c r="X39" s="3">
        <v>4.1467814000000001</v>
      </c>
      <c r="Y39" s="3">
        <v>4.0854904999999997</v>
      </c>
      <c r="Z39" s="3">
        <v>4.0283467000000002</v>
      </c>
      <c r="AA39" s="3">
        <v>3.9754508999999998</v>
      </c>
      <c r="AB39" s="3">
        <v>3.9268328000000001</v>
      </c>
      <c r="AC39" s="3">
        <v>3.8822597000000001</v>
      </c>
      <c r="AD39" s="3">
        <v>3.8414373999999998</v>
      </c>
      <c r="AE39" s="3">
        <v>3.8040706000000002</v>
      </c>
      <c r="AF39" s="3">
        <v>3.7698637000000002</v>
      </c>
      <c r="AG39" s="3">
        <v>3.7385228000000001</v>
      </c>
      <c r="AH39" s="3">
        <v>3.7097734999999998</v>
      </c>
      <c r="AI39" s="3">
        <v>3.6834356000000001</v>
      </c>
      <c r="AJ39" s="3">
        <v>3.6593553999999999</v>
      </c>
      <c r="AK39" s="3">
        <v>3.6373783</v>
      </c>
      <c r="AL39" s="3">
        <v>3.6173500000000001</v>
      </c>
      <c r="AM39" s="3">
        <v>3.5991167000000002</v>
      </c>
      <c r="AN39" s="3">
        <v>3.5825238000000001</v>
      </c>
      <c r="AO39" s="3">
        <v>3.5674171000000001</v>
      </c>
      <c r="AP39" s="3">
        <v>3.5536425999999999</v>
      </c>
      <c r="AQ39" s="3">
        <v>3.5410458999999999</v>
      </c>
      <c r="AR39" s="3">
        <v>3.5294728000000002</v>
      </c>
      <c r="AS39" s="3">
        <v>3.5187691000000001</v>
      </c>
      <c r="AT39" s="3">
        <v>3.5088021</v>
      </c>
      <c r="AU39" s="3">
        <v>3.4995337000000002</v>
      </c>
      <c r="AV39" s="3">
        <v>3.4909522000000002</v>
      </c>
      <c r="AW39" s="3">
        <v>3.4830458000000002</v>
      </c>
      <c r="AX39" s="3">
        <v>3.4758024999999999</v>
      </c>
      <c r="AY39" s="3">
        <v>3.4692107999999999</v>
      </c>
      <c r="AZ39" s="3">
        <v>3.4632586000000001</v>
      </c>
      <c r="BA39" s="3">
        <v>3.4579342</v>
      </c>
      <c r="BB39" s="3">
        <v>3.4532259000000001</v>
      </c>
      <c r="BC39" s="3">
        <v>3.4491217000000001</v>
      </c>
      <c r="BD39" s="3">
        <v>3.4456099</v>
      </c>
      <c r="BE39" s="3">
        <v>3.4426787000000001</v>
      </c>
      <c r="BF39" s="3">
        <v>3.4403163000000001</v>
      </c>
      <c r="BG39" s="3">
        <v>3.4385118000000001</v>
      </c>
      <c r="BH39" s="3">
        <v>3.4372544999999999</v>
      </c>
      <c r="BI39" s="3">
        <v>3.4365334999999999</v>
      </c>
      <c r="BJ39" s="3">
        <v>3.4363381</v>
      </c>
      <c r="BK39" s="3">
        <v>3.4366576000000002</v>
      </c>
      <c r="BL39" s="3">
        <v>3.4374812000000001</v>
      </c>
      <c r="BM39" s="3">
        <v>3.4387981000000001</v>
      </c>
      <c r="BN39" s="3">
        <v>3.4405975</v>
      </c>
      <c r="BO39" s="3">
        <v>3.4428687999999998</v>
      </c>
      <c r="BP39" s="3">
        <v>3.4456011000000002</v>
      </c>
      <c r="BQ39" s="3">
        <v>3.4487836999999999</v>
      </c>
      <c r="BR39" s="3">
        <v>3.4765153999999998</v>
      </c>
      <c r="BS39" s="3">
        <v>3.5164127000000001</v>
      </c>
    </row>
    <row r="40" spans="1:71" x14ac:dyDescent="0.35">
      <c r="A40" s="6">
        <f t="shared" si="71"/>
        <v>45335</v>
      </c>
      <c r="B40">
        <f t="shared" si="66"/>
        <v>2</v>
      </c>
      <c r="C40">
        <f t="shared" si="67"/>
        <v>2024</v>
      </c>
      <c r="D40">
        <f t="shared" si="68"/>
        <v>202402</v>
      </c>
      <c r="E40">
        <f t="shared" si="69"/>
        <v>1</v>
      </c>
      <c r="F40">
        <f t="shared" si="70"/>
        <v>202401</v>
      </c>
      <c r="G40" t="s">
        <v>173</v>
      </c>
      <c r="H40" s="2">
        <v>5.25</v>
      </c>
      <c r="I40" s="2">
        <v>5.1887999999999996</v>
      </c>
      <c r="J40" s="3">
        <v>5.1881858999999997</v>
      </c>
      <c r="K40" s="3">
        <v>5.1836932999999998</v>
      </c>
      <c r="L40" s="3">
        <v>5.1655557999999999</v>
      </c>
      <c r="M40" s="3">
        <v>5.1288004000000003</v>
      </c>
      <c r="N40" s="3">
        <v>5.0743339000000001</v>
      </c>
      <c r="O40" s="3">
        <v>5.0060332000000001</v>
      </c>
      <c r="P40" s="3">
        <v>4.9286785000000002</v>
      </c>
      <c r="Q40" s="3">
        <v>4.8473027999999996</v>
      </c>
      <c r="R40" s="3">
        <v>4.7657832000000004</v>
      </c>
      <c r="S40" s="3">
        <v>4.6866225000000004</v>
      </c>
      <c r="T40" s="3">
        <v>4.6112273999999998</v>
      </c>
      <c r="U40" s="3">
        <v>4.5397856000000001</v>
      </c>
      <c r="V40" s="3">
        <v>4.4711454000000002</v>
      </c>
      <c r="W40" s="3">
        <v>4.4051049000000004</v>
      </c>
      <c r="X40" s="3">
        <v>4.3418329</v>
      </c>
      <c r="Y40" s="3">
        <v>4.2814959999999997</v>
      </c>
      <c r="Z40" s="3">
        <v>4.2242607999999997</v>
      </c>
      <c r="AA40" s="3">
        <v>4.1702959999999996</v>
      </c>
      <c r="AB40" s="3">
        <v>4.1197084999999998</v>
      </c>
      <c r="AC40" s="3">
        <v>4.0723782000000002</v>
      </c>
      <c r="AD40" s="3">
        <v>4.0281327999999998</v>
      </c>
      <c r="AE40" s="3">
        <v>3.9867979999999998</v>
      </c>
      <c r="AF40" s="3">
        <v>3.9481999999999999</v>
      </c>
      <c r="AG40" s="3">
        <v>3.912166</v>
      </c>
      <c r="AH40" s="3">
        <v>3.8785314</v>
      </c>
      <c r="AI40" s="3">
        <v>3.8471725999999999</v>
      </c>
      <c r="AJ40" s="3">
        <v>3.8179786999999998</v>
      </c>
      <c r="AK40" s="3">
        <v>3.7908376000000001</v>
      </c>
      <c r="AL40" s="3">
        <v>3.7656371000000002</v>
      </c>
      <c r="AM40" s="3">
        <v>3.7422662</v>
      </c>
      <c r="AN40" s="3">
        <v>3.7206128000000001</v>
      </c>
      <c r="AO40" s="3">
        <v>3.7005648999999998</v>
      </c>
      <c r="AP40" s="3">
        <v>3.6820111999999998</v>
      </c>
      <c r="AQ40" s="3">
        <v>3.6648396999999999</v>
      </c>
      <c r="AR40" s="3">
        <v>3.6489384999999999</v>
      </c>
      <c r="AS40" s="3">
        <v>3.6341961999999999</v>
      </c>
      <c r="AT40" s="3">
        <v>3.6205107999999999</v>
      </c>
      <c r="AU40" s="3">
        <v>3.6078328000000002</v>
      </c>
      <c r="AV40" s="3">
        <v>3.5961314</v>
      </c>
      <c r="AW40" s="3">
        <v>3.5853749000000001</v>
      </c>
      <c r="AX40" s="3">
        <v>3.5755319999999999</v>
      </c>
      <c r="AY40" s="3">
        <v>3.5665713999999999</v>
      </c>
      <c r="AZ40" s="3">
        <v>3.5584617000000001</v>
      </c>
      <c r="BA40" s="3">
        <v>3.5511715000000001</v>
      </c>
      <c r="BB40" s="3">
        <v>3.5446696000000002</v>
      </c>
      <c r="BC40" s="3">
        <v>3.5389244999999998</v>
      </c>
      <c r="BD40" s="3">
        <v>3.5339049</v>
      </c>
      <c r="BE40" s="3">
        <v>3.5295793999999998</v>
      </c>
      <c r="BF40" s="3">
        <v>3.5259184000000001</v>
      </c>
      <c r="BG40" s="3">
        <v>3.5228996000000001</v>
      </c>
      <c r="BH40" s="3">
        <v>3.5205036000000001</v>
      </c>
      <c r="BI40" s="3">
        <v>3.5187107000000002</v>
      </c>
      <c r="BJ40" s="3">
        <v>3.5175011</v>
      </c>
      <c r="BK40" s="3">
        <v>3.5168553</v>
      </c>
      <c r="BL40" s="3">
        <v>3.5167535999999999</v>
      </c>
      <c r="BM40" s="3">
        <v>3.5171763999999999</v>
      </c>
      <c r="BN40" s="3">
        <v>3.5181040000000001</v>
      </c>
      <c r="BO40" s="3">
        <v>3.5195167999999999</v>
      </c>
      <c r="BP40" s="3">
        <v>3.5213950000000001</v>
      </c>
      <c r="BQ40" s="3">
        <v>3.5237191999999999</v>
      </c>
      <c r="BR40" s="3">
        <v>3.5461056000000002</v>
      </c>
      <c r="BS40" s="3">
        <v>3.5806898</v>
      </c>
    </row>
    <row r="41" spans="1:71" x14ac:dyDescent="0.35">
      <c r="A41" s="6">
        <f t="shared" si="71"/>
        <v>45336</v>
      </c>
      <c r="B41">
        <f t="shared" si="66"/>
        <v>2</v>
      </c>
      <c r="C41">
        <f t="shared" si="67"/>
        <v>2024</v>
      </c>
      <c r="D41">
        <f t="shared" si="68"/>
        <v>202402</v>
      </c>
      <c r="E41">
        <f t="shared" si="69"/>
        <v>1</v>
      </c>
      <c r="F41">
        <f t="shared" si="70"/>
        <v>202401</v>
      </c>
      <c r="G41" t="s">
        <v>174</v>
      </c>
      <c r="H41" s="2">
        <v>5.25</v>
      </c>
      <c r="I41" s="2">
        <v>5.1887999999999996</v>
      </c>
      <c r="J41" s="3">
        <v>5.1880091999999998</v>
      </c>
      <c r="K41" s="3">
        <v>5.1727223000000002</v>
      </c>
      <c r="L41" s="3">
        <v>5.1387647000000003</v>
      </c>
      <c r="M41" s="3">
        <v>5.0808974999999998</v>
      </c>
      <c r="N41" s="3">
        <v>5.0034232999999997</v>
      </c>
      <c r="O41" s="3">
        <v>4.9132822999999997</v>
      </c>
      <c r="P41" s="3">
        <v>4.8171087000000004</v>
      </c>
      <c r="Q41" s="3">
        <v>4.7201411000000002</v>
      </c>
      <c r="R41" s="3">
        <v>4.6258691000000001</v>
      </c>
      <c r="S41" s="3">
        <v>4.5361149000000003</v>
      </c>
      <c r="T41" s="3">
        <v>4.4515704999999999</v>
      </c>
      <c r="U41" s="3">
        <v>4.3721217000000001</v>
      </c>
      <c r="V41" s="3">
        <v>4.2962258000000002</v>
      </c>
      <c r="W41" s="3">
        <v>4.2235702000000002</v>
      </c>
      <c r="X41" s="3">
        <v>4.1543115999999998</v>
      </c>
      <c r="Y41" s="3">
        <v>4.0886037000000002</v>
      </c>
      <c r="Z41" s="3">
        <v>4.0266007000000004</v>
      </c>
      <c r="AA41" s="3">
        <v>3.9684588000000001</v>
      </c>
      <c r="AB41" s="3">
        <v>3.9142782</v>
      </c>
      <c r="AC41" s="3">
        <v>3.8639540999999999</v>
      </c>
      <c r="AD41" s="3">
        <v>3.8173347</v>
      </c>
      <c r="AE41" s="3">
        <v>3.7742665</v>
      </c>
      <c r="AF41" s="3">
        <v>3.7345959</v>
      </c>
      <c r="AG41" s="3">
        <v>3.6981709999999999</v>
      </c>
      <c r="AH41" s="3">
        <v>3.6648353999999999</v>
      </c>
      <c r="AI41" s="3">
        <v>3.6344178</v>
      </c>
      <c r="AJ41" s="3">
        <v>3.6067429</v>
      </c>
      <c r="AK41" s="3">
        <v>3.5816341999999999</v>
      </c>
      <c r="AL41" s="3">
        <v>3.5589154000000001</v>
      </c>
      <c r="AM41" s="3">
        <v>3.5384107999999999</v>
      </c>
      <c r="AN41" s="3">
        <v>3.5199443000000001</v>
      </c>
      <c r="AO41" s="3">
        <v>3.5033394000000002</v>
      </c>
      <c r="AP41" s="3">
        <v>3.4884206</v>
      </c>
      <c r="AQ41" s="3">
        <v>3.4750114999999999</v>
      </c>
      <c r="AR41" s="3">
        <v>3.4629357999999999</v>
      </c>
      <c r="AS41" s="3">
        <v>3.4520179999999998</v>
      </c>
      <c r="AT41" s="3">
        <v>3.4421010999999999</v>
      </c>
      <c r="AU41" s="3">
        <v>3.4331236000000001</v>
      </c>
      <c r="AV41" s="3">
        <v>3.4250531999999998</v>
      </c>
      <c r="AW41" s="3">
        <v>3.4178573000000001</v>
      </c>
      <c r="AX41" s="3">
        <v>3.4115031</v>
      </c>
      <c r="AY41" s="3">
        <v>3.4059583</v>
      </c>
      <c r="AZ41" s="3">
        <v>3.4011903000000001</v>
      </c>
      <c r="BA41" s="3">
        <v>3.3971665</v>
      </c>
      <c r="BB41" s="3">
        <v>3.3938545000000002</v>
      </c>
      <c r="BC41" s="3">
        <v>3.3912214999999999</v>
      </c>
      <c r="BD41" s="3">
        <v>3.3892351999999999</v>
      </c>
      <c r="BE41" s="3">
        <v>3.3878629</v>
      </c>
      <c r="BF41" s="3">
        <v>3.3870746</v>
      </c>
      <c r="BG41" s="3">
        <v>3.3868512000000002</v>
      </c>
      <c r="BH41" s="3">
        <v>3.3871766000000001</v>
      </c>
      <c r="BI41" s="3">
        <v>3.3880347</v>
      </c>
      <c r="BJ41" s="3">
        <v>3.3894093999999999</v>
      </c>
      <c r="BK41" s="3">
        <v>3.3912846000000001</v>
      </c>
      <c r="BL41" s="3">
        <v>3.3936443000000001</v>
      </c>
      <c r="BM41" s="3">
        <v>3.3964723000000001</v>
      </c>
      <c r="BN41" s="3">
        <v>3.3997525999999998</v>
      </c>
      <c r="BO41" s="3">
        <v>3.4034691000000001</v>
      </c>
      <c r="BP41" s="3">
        <v>3.4076057</v>
      </c>
      <c r="BQ41" s="3">
        <v>3.4121462999999999</v>
      </c>
      <c r="BR41" s="3">
        <v>3.4469229000000001</v>
      </c>
      <c r="BS41" s="3">
        <v>3.4918809999999998</v>
      </c>
    </row>
    <row r="42" spans="1:71" x14ac:dyDescent="0.35">
      <c r="A42" s="6">
        <f t="shared" si="71"/>
        <v>45337</v>
      </c>
      <c r="B42">
        <f t="shared" si="66"/>
        <v>2</v>
      </c>
      <c r="C42">
        <f t="shared" si="67"/>
        <v>2024</v>
      </c>
      <c r="D42">
        <f t="shared" si="68"/>
        <v>202402</v>
      </c>
      <c r="E42">
        <f t="shared" si="69"/>
        <v>1</v>
      </c>
      <c r="F42">
        <f t="shared" si="70"/>
        <v>202401</v>
      </c>
      <c r="G42" t="s">
        <v>175</v>
      </c>
      <c r="H42" s="2">
        <v>5.25</v>
      </c>
      <c r="I42" s="2">
        <v>5.1885000000000003</v>
      </c>
      <c r="J42" s="3">
        <v>5.1880239000000001</v>
      </c>
      <c r="K42" s="3">
        <v>5.1752238999999998</v>
      </c>
      <c r="L42" s="3">
        <v>5.1408756000000002</v>
      </c>
      <c r="M42" s="3">
        <v>5.0804251999999996</v>
      </c>
      <c r="N42" s="3">
        <v>4.9988979000000002</v>
      </c>
      <c r="O42" s="3">
        <v>4.9046984</v>
      </c>
      <c r="P42" s="3">
        <v>4.8050229</v>
      </c>
      <c r="Q42" s="3">
        <v>4.7051970000000001</v>
      </c>
      <c r="R42" s="3">
        <v>4.6086052000000004</v>
      </c>
      <c r="S42" s="3">
        <v>4.5169708999999996</v>
      </c>
      <c r="T42" s="3">
        <v>4.4310836</v>
      </c>
      <c r="U42" s="3">
        <v>4.3508426</v>
      </c>
      <c r="V42" s="3">
        <v>4.2746959999999996</v>
      </c>
      <c r="W42" s="3">
        <v>4.2023130000000002</v>
      </c>
      <c r="X42" s="3">
        <v>4.1339208000000003</v>
      </c>
      <c r="Y42" s="3">
        <v>4.069744</v>
      </c>
      <c r="Z42" s="3">
        <v>4.0100078000000003</v>
      </c>
      <c r="AA42" s="3">
        <v>3.9549392999999999</v>
      </c>
      <c r="AB42" s="3">
        <v>3.9046501999999998</v>
      </c>
      <c r="AC42" s="3">
        <v>3.8588209</v>
      </c>
      <c r="AD42" s="3">
        <v>3.8170307000000001</v>
      </c>
      <c r="AE42" s="3">
        <v>3.7788571000000002</v>
      </c>
      <c r="AF42" s="3">
        <v>3.7438779000000002</v>
      </c>
      <c r="AG42" s="3">
        <v>3.7116723</v>
      </c>
      <c r="AH42" s="3">
        <v>3.6818599000000001</v>
      </c>
      <c r="AI42" s="3">
        <v>3.6542648</v>
      </c>
      <c r="AJ42" s="3">
        <v>3.6287745999999999</v>
      </c>
      <c r="AK42" s="3">
        <v>3.6052756000000001</v>
      </c>
      <c r="AL42" s="3">
        <v>3.5836543999999999</v>
      </c>
      <c r="AM42" s="3">
        <v>3.5637981000000001</v>
      </c>
      <c r="AN42" s="3">
        <v>3.5455933000000002</v>
      </c>
      <c r="AO42" s="3">
        <v>3.5289264999999999</v>
      </c>
      <c r="AP42" s="3">
        <v>3.5136848999999999</v>
      </c>
      <c r="AQ42" s="3">
        <v>3.4997550999999998</v>
      </c>
      <c r="AR42" s="3">
        <v>3.4870236000000001</v>
      </c>
      <c r="AS42" s="3">
        <v>3.4753775</v>
      </c>
      <c r="AT42" s="3">
        <v>3.4647168000000002</v>
      </c>
      <c r="AU42" s="3">
        <v>3.4550011</v>
      </c>
      <c r="AV42" s="3">
        <v>3.4462065000000002</v>
      </c>
      <c r="AW42" s="3">
        <v>3.4383088000000002</v>
      </c>
      <c r="AX42" s="3">
        <v>3.4312839999999998</v>
      </c>
      <c r="AY42" s="3">
        <v>3.4251081999999999</v>
      </c>
      <c r="AZ42" s="3">
        <v>3.4197573999999999</v>
      </c>
      <c r="BA42" s="3">
        <v>3.4152073000000001</v>
      </c>
      <c r="BB42" s="3">
        <v>3.4114341000000001</v>
      </c>
      <c r="BC42" s="3">
        <v>3.4084137000000001</v>
      </c>
      <c r="BD42" s="3">
        <v>3.4061221000000002</v>
      </c>
      <c r="BE42" s="3">
        <v>3.4045353</v>
      </c>
      <c r="BF42" s="3">
        <v>3.4036284999999999</v>
      </c>
      <c r="BG42" s="3">
        <v>3.4033745</v>
      </c>
      <c r="BH42" s="3">
        <v>3.4037449999999998</v>
      </c>
      <c r="BI42" s="3">
        <v>3.4047119000000001</v>
      </c>
      <c r="BJ42" s="3">
        <v>3.406247</v>
      </c>
      <c r="BK42" s="3">
        <v>3.4083222000000002</v>
      </c>
      <c r="BL42" s="3">
        <v>3.4109091999999999</v>
      </c>
      <c r="BM42" s="3">
        <v>3.41398</v>
      </c>
      <c r="BN42" s="3">
        <v>3.4175064000000002</v>
      </c>
      <c r="BO42" s="3">
        <v>3.4214601999999998</v>
      </c>
      <c r="BP42" s="3">
        <v>3.4258133000000002</v>
      </c>
      <c r="BQ42" s="3">
        <v>3.4305374</v>
      </c>
      <c r="BR42" s="3">
        <v>3.4656180000000001</v>
      </c>
      <c r="BS42" s="3">
        <v>3.5101486999999998</v>
      </c>
    </row>
    <row r="43" spans="1:71" x14ac:dyDescent="0.35">
      <c r="A43" s="6">
        <f t="shared" si="71"/>
        <v>45338</v>
      </c>
      <c r="B43">
        <f t="shared" si="66"/>
        <v>2</v>
      </c>
      <c r="C43">
        <f t="shared" si="67"/>
        <v>2024</v>
      </c>
      <c r="D43">
        <f t="shared" si="68"/>
        <v>202402</v>
      </c>
      <c r="E43">
        <f t="shared" si="69"/>
        <v>1</v>
      </c>
      <c r="F43">
        <f t="shared" si="70"/>
        <v>202401</v>
      </c>
      <c r="G43" t="s">
        <v>176</v>
      </c>
      <c r="H43" s="2">
        <v>5.25</v>
      </c>
      <c r="I43" s="2">
        <v>5.1881000000000004</v>
      </c>
      <c r="J43" s="3">
        <v>5.1871783000000002</v>
      </c>
      <c r="K43" s="3">
        <v>5.1761794999999999</v>
      </c>
      <c r="L43" s="3">
        <v>5.1498881000000001</v>
      </c>
      <c r="M43" s="3">
        <v>5.1035442</v>
      </c>
      <c r="N43" s="3">
        <v>5.0396502999999999</v>
      </c>
      <c r="O43" s="3">
        <v>4.9637761999999999</v>
      </c>
      <c r="P43" s="3">
        <v>4.8818611000000001</v>
      </c>
      <c r="Q43" s="3">
        <v>4.7988825000000004</v>
      </c>
      <c r="R43" s="3">
        <v>4.7181438</v>
      </c>
      <c r="S43" s="3">
        <v>4.6413389</v>
      </c>
      <c r="T43" s="3">
        <v>4.5687810000000004</v>
      </c>
      <c r="U43" s="3">
        <v>4.4997816999999998</v>
      </c>
      <c r="V43" s="3">
        <v>4.4320706999999997</v>
      </c>
      <c r="W43" s="3">
        <v>4.3653385</v>
      </c>
      <c r="X43" s="3">
        <v>4.3000376999999999</v>
      </c>
      <c r="Y43" s="3">
        <v>4.2366187000000002</v>
      </c>
      <c r="Z43" s="3">
        <v>4.1755319999999996</v>
      </c>
      <c r="AA43" s="3">
        <v>4.1172301999999998</v>
      </c>
      <c r="AB43" s="3">
        <v>4.0620944000000003</v>
      </c>
      <c r="AC43" s="3">
        <v>4.0101830999999999</v>
      </c>
      <c r="AD43" s="3">
        <v>3.9614636000000001</v>
      </c>
      <c r="AE43" s="3">
        <v>3.9159011000000001</v>
      </c>
      <c r="AF43" s="3">
        <v>3.8734608000000001</v>
      </c>
      <c r="AG43" s="3">
        <v>3.8341097999999998</v>
      </c>
      <c r="AH43" s="3">
        <v>3.7977946</v>
      </c>
      <c r="AI43" s="3">
        <v>3.7643795999999998</v>
      </c>
      <c r="AJ43" s="3">
        <v>3.7337075999999998</v>
      </c>
      <c r="AK43" s="3">
        <v>3.7056200000000001</v>
      </c>
      <c r="AL43" s="3">
        <v>3.6799585000000001</v>
      </c>
      <c r="AM43" s="3">
        <v>3.6565656999999998</v>
      </c>
      <c r="AN43" s="3">
        <v>3.6352831999999999</v>
      </c>
      <c r="AO43" s="3">
        <v>3.6159528000000001</v>
      </c>
      <c r="AP43" s="3">
        <v>3.5984167999999999</v>
      </c>
      <c r="AQ43" s="3">
        <v>3.5825170000000002</v>
      </c>
      <c r="AR43" s="3">
        <v>3.5680952000000001</v>
      </c>
      <c r="AS43" s="3">
        <v>3.5549935000000001</v>
      </c>
      <c r="AT43" s="3">
        <v>3.5430706999999999</v>
      </c>
      <c r="AU43" s="3">
        <v>3.5322594999999999</v>
      </c>
      <c r="AV43" s="3">
        <v>3.5225135000000001</v>
      </c>
      <c r="AW43" s="3">
        <v>3.5137860000000001</v>
      </c>
      <c r="AX43" s="3">
        <v>3.5060302999999999</v>
      </c>
      <c r="AY43" s="3">
        <v>3.4991998</v>
      </c>
      <c r="AZ43" s="3">
        <v>3.4932479999999999</v>
      </c>
      <c r="BA43" s="3">
        <v>3.4881281</v>
      </c>
      <c r="BB43" s="3">
        <v>3.4837935999999998</v>
      </c>
      <c r="BC43" s="3">
        <v>3.4801978</v>
      </c>
      <c r="BD43" s="3">
        <v>3.4772940000000001</v>
      </c>
      <c r="BE43" s="3">
        <v>3.4750358000000001</v>
      </c>
      <c r="BF43" s="3">
        <v>3.4733805000000002</v>
      </c>
      <c r="BG43" s="3">
        <v>3.4723033000000001</v>
      </c>
      <c r="BH43" s="3">
        <v>3.4717844000000002</v>
      </c>
      <c r="BI43" s="3">
        <v>3.4718038999999998</v>
      </c>
      <c r="BJ43" s="3">
        <v>3.4723419999999998</v>
      </c>
      <c r="BK43" s="3">
        <v>3.4733789000000002</v>
      </c>
      <c r="BL43" s="3">
        <v>3.4748947000000001</v>
      </c>
      <c r="BM43" s="3">
        <v>3.4768696000000001</v>
      </c>
      <c r="BN43" s="3">
        <v>3.4792836999999999</v>
      </c>
      <c r="BO43" s="3">
        <v>3.4821171999999998</v>
      </c>
      <c r="BP43" s="3">
        <v>3.4853502999999999</v>
      </c>
      <c r="BQ43" s="3">
        <v>3.4889630999999999</v>
      </c>
      <c r="BR43" s="3">
        <v>3.5178159</v>
      </c>
      <c r="BS43" s="3">
        <v>3.5572596000000001</v>
      </c>
    </row>
    <row r="44" spans="1:71" x14ac:dyDescent="0.35">
      <c r="A44" s="6">
        <f t="shared" si="71"/>
        <v>45341</v>
      </c>
      <c r="B44">
        <f t="shared" si="66"/>
        <v>2</v>
      </c>
      <c r="C44">
        <f t="shared" si="67"/>
        <v>2024</v>
      </c>
      <c r="D44">
        <f t="shared" si="68"/>
        <v>202402</v>
      </c>
      <c r="E44">
        <f t="shared" si="69"/>
        <v>1</v>
      </c>
      <c r="F44">
        <f t="shared" si="70"/>
        <v>202401</v>
      </c>
      <c r="G44" t="s">
        <v>177</v>
      </c>
      <c r="H44" s="2">
        <v>5.25</v>
      </c>
      <c r="I44" s="2">
        <v>5.1874000000000002</v>
      </c>
      <c r="J44" s="3">
        <v>5.1890112000000004</v>
      </c>
      <c r="K44" s="3">
        <v>5.1762766999999998</v>
      </c>
      <c r="L44" s="3">
        <v>5.1459086999999997</v>
      </c>
      <c r="M44" s="3">
        <v>5.0929804000000001</v>
      </c>
      <c r="N44" s="3">
        <v>5.0215443999999998</v>
      </c>
      <c r="O44" s="3">
        <v>4.9380993000000002</v>
      </c>
      <c r="P44" s="3">
        <v>4.8491670999999998</v>
      </c>
      <c r="Q44" s="3">
        <v>4.7598298999999997</v>
      </c>
      <c r="R44" s="3">
        <v>4.6736561999999999</v>
      </c>
      <c r="S44" s="3">
        <v>4.5922339000000001</v>
      </c>
      <c r="T44" s="3">
        <v>4.5161626999999998</v>
      </c>
      <c r="U44" s="3">
        <v>4.4448220999999997</v>
      </c>
      <c r="V44" s="3">
        <v>4.3759788000000004</v>
      </c>
      <c r="W44" s="3">
        <v>4.3093101999999996</v>
      </c>
      <c r="X44" s="3">
        <v>4.2451825999999997</v>
      </c>
      <c r="Y44" s="3">
        <v>4.1839599999999999</v>
      </c>
      <c r="Z44" s="3">
        <v>4.1260063999999996</v>
      </c>
      <c r="AA44" s="3">
        <v>4.0716878999999997</v>
      </c>
      <c r="AB44" s="3">
        <v>4.0212678999999998</v>
      </c>
      <c r="AC44" s="3">
        <v>3.9746269000000001</v>
      </c>
      <c r="AD44" s="3">
        <v>3.9315559000000002</v>
      </c>
      <c r="AE44" s="3">
        <v>3.8918441000000001</v>
      </c>
      <c r="AF44" s="3">
        <v>3.8552810000000002</v>
      </c>
      <c r="AG44" s="3">
        <v>3.8216572000000002</v>
      </c>
      <c r="AH44" s="3">
        <v>3.7907668999999999</v>
      </c>
      <c r="AI44" s="3">
        <v>3.7624254000000001</v>
      </c>
      <c r="AJ44" s="3">
        <v>3.7364546999999999</v>
      </c>
      <c r="AK44" s="3">
        <v>3.7126758</v>
      </c>
      <c r="AL44" s="3">
        <v>3.6909098999999999</v>
      </c>
      <c r="AM44" s="3">
        <v>3.6709789000000002</v>
      </c>
      <c r="AN44" s="3">
        <v>3.6527037</v>
      </c>
      <c r="AO44" s="3">
        <v>3.6359056999999999</v>
      </c>
      <c r="AP44" s="3">
        <v>3.6204065999999999</v>
      </c>
      <c r="AQ44" s="3">
        <v>3.6060275000000002</v>
      </c>
      <c r="AR44" s="3">
        <v>3.5925896000000002</v>
      </c>
      <c r="AS44" s="3">
        <v>3.5799148000000001</v>
      </c>
      <c r="AT44" s="3">
        <v>3.5678532999999999</v>
      </c>
      <c r="AU44" s="3">
        <v>3.5563850000000001</v>
      </c>
      <c r="AV44" s="3">
        <v>3.5455256999999998</v>
      </c>
      <c r="AW44" s="3">
        <v>3.5352907</v>
      </c>
      <c r="AX44" s="3">
        <v>3.5256954</v>
      </c>
      <c r="AY44" s="3">
        <v>3.5167557</v>
      </c>
      <c r="AZ44" s="3">
        <v>3.5084868999999999</v>
      </c>
      <c r="BA44" s="3">
        <v>3.5009044</v>
      </c>
      <c r="BB44" s="3">
        <v>3.4940239000000002</v>
      </c>
      <c r="BC44" s="3">
        <v>3.4878610000000001</v>
      </c>
      <c r="BD44" s="3">
        <v>3.4824309000000002</v>
      </c>
      <c r="BE44" s="3">
        <v>3.4777494999999998</v>
      </c>
      <c r="BF44" s="3">
        <v>3.4738283999999999</v>
      </c>
      <c r="BG44" s="3">
        <v>3.4706602000000002</v>
      </c>
      <c r="BH44" s="3">
        <v>3.4682308000000002</v>
      </c>
      <c r="BI44" s="3">
        <v>3.466526</v>
      </c>
      <c r="BJ44" s="3">
        <v>3.4655315999999998</v>
      </c>
      <c r="BK44" s="3">
        <v>3.4652337000000002</v>
      </c>
      <c r="BL44" s="3">
        <v>3.4656180999999999</v>
      </c>
      <c r="BM44" s="3">
        <v>3.4666706</v>
      </c>
      <c r="BN44" s="3">
        <v>3.4683771999999999</v>
      </c>
      <c r="BO44" s="3">
        <v>3.4707237000000002</v>
      </c>
      <c r="BP44" s="3">
        <v>3.4736959999999999</v>
      </c>
      <c r="BQ44" s="3">
        <v>3.4772801000000002</v>
      </c>
      <c r="BR44" s="3">
        <v>3.5102652999999999</v>
      </c>
      <c r="BS44" s="3">
        <v>3.5581922000000001</v>
      </c>
    </row>
    <row r="45" spans="1:71" x14ac:dyDescent="0.35">
      <c r="A45" s="6">
        <f t="shared" si="71"/>
        <v>45342</v>
      </c>
      <c r="B45">
        <f t="shared" si="66"/>
        <v>2</v>
      </c>
      <c r="C45">
        <f t="shared" si="67"/>
        <v>2024</v>
      </c>
      <c r="D45">
        <f t="shared" si="68"/>
        <v>202402</v>
      </c>
      <c r="E45">
        <f t="shared" si="69"/>
        <v>1</v>
      </c>
      <c r="F45">
        <f t="shared" si="70"/>
        <v>202401</v>
      </c>
      <c r="G45" t="s">
        <v>178</v>
      </c>
      <c r="H45" s="2">
        <v>5.25</v>
      </c>
      <c r="I45" s="2">
        <v>5.1879</v>
      </c>
      <c r="J45" s="3">
        <v>5.1904661000000001</v>
      </c>
      <c r="K45" s="3">
        <v>5.1734203000000001</v>
      </c>
      <c r="L45" s="3">
        <v>5.1345172999999997</v>
      </c>
      <c r="M45" s="3">
        <v>5.0689332</v>
      </c>
      <c r="N45" s="3">
        <v>4.9828574000000003</v>
      </c>
      <c r="O45" s="3">
        <v>4.8854096</v>
      </c>
      <c r="P45" s="3">
        <v>4.7836004000000001</v>
      </c>
      <c r="Q45" s="3">
        <v>4.6823801999999999</v>
      </c>
      <c r="R45" s="3">
        <v>4.5852035000000004</v>
      </c>
      <c r="S45" s="3">
        <v>4.4939603000000004</v>
      </c>
      <c r="T45" s="3">
        <v>4.4098813999999997</v>
      </c>
      <c r="U45" s="3">
        <v>4.3330006000000001</v>
      </c>
      <c r="V45" s="3">
        <v>4.2624190000000004</v>
      </c>
      <c r="W45" s="3">
        <v>4.1974498000000002</v>
      </c>
      <c r="X45" s="3">
        <v>4.1375242999999999</v>
      </c>
      <c r="Y45" s="3">
        <v>4.0820711999999997</v>
      </c>
      <c r="Z45" s="3">
        <v>4.0305195999999999</v>
      </c>
      <c r="AA45" s="3">
        <v>3.9823002999999999</v>
      </c>
      <c r="AB45" s="3">
        <v>3.9369282000000001</v>
      </c>
      <c r="AC45" s="3">
        <v>3.8942462</v>
      </c>
      <c r="AD45" s="3">
        <v>3.8541766000000002</v>
      </c>
      <c r="AE45" s="3">
        <v>3.8166402000000001</v>
      </c>
      <c r="AF45" s="3">
        <v>3.7815577</v>
      </c>
      <c r="AG45" s="3">
        <v>3.7488513000000001</v>
      </c>
      <c r="AH45" s="3">
        <v>3.7184376000000001</v>
      </c>
      <c r="AI45" s="3">
        <v>3.6902154</v>
      </c>
      <c r="AJ45" s="3">
        <v>3.6640790999999999</v>
      </c>
      <c r="AK45" s="3">
        <v>3.6399224000000001</v>
      </c>
      <c r="AL45" s="3">
        <v>3.6176387999999999</v>
      </c>
      <c r="AM45" s="3">
        <v>3.5971229</v>
      </c>
      <c r="AN45" s="3">
        <v>3.5782682000000001</v>
      </c>
      <c r="AO45" s="3">
        <v>3.5609684000000001</v>
      </c>
      <c r="AP45" s="3">
        <v>3.545118</v>
      </c>
      <c r="AQ45" s="3">
        <v>3.5306104999999999</v>
      </c>
      <c r="AR45" s="3">
        <v>3.5173397</v>
      </c>
      <c r="AS45" s="3">
        <v>3.5051998000000002</v>
      </c>
      <c r="AT45" s="3">
        <v>3.4940928000000002</v>
      </c>
      <c r="AU45" s="3">
        <v>3.4839639999999998</v>
      </c>
      <c r="AV45" s="3">
        <v>3.4747742000000001</v>
      </c>
      <c r="AW45" s="3">
        <v>3.4664834</v>
      </c>
      <c r="AX45" s="3">
        <v>3.4590519</v>
      </c>
      <c r="AY45" s="3">
        <v>3.4524401999999998</v>
      </c>
      <c r="AZ45" s="3">
        <v>3.4466084000000001</v>
      </c>
      <c r="BA45" s="3">
        <v>3.4415170000000002</v>
      </c>
      <c r="BB45" s="3">
        <v>3.4371261</v>
      </c>
      <c r="BC45" s="3">
        <v>3.4333961999999998</v>
      </c>
      <c r="BD45" s="3">
        <v>3.4302876000000002</v>
      </c>
      <c r="BE45" s="3">
        <v>3.4277603999999999</v>
      </c>
      <c r="BF45" s="3">
        <v>3.4257791000000002</v>
      </c>
      <c r="BG45" s="3">
        <v>3.4243266000000001</v>
      </c>
      <c r="BH45" s="3">
        <v>3.4233920000000002</v>
      </c>
      <c r="BI45" s="3">
        <v>3.4229642999999998</v>
      </c>
      <c r="BJ45" s="3">
        <v>3.4230323</v>
      </c>
      <c r="BK45" s="3">
        <v>3.4235850000000001</v>
      </c>
      <c r="BL45" s="3">
        <v>3.4246113999999999</v>
      </c>
      <c r="BM45" s="3">
        <v>3.4261004000000002</v>
      </c>
      <c r="BN45" s="3">
        <v>3.4280409000000001</v>
      </c>
      <c r="BO45" s="3">
        <v>3.4304220000000001</v>
      </c>
      <c r="BP45" s="3">
        <v>3.4332326000000002</v>
      </c>
      <c r="BQ45" s="3">
        <v>3.4364615000000001</v>
      </c>
      <c r="BR45" s="3">
        <v>3.4638930000000001</v>
      </c>
      <c r="BS45" s="3">
        <v>3.5029268</v>
      </c>
    </row>
    <row r="46" spans="1:71" x14ac:dyDescent="0.35">
      <c r="A46" s="6">
        <f t="shared" si="71"/>
        <v>45343</v>
      </c>
      <c r="B46">
        <f t="shared" si="66"/>
        <v>2</v>
      </c>
      <c r="C46">
        <f t="shared" si="67"/>
        <v>2024</v>
      </c>
      <c r="D46">
        <f t="shared" si="68"/>
        <v>202402</v>
      </c>
      <c r="E46">
        <f t="shared" si="69"/>
        <v>1</v>
      </c>
      <c r="F46">
        <f t="shared" si="70"/>
        <v>202401</v>
      </c>
      <c r="G46" t="s">
        <v>179</v>
      </c>
      <c r="H46" s="2">
        <v>5.25</v>
      </c>
      <c r="I46" s="2">
        <v>5.1879999999999997</v>
      </c>
      <c r="J46" s="3">
        <v>5.1893862999999998</v>
      </c>
      <c r="K46" s="3">
        <v>5.1790538000000002</v>
      </c>
      <c r="L46" s="3">
        <v>5.1491264000000001</v>
      </c>
      <c r="M46" s="3">
        <v>5.0950556000000002</v>
      </c>
      <c r="N46" s="3">
        <v>5.0215465000000004</v>
      </c>
      <c r="O46" s="3">
        <v>4.9363590999999998</v>
      </c>
      <c r="P46" s="3">
        <v>4.8463551999999996</v>
      </c>
      <c r="Q46" s="3">
        <v>4.7565473000000003</v>
      </c>
      <c r="R46" s="3">
        <v>4.6704720000000002</v>
      </c>
      <c r="S46" s="3">
        <v>4.5900761000000001</v>
      </c>
      <c r="T46" s="3">
        <v>4.5160635999999998</v>
      </c>
      <c r="U46" s="3">
        <v>4.4481289000000004</v>
      </c>
      <c r="V46" s="3">
        <v>4.3838151999999999</v>
      </c>
      <c r="W46" s="3">
        <v>4.3223985999999996</v>
      </c>
      <c r="X46" s="3">
        <v>4.263827</v>
      </c>
      <c r="Y46" s="3">
        <v>4.2080466000000003</v>
      </c>
      <c r="Z46" s="3">
        <v>4.1550034</v>
      </c>
      <c r="AA46" s="3">
        <v>4.1046452000000002</v>
      </c>
      <c r="AB46" s="3">
        <v>4.0569211999999997</v>
      </c>
      <c r="AC46" s="3">
        <v>4.0117909000000003</v>
      </c>
      <c r="AD46" s="3">
        <v>3.9692186</v>
      </c>
      <c r="AE46" s="3">
        <v>3.9291665999999998</v>
      </c>
      <c r="AF46" s="3">
        <v>3.8915975</v>
      </c>
      <c r="AG46" s="3">
        <v>3.8564750000000001</v>
      </c>
      <c r="AH46" s="3">
        <v>3.8237516999999999</v>
      </c>
      <c r="AI46" s="3">
        <v>3.7933268999999998</v>
      </c>
      <c r="AJ46" s="3">
        <v>3.7650826999999998</v>
      </c>
      <c r="AK46" s="3">
        <v>3.7389003999999999</v>
      </c>
      <c r="AL46" s="3">
        <v>3.7146612000000001</v>
      </c>
      <c r="AM46" s="3">
        <v>3.6922473</v>
      </c>
      <c r="AN46" s="3">
        <v>3.6715399</v>
      </c>
      <c r="AO46" s="3">
        <v>3.6524204</v>
      </c>
      <c r="AP46" s="3">
        <v>3.6347706999999998</v>
      </c>
      <c r="AQ46" s="3">
        <v>3.6184721999999998</v>
      </c>
      <c r="AR46" s="3">
        <v>3.6034063000000001</v>
      </c>
      <c r="AS46" s="3">
        <v>3.5894548999999998</v>
      </c>
      <c r="AT46" s="3">
        <v>3.576511</v>
      </c>
      <c r="AU46" s="3">
        <v>3.5645251</v>
      </c>
      <c r="AV46" s="3">
        <v>3.5534655000000002</v>
      </c>
      <c r="AW46" s="3">
        <v>3.5432998000000002</v>
      </c>
      <c r="AX46" s="3">
        <v>3.5339958999999999</v>
      </c>
      <c r="AY46" s="3">
        <v>3.5255220999999999</v>
      </c>
      <c r="AZ46" s="3">
        <v>3.517846</v>
      </c>
      <c r="BA46" s="3">
        <v>3.5109357000000001</v>
      </c>
      <c r="BB46" s="3">
        <v>3.5047590999999998</v>
      </c>
      <c r="BC46" s="3">
        <v>3.4992842999999998</v>
      </c>
      <c r="BD46" s="3">
        <v>3.4944788999999998</v>
      </c>
      <c r="BE46" s="3">
        <v>3.4903111999999998</v>
      </c>
      <c r="BF46" s="3">
        <v>3.4867512999999999</v>
      </c>
      <c r="BG46" s="3">
        <v>3.4837802</v>
      </c>
      <c r="BH46" s="3">
        <v>3.4813816000000002</v>
      </c>
      <c r="BI46" s="3">
        <v>3.4795394000000002</v>
      </c>
      <c r="BJ46" s="3">
        <v>3.4782372000000001</v>
      </c>
      <c r="BK46" s="3">
        <v>3.4774588999999998</v>
      </c>
      <c r="BL46" s="3">
        <v>3.4771882999999999</v>
      </c>
      <c r="BM46" s="3">
        <v>3.4774091999999999</v>
      </c>
      <c r="BN46" s="3">
        <v>3.4781053000000002</v>
      </c>
      <c r="BO46" s="3">
        <v>3.4792603999999998</v>
      </c>
      <c r="BP46" s="3">
        <v>3.4808583</v>
      </c>
      <c r="BQ46" s="3">
        <v>3.4828828000000001</v>
      </c>
      <c r="BR46" s="3">
        <v>3.5031588999999999</v>
      </c>
      <c r="BS46" s="3">
        <v>3.5351891000000002</v>
      </c>
    </row>
    <row r="47" spans="1:71" x14ac:dyDescent="0.35">
      <c r="A47" s="6">
        <f t="shared" si="71"/>
        <v>45344</v>
      </c>
      <c r="B47">
        <f t="shared" si="66"/>
        <v>2</v>
      </c>
      <c r="C47">
        <f t="shared" si="67"/>
        <v>2024</v>
      </c>
      <c r="D47">
        <f t="shared" si="68"/>
        <v>202402</v>
      </c>
      <c r="E47">
        <f t="shared" si="69"/>
        <v>1</v>
      </c>
      <c r="F47">
        <f t="shared" si="70"/>
        <v>202401</v>
      </c>
      <c r="G47" t="s">
        <v>180</v>
      </c>
      <c r="H47" s="2">
        <v>5.25</v>
      </c>
      <c r="I47" s="2">
        <v>5.1887999999999996</v>
      </c>
      <c r="J47" s="3">
        <v>5.1891552000000001</v>
      </c>
      <c r="K47" s="3">
        <v>5.1765321999999996</v>
      </c>
      <c r="L47" s="3">
        <v>5.1477062</v>
      </c>
      <c r="M47" s="3">
        <v>5.0976077000000002</v>
      </c>
      <c r="N47" s="3">
        <v>5.0292186000000001</v>
      </c>
      <c r="O47" s="3">
        <v>4.9496558000000004</v>
      </c>
      <c r="P47" s="3">
        <v>4.8653567999999998</v>
      </c>
      <c r="Q47" s="3">
        <v>4.7810617000000004</v>
      </c>
      <c r="R47" s="3">
        <v>4.6999734000000002</v>
      </c>
      <c r="S47" s="3">
        <v>4.6236658000000004</v>
      </c>
      <c r="T47" s="3">
        <v>4.5526536999999996</v>
      </c>
      <c r="U47" s="3">
        <v>4.4865227000000001</v>
      </c>
      <c r="V47" s="3">
        <v>4.4233712000000001</v>
      </c>
      <c r="W47" s="3">
        <v>4.3627045999999998</v>
      </c>
      <c r="X47" s="3">
        <v>4.3046543000000002</v>
      </c>
      <c r="Y47" s="3">
        <v>4.2493502000000003</v>
      </c>
      <c r="Z47" s="3">
        <v>4.1969221000000001</v>
      </c>
      <c r="AA47" s="3">
        <v>4.1475017999999997</v>
      </c>
      <c r="AB47" s="3">
        <v>4.1011636999999999</v>
      </c>
      <c r="AC47" s="3">
        <v>4.0577708000000001</v>
      </c>
      <c r="AD47" s="3">
        <v>4.0171371999999996</v>
      </c>
      <c r="AE47" s="3">
        <v>3.9790757000000001</v>
      </c>
      <c r="AF47" s="3">
        <v>3.9433989</v>
      </c>
      <c r="AG47" s="3">
        <v>3.9099208000000001</v>
      </c>
      <c r="AH47" s="3">
        <v>3.8784670999999999</v>
      </c>
      <c r="AI47" s="3">
        <v>3.8489257000000001</v>
      </c>
      <c r="AJ47" s="3">
        <v>3.8212047999999998</v>
      </c>
      <c r="AK47" s="3">
        <v>3.7952113999999999</v>
      </c>
      <c r="AL47" s="3">
        <v>3.7708526999999998</v>
      </c>
      <c r="AM47" s="3">
        <v>3.7480367000000001</v>
      </c>
      <c r="AN47" s="3">
        <v>3.7266704000000002</v>
      </c>
      <c r="AO47" s="3">
        <v>3.7066612000000001</v>
      </c>
      <c r="AP47" s="3">
        <v>3.6879168</v>
      </c>
      <c r="AQ47" s="3">
        <v>3.6703443999999998</v>
      </c>
      <c r="AR47" s="3">
        <v>3.6538514000000002</v>
      </c>
      <c r="AS47" s="3">
        <v>3.6383454</v>
      </c>
      <c r="AT47" s="3">
        <v>3.6237450999999998</v>
      </c>
      <c r="AU47" s="3">
        <v>3.6100192999999998</v>
      </c>
      <c r="AV47" s="3">
        <v>3.5971511999999999</v>
      </c>
      <c r="AW47" s="3">
        <v>3.5851236000000002</v>
      </c>
      <c r="AX47" s="3">
        <v>3.5739190000000001</v>
      </c>
      <c r="AY47" s="3">
        <v>3.5635207000000002</v>
      </c>
      <c r="AZ47" s="3">
        <v>3.5539114000000001</v>
      </c>
      <c r="BA47" s="3">
        <v>3.5450738999999998</v>
      </c>
      <c r="BB47" s="3">
        <v>3.5369910999999998</v>
      </c>
      <c r="BC47" s="3">
        <v>3.5296458999999998</v>
      </c>
      <c r="BD47" s="3">
        <v>3.5230210999999998</v>
      </c>
      <c r="BE47" s="3">
        <v>3.5170995999999999</v>
      </c>
      <c r="BF47" s="3">
        <v>3.5118638999999998</v>
      </c>
      <c r="BG47" s="3">
        <v>3.5072949000000002</v>
      </c>
      <c r="BH47" s="3">
        <v>3.5033731000000001</v>
      </c>
      <c r="BI47" s="3">
        <v>3.5000789999999999</v>
      </c>
      <c r="BJ47" s="3">
        <v>3.4973931999999999</v>
      </c>
      <c r="BK47" s="3">
        <v>3.4952961</v>
      </c>
      <c r="BL47" s="3">
        <v>3.4937681999999999</v>
      </c>
      <c r="BM47" s="3">
        <v>3.4927899999999998</v>
      </c>
      <c r="BN47" s="3">
        <v>3.4923421000000001</v>
      </c>
      <c r="BO47" s="3">
        <v>3.4924048999999999</v>
      </c>
      <c r="BP47" s="3">
        <v>3.4929589000000001</v>
      </c>
      <c r="BQ47" s="3">
        <v>3.4939846000000001</v>
      </c>
      <c r="BR47" s="3">
        <v>3.5091106999999999</v>
      </c>
      <c r="BS47" s="3">
        <v>3.5372710999999999</v>
      </c>
    </row>
    <row r="48" spans="1:71" x14ac:dyDescent="0.35">
      <c r="A48" s="6">
        <f t="shared" si="71"/>
        <v>45345</v>
      </c>
      <c r="B48">
        <f t="shared" si="66"/>
        <v>2</v>
      </c>
      <c r="C48">
        <f t="shared" si="67"/>
        <v>2024</v>
      </c>
      <c r="D48">
        <f t="shared" si="68"/>
        <v>202402</v>
      </c>
      <c r="E48">
        <f t="shared" si="69"/>
        <v>1</v>
      </c>
      <c r="F48">
        <f t="shared" si="70"/>
        <v>202401</v>
      </c>
      <c r="G48" t="s">
        <v>181</v>
      </c>
      <c r="H48" s="2">
        <v>5.25</v>
      </c>
      <c r="I48" s="2">
        <v>5.1881000000000004</v>
      </c>
      <c r="J48" s="3">
        <v>5.1911202000000003</v>
      </c>
      <c r="K48" s="3">
        <v>5.1764121000000003</v>
      </c>
      <c r="L48" s="3">
        <v>5.1412718999999996</v>
      </c>
      <c r="M48" s="3">
        <v>5.0810101000000003</v>
      </c>
      <c r="N48" s="3">
        <v>5.0013110999999997</v>
      </c>
      <c r="O48" s="3">
        <v>4.9112236999999999</v>
      </c>
      <c r="P48" s="3">
        <v>4.8183414999999998</v>
      </c>
      <c r="Q48" s="3">
        <v>4.7277338000000002</v>
      </c>
      <c r="R48" s="3">
        <v>4.6423572999999996</v>
      </c>
      <c r="S48" s="3">
        <v>4.56351</v>
      </c>
      <c r="T48" s="3">
        <v>4.4910712000000004</v>
      </c>
      <c r="U48" s="3">
        <v>4.4239810999999998</v>
      </c>
      <c r="V48" s="3">
        <v>4.3593095000000002</v>
      </c>
      <c r="W48" s="3">
        <v>4.2964254999999998</v>
      </c>
      <c r="X48" s="3">
        <v>4.2355970000000003</v>
      </c>
      <c r="Y48" s="3">
        <v>4.1770899000000004</v>
      </c>
      <c r="Z48" s="3">
        <v>4.1211701999999999</v>
      </c>
      <c r="AA48" s="3">
        <v>4.0681057000000003</v>
      </c>
      <c r="AB48" s="3">
        <v>4.0181193999999998</v>
      </c>
      <c r="AC48" s="3">
        <v>3.9712136</v>
      </c>
      <c r="AD48" s="3">
        <v>3.9273218000000001</v>
      </c>
      <c r="AE48" s="3">
        <v>3.8863758000000002</v>
      </c>
      <c r="AF48" s="3">
        <v>3.8483073999999999</v>
      </c>
      <c r="AG48" s="3">
        <v>3.8130500999999999</v>
      </c>
      <c r="AH48" s="3">
        <v>3.7805213000000002</v>
      </c>
      <c r="AI48" s="3">
        <v>3.7505763000000001</v>
      </c>
      <c r="AJ48" s="3">
        <v>3.7230538000000002</v>
      </c>
      <c r="AK48" s="3">
        <v>3.6977913999999998</v>
      </c>
      <c r="AL48" s="3">
        <v>3.6746270999999999</v>
      </c>
      <c r="AM48" s="3">
        <v>3.6533994999999999</v>
      </c>
      <c r="AN48" s="3">
        <v>3.6339462999999999</v>
      </c>
      <c r="AO48" s="3">
        <v>3.6161055000000002</v>
      </c>
      <c r="AP48" s="3">
        <v>3.5997154999999998</v>
      </c>
      <c r="AQ48" s="3">
        <v>3.5846141999999999</v>
      </c>
      <c r="AR48" s="3">
        <v>3.5706395999999998</v>
      </c>
      <c r="AS48" s="3">
        <v>3.5576300999999999</v>
      </c>
      <c r="AT48" s="3">
        <v>3.5454441999999999</v>
      </c>
      <c r="AU48" s="3">
        <v>3.5340322999999998</v>
      </c>
      <c r="AV48" s="3">
        <v>3.5233701000000002</v>
      </c>
      <c r="AW48" s="3">
        <v>3.5134332000000001</v>
      </c>
      <c r="AX48" s="3">
        <v>3.5041970999999998</v>
      </c>
      <c r="AY48" s="3">
        <v>3.4956374000000001</v>
      </c>
      <c r="AZ48" s="3">
        <v>3.4877297999999999</v>
      </c>
      <c r="BA48" s="3">
        <v>3.4804498000000001</v>
      </c>
      <c r="BB48" s="3">
        <v>3.473773</v>
      </c>
      <c r="BC48" s="3">
        <v>3.4676749999999998</v>
      </c>
      <c r="BD48" s="3">
        <v>3.4621314000000001</v>
      </c>
      <c r="BE48" s="3">
        <v>3.4571179000000001</v>
      </c>
      <c r="BF48" s="3">
        <v>3.4526123000000002</v>
      </c>
      <c r="BG48" s="3">
        <v>3.4486036000000002</v>
      </c>
      <c r="BH48" s="3">
        <v>3.4450834000000001</v>
      </c>
      <c r="BI48" s="3">
        <v>3.4420435</v>
      </c>
      <c r="BJ48" s="3">
        <v>3.4394756000000002</v>
      </c>
      <c r="BK48" s="3">
        <v>3.4373714999999998</v>
      </c>
      <c r="BL48" s="3">
        <v>3.4357228000000002</v>
      </c>
      <c r="BM48" s="3">
        <v>3.4345213999999999</v>
      </c>
      <c r="BN48" s="3">
        <v>3.4337589999999998</v>
      </c>
      <c r="BO48" s="3">
        <v>3.4334273</v>
      </c>
      <c r="BP48" s="3">
        <v>3.4335179999999998</v>
      </c>
      <c r="BQ48" s="3">
        <v>3.4340229</v>
      </c>
      <c r="BR48" s="3">
        <v>3.4452443000000001</v>
      </c>
      <c r="BS48" s="3">
        <v>3.4690291000000002</v>
      </c>
    </row>
    <row r="49" spans="1:71" x14ac:dyDescent="0.35">
      <c r="A49" s="6">
        <f t="shared" si="71"/>
        <v>45348</v>
      </c>
      <c r="B49">
        <f t="shared" si="66"/>
        <v>2</v>
      </c>
      <c r="C49">
        <f t="shared" si="67"/>
        <v>2024</v>
      </c>
      <c r="D49">
        <f t="shared" si="68"/>
        <v>202402</v>
      </c>
      <c r="E49">
        <f t="shared" si="69"/>
        <v>1</v>
      </c>
      <c r="F49">
        <f t="shared" si="70"/>
        <v>202401</v>
      </c>
      <c r="G49" t="s">
        <v>182</v>
      </c>
      <c r="H49" s="2">
        <v>5.25</v>
      </c>
      <c r="I49" s="2">
        <v>5.1881000000000004</v>
      </c>
      <c r="J49" s="3">
        <v>5.1910660999999996</v>
      </c>
      <c r="K49" s="3">
        <v>5.1780061999999996</v>
      </c>
      <c r="L49" s="3">
        <v>5.1471799000000003</v>
      </c>
      <c r="M49" s="3">
        <v>5.0928807000000003</v>
      </c>
      <c r="N49" s="3">
        <v>5.0198612999999996</v>
      </c>
      <c r="O49" s="3">
        <v>4.9355760999999996</v>
      </c>
      <c r="P49" s="3">
        <v>4.8469300000000004</v>
      </c>
      <c r="Q49" s="3">
        <v>4.7585839999999999</v>
      </c>
      <c r="R49" s="3">
        <v>4.6740263999999998</v>
      </c>
      <c r="S49" s="3">
        <v>4.5950673999999996</v>
      </c>
      <c r="T49" s="3">
        <v>4.5224766000000001</v>
      </c>
      <c r="U49" s="3">
        <v>4.4559274000000002</v>
      </c>
      <c r="V49" s="3">
        <v>4.3936109999999999</v>
      </c>
      <c r="W49" s="3">
        <v>4.3348966999999998</v>
      </c>
      <c r="X49" s="3">
        <v>4.2796154</v>
      </c>
      <c r="Y49" s="3">
        <v>4.2275958999999999</v>
      </c>
      <c r="Z49" s="3">
        <v>4.1786672999999999</v>
      </c>
      <c r="AA49" s="3">
        <v>4.1326602000000001</v>
      </c>
      <c r="AB49" s="3">
        <v>4.0894066000000002</v>
      </c>
      <c r="AC49" s="3">
        <v>4.0487497000000001</v>
      </c>
      <c r="AD49" s="3">
        <v>4.0105367999999997</v>
      </c>
      <c r="AE49" s="3">
        <v>3.9746138000000002</v>
      </c>
      <c r="AF49" s="3">
        <v>3.9408267000000001</v>
      </c>
      <c r="AG49" s="3">
        <v>3.9090227999999998</v>
      </c>
      <c r="AH49" s="3">
        <v>3.8790575</v>
      </c>
      <c r="AI49" s="3">
        <v>3.8508292000000002</v>
      </c>
      <c r="AJ49" s="3">
        <v>3.8242490999999998</v>
      </c>
      <c r="AK49" s="3">
        <v>3.7992271999999998</v>
      </c>
      <c r="AL49" s="3">
        <v>3.7756734999999999</v>
      </c>
      <c r="AM49" s="3">
        <v>3.7534991999999998</v>
      </c>
      <c r="AN49" s="3">
        <v>3.7326144000000001</v>
      </c>
      <c r="AO49" s="3">
        <v>3.7129291000000002</v>
      </c>
      <c r="AP49" s="3">
        <v>3.6943543999999999</v>
      </c>
      <c r="AQ49" s="3">
        <v>3.6768003</v>
      </c>
      <c r="AR49" s="3">
        <v>3.6601770999999999</v>
      </c>
      <c r="AS49" s="3">
        <v>3.6443957</v>
      </c>
      <c r="AT49" s="3">
        <v>3.6293788999999999</v>
      </c>
      <c r="AU49" s="3">
        <v>3.6151059999999999</v>
      </c>
      <c r="AV49" s="3">
        <v>3.6015720999999998</v>
      </c>
      <c r="AW49" s="3">
        <v>3.5887718999999998</v>
      </c>
      <c r="AX49" s="3">
        <v>3.5767001999999999</v>
      </c>
      <c r="AY49" s="3">
        <v>3.5653519999999999</v>
      </c>
      <c r="AZ49" s="3">
        <v>3.5547221000000002</v>
      </c>
      <c r="BA49" s="3">
        <v>3.5448051999999999</v>
      </c>
      <c r="BB49" s="3">
        <v>3.5355965</v>
      </c>
      <c r="BC49" s="3">
        <v>3.5270904999999999</v>
      </c>
      <c r="BD49" s="3">
        <v>3.5192822000000001</v>
      </c>
      <c r="BE49" s="3">
        <v>3.5121666</v>
      </c>
      <c r="BF49" s="3">
        <v>3.5057377999999999</v>
      </c>
      <c r="BG49" s="3">
        <v>3.499987</v>
      </c>
      <c r="BH49" s="3">
        <v>3.4949045000000001</v>
      </c>
      <c r="BI49" s="3">
        <v>3.4904804</v>
      </c>
      <c r="BJ49" s="3">
        <v>3.4867048</v>
      </c>
      <c r="BK49" s="3">
        <v>3.4835680999999998</v>
      </c>
      <c r="BL49" s="3">
        <v>3.4810603000000002</v>
      </c>
      <c r="BM49" s="3">
        <v>3.4791717000000002</v>
      </c>
      <c r="BN49" s="3">
        <v>3.4778924</v>
      </c>
      <c r="BO49" s="3">
        <v>3.4772126999999999</v>
      </c>
      <c r="BP49" s="3">
        <v>3.4771226</v>
      </c>
      <c r="BQ49" s="3">
        <v>3.4776123000000001</v>
      </c>
      <c r="BR49" s="3">
        <v>3.4918338000000002</v>
      </c>
      <c r="BS49" s="3">
        <v>3.5223420000000001</v>
      </c>
    </row>
    <row r="50" spans="1:71" x14ac:dyDescent="0.35">
      <c r="A50" s="6">
        <f t="shared" si="71"/>
        <v>45349</v>
      </c>
      <c r="B50">
        <f t="shared" si="66"/>
        <v>2</v>
      </c>
      <c r="C50">
        <f t="shared" si="67"/>
        <v>2024</v>
      </c>
      <c r="D50">
        <f t="shared" si="68"/>
        <v>202402</v>
      </c>
      <c r="E50">
        <f t="shared" si="69"/>
        <v>1</v>
      </c>
      <c r="F50">
        <f t="shared" si="70"/>
        <v>202401</v>
      </c>
      <c r="G50" t="s">
        <v>183</v>
      </c>
      <c r="H50" s="2">
        <v>5.25</v>
      </c>
      <c r="I50" s="2">
        <v>5.1877000000000004</v>
      </c>
      <c r="J50" s="3">
        <v>5.189527</v>
      </c>
      <c r="K50" s="3">
        <v>5.1770050000000003</v>
      </c>
      <c r="L50" s="3">
        <v>5.1478282000000002</v>
      </c>
      <c r="M50" s="3">
        <v>5.0966386999999997</v>
      </c>
      <c r="N50" s="3">
        <v>5.0272147</v>
      </c>
      <c r="O50" s="3">
        <v>4.9471455999999998</v>
      </c>
      <c r="P50" s="3">
        <v>4.8634161000000002</v>
      </c>
      <c r="Q50" s="3">
        <v>4.7809406000000001</v>
      </c>
      <c r="R50" s="3">
        <v>4.7029245</v>
      </c>
      <c r="S50" s="3">
        <v>4.6307200000000002</v>
      </c>
      <c r="T50" s="3">
        <v>4.5646388</v>
      </c>
      <c r="U50" s="3">
        <v>4.5037868999999997</v>
      </c>
      <c r="V50" s="3">
        <v>4.4457196999999997</v>
      </c>
      <c r="W50" s="3">
        <v>4.3898200999999997</v>
      </c>
      <c r="X50" s="3">
        <v>4.3361156000000003</v>
      </c>
      <c r="Y50" s="3">
        <v>4.2846317000000003</v>
      </c>
      <c r="Z50" s="3">
        <v>4.2353942</v>
      </c>
      <c r="AA50" s="3">
        <v>4.1884304999999999</v>
      </c>
      <c r="AB50" s="3">
        <v>4.1437514999999996</v>
      </c>
      <c r="AC50" s="3">
        <v>4.1013114000000002</v>
      </c>
      <c r="AD50" s="3">
        <v>4.0610524999999997</v>
      </c>
      <c r="AE50" s="3">
        <v>4.0229157999999998</v>
      </c>
      <c r="AF50" s="3">
        <v>3.9868420000000002</v>
      </c>
      <c r="AG50" s="3">
        <v>3.9527733999999999</v>
      </c>
      <c r="AH50" s="3">
        <v>3.9206468999999999</v>
      </c>
      <c r="AI50" s="3">
        <v>3.8903821000000001</v>
      </c>
      <c r="AJ50" s="3">
        <v>3.8618947000000001</v>
      </c>
      <c r="AK50" s="3">
        <v>3.8350993999999998</v>
      </c>
      <c r="AL50" s="3">
        <v>3.8099109000000002</v>
      </c>
      <c r="AM50" s="3">
        <v>3.7862450999999999</v>
      </c>
      <c r="AN50" s="3">
        <v>3.7640164999999999</v>
      </c>
      <c r="AO50" s="3">
        <v>3.7431401000000002</v>
      </c>
      <c r="AP50" s="3">
        <v>3.7235314000000002</v>
      </c>
      <c r="AQ50" s="3">
        <v>3.7051050999999999</v>
      </c>
      <c r="AR50" s="3">
        <v>3.6877762999999999</v>
      </c>
      <c r="AS50" s="3">
        <v>3.6714601999999998</v>
      </c>
      <c r="AT50" s="3">
        <v>3.6560796999999998</v>
      </c>
      <c r="AU50" s="3">
        <v>3.6415994999999999</v>
      </c>
      <c r="AV50" s="3">
        <v>3.6279989000000001</v>
      </c>
      <c r="AW50" s="3">
        <v>3.6152568</v>
      </c>
      <c r="AX50" s="3">
        <v>3.6033520999999999</v>
      </c>
      <c r="AY50" s="3">
        <v>3.5922641999999998</v>
      </c>
      <c r="AZ50" s="3">
        <v>3.5819719999999999</v>
      </c>
      <c r="BA50" s="3">
        <v>3.5724543999999998</v>
      </c>
      <c r="BB50" s="3">
        <v>3.5636906000000002</v>
      </c>
      <c r="BC50" s="3">
        <v>3.5556597000000001</v>
      </c>
      <c r="BD50" s="3">
        <v>3.5483405000000001</v>
      </c>
      <c r="BE50" s="3">
        <v>3.5417122999999999</v>
      </c>
      <c r="BF50" s="3">
        <v>3.535755</v>
      </c>
      <c r="BG50" s="3">
        <v>3.5304524000000002</v>
      </c>
      <c r="BH50" s="3">
        <v>3.5257900000000002</v>
      </c>
      <c r="BI50" s="3">
        <v>3.5217531000000002</v>
      </c>
      <c r="BJ50" s="3">
        <v>3.5183268999999999</v>
      </c>
      <c r="BK50" s="3">
        <v>3.5154968000000002</v>
      </c>
      <c r="BL50" s="3">
        <v>3.5132481000000002</v>
      </c>
      <c r="BM50" s="3">
        <v>3.5115661</v>
      </c>
      <c r="BN50" s="3">
        <v>3.5104362</v>
      </c>
      <c r="BO50" s="3">
        <v>3.5098435000000001</v>
      </c>
      <c r="BP50" s="3">
        <v>3.5097733999999998</v>
      </c>
      <c r="BQ50" s="3">
        <v>3.5102112999999999</v>
      </c>
      <c r="BR50" s="3">
        <v>3.5226476</v>
      </c>
      <c r="BS50" s="3">
        <v>3.5494533000000001</v>
      </c>
    </row>
    <row r="51" spans="1:71" x14ac:dyDescent="0.35">
      <c r="A51" s="6">
        <f t="shared" si="71"/>
        <v>45350</v>
      </c>
      <c r="B51">
        <f t="shared" si="66"/>
        <v>2</v>
      </c>
      <c r="C51">
        <f t="shared" si="67"/>
        <v>2024</v>
      </c>
      <c r="D51">
        <f t="shared" si="68"/>
        <v>202402</v>
      </c>
      <c r="E51">
        <f t="shared" si="69"/>
        <v>1</v>
      </c>
      <c r="F51">
        <f t="shared" si="70"/>
        <v>202401</v>
      </c>
      <c r="G51" t="s">
        <v>184</v>
      </c>
      <c r="H51" s="2">
        <v>5.25</v>
      </c>
      <c r="I51" s="2">
        <v>5.1882000000000001</v>
      </c>
      <c r="J51" s="3">
        <v>5.1898312999999998</v>
      </c>
      <c r="K51" s="3">
        <v>5.1719606999999996</v>
      </c>
      <c r="L51" s="3">
        <v>5.1399046000000004</v>
      </c>
      <c r="M51" s="3">
        <v>5.0877128000000003</v>
      </c>
      <c r="N51" s="3">
        <v>5.0183267000000003</v>
      </c>
      <c r="O51" s="3">
        <v>4.9387217999999997</v>
      </c>
      <c r="P51" s="3">
        <v>4.8558754000000004</v>
      </c>
      <c r="Q51" s="3">
        <v>4.7747156999999998</v>
      </c>
      <c r="R51" s="3">
        <v>4.6984639000000001</v>
      </c>
      <c r="S51" s="3">
        <v>4.6284853999999997</v>
      </c>
      <c r="T51" s="3">
        <v>4.5646721000000001</v>
      </c>
      <c r="U51" s="3">
        <v>4.5059494000000004</v>
      </c>
      <c r="V51" s="3">
        <v>4.4493314000000002</v>
      </c>
      <c r="W51" s="3">
        <v>4.3940818999999998</v>
      </c>
      <c r="X51" s="3">
        <v>4.3402716999999997</v>
      </c>
      <c r="Y51" s="3">
        <v>4.2879696000000003</v>
      </c>
      <c r="Z51" s="3">
        <v>4.2372443999999998</v>
      </c>
      <c r="AA51" s="3">
        <v>4.1881668000000003</v>
      </c>
      <c r="AB51" s="3">
        <v>4.1408133999999999</v>
      </c>
      <c r="AC51" s="3">
        <v>4.0952913999999998</v>
      </c>
      <c r="AD51" s="3">
        <v>4.0517165999999998</v>
      </c>
      <c r="AE51" s="3">
        <v>4.0102029999999997</v>
      </c>
      <c r="AF51" s="3">
        <v>3.9708649999999999</v>
      </c>
      <c r="AG51" s="3">
        <v>3.9338182000000002</v>
      </c>
      <c r="AH51" s="3">
        <v>3.8991484999999999</v>
      </c>
      <c r="AI51" s="3">
        <v>3.8667886</v>
      </c>
      <c r="AJ51" s="3">
        <v>3.8366213999999998</v>
      </c>
      <c r="AK51" s="3">
        <v>3.8085284000000001</v>
      </c>
      <c r="AL51" s="3">
        <v>3.7823910999999999</v>
      </c>
      <c r="AM51" s="3">
        <v>3.758092</v>
      </c>
      <c r="AN51" s="3">
        <v>3.7355128</v>
      </c>
      <c r="AO51" s="3">
        <v>3.7145350000000001</v>
      </c>
      <c r="AP51" s="3">
        <v>3.6950411999999999</v>
      </c>
      <c r="AQ51" s="3">
        <v>3.6769129</v>
      </c>
      <c r="AR51" s="3">
        <v>3.6600318000000001</v>
      </c>
      <c r="AS51" s="3">
        <v>3.6442803000000001</v>
      </c>
      <c r="AT51" s="3">
        <v>3.6295514999999998</v>
      </c>
      <c r="AU51" s="3">
        <v>3.6157940000000002</v>
      </c>
      <c r="AV51" s="3">
        <v>3.6029738</v>
      </c>
      <c r="AW51" s="3">
        <v>3.5910567000000002</v>
      </c>
      <c r="AX51" s="3">
        <v>3.5800082</v>
      </c>
      <c r="AY51" s="3">
        <v>3.5697942999999999</v>
      </c>
      <c r="AZ51" s="3">
        <v>3.5603807000000001</v>
      </c>
      <c r="BA51" s="3">
        <v>3.551733</v>
      </c>
      <c r="BB51" s="3">
        <v>3.5438171000000001</v>
      </c>
      <c r="BC51" s="3">
        <v>3.5365986999999999</v>
      </c>
      <c r="BD51" s="3">
        <v>3.5300435000000001</v>
      </c>
      <c r="BE51" s="3">
        <v>3.5241174000000002</v>
      </c>
      <c r="BF51" s="3">
        <v>3.5187889999999999</v>
      </c>
      <c r="BG51" s="3">
        <v>3.5140414</v>
      </c>
      <c r="BH51" s="3">
        <v>3.5098622000000002</v>
      </c>
      <c r="BI51" s="3">
        <v>3.5062388000000002</v>
      </c>
      <c r="BJ51" s="3">
        <v>3.5031588</v>
      </c>
      <c r="BK51" s="3">
        <v>3.5006096000000002</v>
      </c>
      <c r="BL51" s="3">
        <v>3.4985788000000002</v>
      </c>
      <c r="BM51" s="3">
        <v>3.4970538000000002</v>
      </c>
      <c r="BN51" s="3">
        <v>3.4960222000000001</v>
      </c>
      <c r="BO51" s="3">
        <v>3.4954714999999998</v>
      </c>
      <c r="BP51" s="3">
        <v>3.4953891000000001</v>
      </c>
      <c r="BQ51" s="3">
        <v>3.4957625999999999</v>
      </c>
      <c r="BR51" s="3">
        <v>3.5068241000000002</v>
      </c>
      <c r="BS51" s="3">
        <v>3.5308212999999999</v>
      </c>
    </row>
    <row r="52" spans="1:71" x14ac:dyDescent="0.35">
      <c r="A52" s="6">
        <f t="shared" si="71"/>
        <v>45351</v>
      </c>
      <c r="B52">
        <f t="shared" si="66"/>
        <v>2</v>
      </c>
      <c r="C52">
        <f t="shared" si="67"/>
        <v>2024</v>
      </c>
      <c r="D52">
        <f t="shared" si="68"/>
        <v>202402</v>
      </c>
      <c r="E52">
        <f t="shared" si="69"/>
        <v>1</v>
      </c>
      <c r="F52">
        <f t="shared" si="70"/>
        <v>202401</v>
      </c>
      <c r="G52" t="s">
        <v>185</v>
      </c>
      <c r="H52" s="2">
        <v>5.25</v>
      </c>
      <c r="I52" s="2">
        <v>5.1885000000000003</v>
      </c>
      <c r="J52" s="3">
        <v>5.1883420999999998</v>
      </c>
      <c r="K52" s="3">
        <v>5.1727388999999997</v>
      </c>
      <c r="L52" s="3">
        <v>5.1406713999999996</v>
      </c>
      <c r="M52" s="3">
        <v>5.0871211000000001</v>
      </c>
      <c r="N52" s="3">
        <v>5.0154617999999997</v>
      </c>
      <c r="O52" s="3">
        <v>4.9327486</v>
      </c>
      <c r="P52" s="3">
        <v>4.8446676000000002</v>
      </c>
      <c r="Q52" s="3">
        <v>4.7549672000000003</v>
      </c>
      <c r="R52" s="3">
        <v>4.6667921000000003</v>
      </c>
      <c r="S52" s="3">
        <v>4.5829161999999997</v>
      </c>
      <c r="T52" s="3">
        <v>4.5051163000000001</v>
      </c>
      <c r="U52" s="3">
        <v>4.4344144999999999</v>
      </c>
      <c r="V52" s="3">
        <v>4.3711498999999998</v>
      </c>
      <c r="W52" s="3">
        <v>4.3144840999999996</v>
      </c>
      <c r="X52" s="3">
        <v>4.2633102999999997</v>
      </c>
      <c r="Y52" s="3">
        <v>4.2165194000000001</v>
      </c>
      <c r="Z52" s="3">
        <v>4.1730026999999996</v>
      </c>
      <c r="AA52" s="3">
        <v>4.1316528000000003</v>
      </c>
      <c r="AB52" s="3">
        <v>4.0915137000000001</v>
      </c>
      <c r="AC52" s="3">
        <v>4.0524120999999997</v>
      </c>
      <c r="AD52" s="3">
        <v>4.0144257999999997</v>
      </c>
      <c r="AE52" s="3">
        <v>3.9776315000000002</v>
      </c>
      <c r="AF52" s="3">
        <v>3.9421059000000001</v>
      </c>
      <c r="AG52" s="3">
        <v>3.9079271000000002</v>
      </c>
      <c r="AH52" s="3">
        <v>3.8751593999999998</v>
      </c>
      <c r="AI52" s="3">
        <v>3.8438072000000001</v>
      </c>
      <c r="AJ52" s="3">
        <v>3.8138578000000001</v>
      </c>
      <c r="AK52" s="3">
        <v>3.7852974000000001</v>
      </c>
      <c r="AL52" s="3">
        <v>3.7581121999999998</v>
      </c>
      <c r="AM52" s="3">
        <v>3.7322894</v>
      </c>
      <c r="AN52" s="3">
        <v>3.7078150999999999</v>
      </c>
      <c r="AO52" s="3">
        <v>3.6846755999999998</v>
      </c>
      <c r="AP52" s="3">
        <v>3.6628579999999999</v>
      </c>
      <c r="AQ52" s="3">
        <v>3.6423485000000002</v>
      </c>
      <c r="AR52" s="3">
        <v>3.6231334999999998</v>
      </c>
      <c r="AS52" s="3">
        <v>3.6051999000000001</v>
      </c>
      <c r="AT52" s="3">
        <v>3.5885277000000002</v>
      </c>
      <c r="AU52" s="3">
        <v>3.5730691999999999</v>
      </c>
      <c r="AV52" s="3">
        <v>3.5587697</v>
      </c>
      <c r="AW52" s="3">
        <v>3.5455738000000001</v>
      </c>
      <c r="AX52" s="3">
        <v>3.533426</v>
      </c>
      <c r="AY52" s="3">
        <v>3.5222717000000001</v>
      </c>
      <c r="AZ52" s="3">
        <v>3.5120553000000001</v>
      </c>
      <c r="BA52" s="3">
        <v>3.5027216999999999</v>
      </c>
      <c r="BB52" s="3">
        <v>3.4942158999999999</v>
      </c>
      <c r="BC52" s="3">
        <v>3.4864826</v>
      </c>
      <c r="BD52" s="3">
        <v>3.4794665</v>
      </c>
      <c r="BE52" s="3">
        <v>3.4731127000000002</v>
      </c>
      <c r="BF52" s="3">
        <v>3.4673718</v>
      </c>
      <c r="BG52" s="3">
        <v>3.4622210999999998</v>
      </c>
      <c r="BH52" s="3">
        <v>3.4576456000000002</v>
      </c>
      <c r="BI52" s="3">
        <v>3.4536297</v>
      </c>
      <c r="BJ52" s="3">
        <v>3.4501580000000001</v>
      </c>
      <c r="BK52" s="3">
        <v>3.4472155</v>
      </c>
      <c r="BL52" s="3">
        <v>3.4447865000000002</v>
      </c>
      <c r="BM52" s="3">
        <v>3.4428559000000001</v>
      </c>
      <c r="BN52" s="3">
        <v>3.4414083</v>
      </c>
      <c r="BO52" s="3">
        <v>3.4404283000000002</v>
      </c>
      <c r="BP52" s="3">
        <v>3.4399006999999999</v>
      </c>
      <c r="BQ52" s="3">
        <v>3.4398100999999999</v>
      </c>
      <c r="BR52" s="3">
        <v>3.4477145999999999</v>
      </c>
      <c r="BS52" s="3">
        <v>3.4682754999999998</v>
      </c>
    </row>
    <row r="53" spans="1:71" x14ac:dyDescent="0.35">
      <c r="A53" s="6">
        <f t="shared" si="71"/>
        <v>45352</v>
      </c>
      <c r="B53">
        <f t="shared" si="66"/>
        <v>3</v>
      </c>
      <c r="C53">
        <f t="shared" si="67"/>
        <v>2024</v>
      </c>
      <c r="D53">
        <f t="shared" si="68"/>
        <v>202403</v>
      </c>
      <c r="E53">
        <f t="shared" si="69"/>
        <v>1</v>
      </c>
      <c r="F53">
        <f t="shared" si="70"/>
        <v>202401</v>
      </c>
      <c r="G53" t="s">
        <v>186</v>
      </c>
      <c r="H53" s="2">
        <v>5.25</v>
      </c>
      <c r="I53" s="2">
        <v>5.1886999999999999</v>
      </c>
      <c r="J53" s="3">
        <v>5.1883822000000004</v>
      </c>
      <c r="K53" s="3">
        <v>5.1748481999999996</v>
      </c>
      <c r="L53" s="3">
        <v>5.1415443999999999</v>
      </c>
      <c r="M53" s="3">
        <v>5.0838066</v>
      </c>
      <c r="N53" s="3">
        <v>5.0061515999999999</v>
      </c>
      <c r="O53" s="3">
        <v>4.9173276000000001</v>
      </c>
      <c r="P53" s="3">
        <v>4.8250134999999998</v>
      </c>
      <c r="Q53" s="3">
        <v>4.7341353000000002</v>
      </c>
      <c r="R53" s="3">
        <v>4.6478742000000004</v>
      </c>
      <c r="S53" s="3">
        <v>4.5679692999999997</v>
      </c>
      <c r="T53" s="3">
        <v>4.4946254999999997</v>
      </c>
      <c r="U53" s="3">
        <v>4.4272610999999999</v>
      </c>
      <c r="V53" s="3">
        <v>4.3643875000000003</v>
      </c>
      <c r="W53" s="3">
        <v>4.3052780999999998</v>
      </c>
      <c r="X53" s="3">
        <v>4.2495647999999999</v>
      </c>
      <c r="Y53" s="3">
        <v>4.1968775000000003</v>
      </c>
      <c r="Z53" s="3">
        <v>4.146846</v>
      </c>
      <c r="AA53" s="3">
        <v>4.0991021999999999</v>
      </c>
      <c r="AB53" s="3">
        <v>4.0533387000000003</v>
      </c>
      <c r="AC53" s="3">
        <v>4.0095393000000001</v>
      </c>
      <c r="AD53" s="3">
        <v>3.9677737</v>
      </c>
      <c r="AE53" s="3">
        <v>3.9281098999999999</v>
      </c>
      <c r="AF53" s="3">
        <v>3.8906160999999999</v>
      </c>
      <c r="AG53" s="3">
        <v>3.855362</v>
      </c>
      <c r="AH53" s="3">
        <v>3.8223878</v>
      </c>
      <c r="AI53" s="3">
        <v>3.7916116999999998</v>
      </c>
      <c r="AJ53" s="3">
        <v>3.7629191</v>
      </c>
      <c r="AK53" s="3">
        <v>3.7361943000000002</v>
      </c>
      <c r="AL53" s="3">
        <v>3.7113216000000002</v>
      </c>
      <c r="AM53" s="3">
        <v>3.6881862999999999</v>
      </c>
      <c r="AN53" s="3">
        <v>3.6666726999999999</v>
      </c>
      <c r="AO53" s="3">
        <v>3.6466653</v>
      </c>
      <c r="AP53" s="3">
        <v>3.6280492</v>
      </c>
      <c r="AQ53" s="3">
        <v>3.6107089000000001</v>
      </c>
      <c r="AR53" s="3">
        <v>3.5945288</v>
      </c>
      <c r="AS53" s="3">
        <v>3.5793938999999999</v>
      </c>
      <c r="AT53" s="3">
        <v>3.5652018999999999</v>
      </c>
      <c r="AU53" s="3">
        <v>3.5519034</v>
      </c>
      <c r="AV53" s="3">
        <v>3.5394624000000001</v>
      </c>
      <c r="AW53" s="3">
        <v>3.5278426000000001</v>
      </c>
      <c r="AX53" s="3">
        <v>3.5170078</v>
      </c>
      <c r="AY53" s="3">
        <v>3.5069219999999999</v>
      </c>
      <c r="AZ53" s="3">
        <v>3.4975489999999998</v>
      </c>
      <c r="BA53" s="3">
        <v>3.4888525000000001</v>
      </c>
      <c r="BB53" s="3">
        <v>3.4807966000000001</v>
      </c>
      <c r="BC53" s="3">
        <v>3.4733448999999998</v>
      </c>
      <c r="BD53" s="3">
        <v>3.4664611999999999</v>
      </c>
      <c r="BE53" s="3">
        <v>3.4601096</v>
      </c>
      <c r="BF53" s="3">
        <v>3.4542584999999999</v>
      </c>
      <c r="BG53" s="3">
        <v>3.4488970000000001</v>
      </c>
      <c r="BH53" s="3">
        <v>3.4440202000000002</v>
      </c>
      <c r="BI53" s="3">
        <v>3.4396228</v>
      </c>
      <c r="BJ53" s="3">
        <v>3.4356996999999998</v>
      </c>
      <c r="BK53" s="3">
        <v>3.4322458999999998</v>
      </c>
      <c r="BL53" s="3">
        <v>3.4292563999999999</v>
      </c>
      <c r="BM53" s="3">
        <v>3.4267257999999998</v>
      </c>
      <c r="BN53" s="3">
        <v>3.4246493</v>
      </c>
      <c r="BO53" s="3">
        <v>3.4230216000000002</v>
      </c>
      <c r="BP53" s="3">
        <v>3.4218377000000002</v>
      </c>
      <c r="BQ53" s="3">
        <v>3.4210924</v>
      </c>
      <c r="BR53" s="3">
        <v>3.425376</v>
      </c>
      <c r="BS53" s="3">
        <v>3.4431278000000001</v>
      </c>
    </row>
    <row r="54" spans="1:71" x14ac:dyDescent="0.35">
      <c r="A54" s="6">
        <f t="shared" si="71"/>
        <v>45355</v>
      </c>
      <c r="B54">
        <f t="shared" si="66"/>
        <v>3</v>
      </c>
      <c r="C54">
        <f t="shared" si="67"/>
        <v>2024</v>
      </c>
      <c r="D54">
        <f t="shared" si="68"/>
        <v>202403</v>
      </c>
      <c r="E54">
        <f t="shared" si="69"/>
        <v>1</v>
      </c>
      <c r="F54">
        <f t="shared" si="70"/>
        <v>202401</v>
      </c>
      <c r="G54" t="s">
        <v>187</v>
      </c>
      <c r="H54" s="2">
        <v>5.25</v>
      </c>
      <c r="I54" s="2">
        <v>5.1883999999999997</v>
      </c>
      <c r="J54" s="3">
        <v>5.1931303</v>
      </c>
      <c r="K54" s="3">
        <v>5.1779549999999999</v>
      </c>
      <c r="L54" s="3">
        <v>5.1468654000000003</v>
      </c>
      <c r="M54" s="3">
        <v>5.0954338999999997</v>
      </c>
      <c r="N54" s="3">
        <v>5.0269617999999996</v>
      </c>
      <c r="O54" s="3">
        <v>4.9480268000000001</v>
      </c>
      <c r="P54" s="3">
        <v>4.8647337000000004</v>
      </c>
      <c r="Q54" s="3">
        <v>4.7816071000000004</v>
      </c>
      <c r="R54" s="3">
        <v>4.7020694000000001</v>
      </c>
      <c r="S54" s="3">
        <v>4.6280478</v>
      </c>
      <c r="T54" s="3">
        <v>4.5600389999999997</v>
      </c>
      <c r="U54" s="3">
        <v>4.4975999</v>
      </c>
      <c r="V54" s="3">
        <v>4.4394087000000004</v>
      </c>
      <c r="W54" s="3">
        <v>4.3846781999999997</v>
      </c>
      <c r="X54" s="3">
        <v>4.3328293000000002</v>
      </c>
      <c r="Y54" s="3">
        <v>4.2832812000000002</v>
      </c>
      <c r="Z54" s="3">
        <v>4.2354529999999997</v>
      </c>
      <c r="AA54" s="3">
        <v>4.1887656</v>
      </c>
      <c r="AB54" s="3">
        <v>4.1427623999999996</v>
      </c>
      <c r="AC54" s="3">
        <v>4.0975627000000001</v>
      </c>
      <c r="AD54" s="3">
        <v>4.0534545</v>
      </c>
      <c r="AE54" s="3">
        <v>4.0107241</v>
      </c>
      <c r="AF54" s="3">
        <v>3.9696577</v>
      </c>
      <c r="AG54" s="3">
        <v>3.9305433999999999</v>
      </c>
      <c r="AH54" s="3">
        <v>3.8936044000000001</v>
      </c>
      <c r="AI54" s="3">
        <v>3.8588127000000001</v>
      </c>
      <c r="AJ54" s="3">
        <v>3.8260787000000001</v>
      </c>
      <c r="AK54" s="3">
        <v>3.7953112</v>
      </c>
      <c r="AL54" s="3">
        <v>3.7664195</v>
      </c>
      <c r="AM54" s="3">
        <v>3.7393136999999999</v>
      </c>
      <c r="AN54" s="3">
        <v>3.7139028000000001</v>
      </c>
      <c r="AO54" s="3">
        <v>3.690096</v>
      </c>
      <c r="AP54" s="3">
        <v>3.6678033999999999</v>
      </c>
      <c r="AQ54" s="3">
        <v>3.6469339999999999</v>
      </c>
      <c r="AR54" s="3">
        <v>3.6273971</v>
      </c>
      <c r="AS54" s="3">
        <v>3.6091027000000002</v>
      </c>
      <c r="AT54" s="3">
        <v>3.5919677000000001</v>
      </c>
      <c r="AU54" s="3">
        <v>3.5759409999999998</v>
      </c>
      <c r="AV54" s="3">
        <v>3.5609799999999998</v>
      </c>
      <c r="AW54" s="3">
        <v>3.5470411999999998</v>
      </c>
      <c r="AX54" s="3">
        <v>3.5340813999999998</v>
      </c>
      <c r="AY54" s="3">
        <v>3.5220577999999998</v>
      </c>
      <c r="AZ54" s="3">
        <v>3.5109271</v>
      </c>
      <c r="BA54" s="3">
        <v>3.5006461999999998</v>
      </c>
      <c r="BB54" s="3">
        <v>3.4911721</v>
      </c>
      <c r="BC54" s="3">
        <v>3.4824617</v>
      </c>
      <c r="BD54" s="3">
        <v>3.4744716000000002</v>
      </c>
      <c r="BE54" s="3">
        <v>3.4671590000000001</v>
      </c>
      <c r="BF54" s="3">
        <v>3.4604849</v>
      </c>
      <c r="BG54" s="3">
        <v>3.4544326000000001</v>
      </c>
      <c r="BH54" s="3">
        <v>3.4489934</v>
      </c>
      <c r="BI54" s="3">
        <v>3.4441581999999999</v>
      </c>
      <c r="BJ54" s="3">
        <v>3.4399179000000002</v>
      </c>
      <c r="BK54" s="3">
        <v>3.4362636000000002</v>
      </c>
      <c r="BL54" s="3">
        <v>3.4331863999999999</v>
      </c>
      <c r="BM54" s="3">
        <v>3.4306773000000002</v>
      </c>
      <c r="BN54" s="3">
        <v>3.4287272999999998</v>
      </c>
      <c r="BO54" s="3">
        <v>3.4273273</v>
      </c>
      <c r="BP54" s="3">
        <v>3.4264684999999999</v>
      </c>
      <c r="BQ54" s="3">
        <v>3.4261419000000002</v>
      </c>
      <c r="BR54" s="3">
        <v>3.4344625</v>
      </c>
      <c r="BS54" s="3">
        <v>3.4572742000000001</v>
      </c>
    </row>
    <row r="55" spans="1:71" x14ac:dyDescent="0.35">
      <c r="A55" s="6">
        <f t="shared" si="71"/>
        <v>45356</v>
      </c>
      <c r="B55">
        <f t="shared" si="66"/>
        <v>3</v>
      </c>
      <c r="C55">
        <f t="shared" si="67"/>
        <v>2024</v>
      </c>
      <c r="D55">
        <f t="shared" si="68"/>
        <v>202403</v>
      </c>
      <c r="E55">
        <f t="shared" si="69"/>
        <v>1</v>
      </c>
      <c r="F55">
        <f t="shared" si="70"/>
        <v>202401</v>
      </c>
      <c r="G55" t="s">
        <v>188</v>
      </c>
      <c r="H55" s="2">
        <v>5.25</v>
      </c>
      <c r="I55" s="2">
        <v>5.1886999999999999</v>
      </c>
      <c r="J55" s="3">
        <v>5.1928565999999998</v>
      </c>
      <c r="K55" s="3">
        <v>5.1755749</v>
      </c>
      <c r="L55" s="3">
        <v>5.1406485000000002</v>
      </c>
      <c r="M55" s="3">
        <v>5.0827882999999998</v>
      </c>
      <c r="N55" s="3">
        <v>5.0062486000000002</v>
      </c>
      <c r="O55" s="3">
        <v>4.9188235999999996</v>
      </c>
      <c r="P55" s="3">
        <v>4.827267</v>
      </c>
      <c r="Q55" s="3">
        <v>4.7363333000000001</v>
      </c>
      <c r="R55" s="3">
        <v>4.6496352999999999</v>
      </c>
      <c r="S55" s="3">
        <v>4.5693087999999999</v>
      </c>
      <c r="T55" s="3">
        <v>4.4958640000000001</v>
      </c>
      <c r="U55" s="3">
        <v>4.4289854999999996</v>
      </c>
      <c r="V55" s="3">
        <v>4.3670184000000001</v>
      </c>
      <c r="W55" s="3">
        <v>4.3090672000000003</v>
      </c>
      <c r="X55" s="3">
        <v>4.2545567000000002</v>
      </c>
      <c r="Y55" s="3">
        <v>4.2029091999999997</v>
      </c>
      <c r="Z55" s="3">
        <v>4.1535475000000002</v>
      </c>
      <c r="AA55" s="3">
        <v>4.1058960000000004</v>
      </c>
      <c r="AB55" s="3">
        <v>4.0594761000000004</v>
      </c>
      <c r="AC55" s="3">
        <v>4.0142676000000002</v>
      </c>
      <c r="AD55" s="3">
        <v>3.9703849</v>
      </c>
      <c r="AE55" s="3">
        <v>3.9279405000000001</v>
      </c>
      <c r="AF55" s="3">
        <v>3.8870472999999999</v>
      </c>
      <c r="AG55" s="3">
        <v>3.8478194000000001</v>
      </c>
      <c r="AH55" s="3">
        <v>3.8103440000000002</v>
      </c>
      <c r="AI55" s="3">
        <v>3.7746065</v>
      </c>
      <c r="AJ55" s="3">
        <v>3.7405681999999998</v>
      </c>
      <c r="AK55" s="3">
        <v>3.708189</v>
      </c>
      <c r="AL55" s="3">
        <v>3.6774288999999998</v>
      </c>
      <c r="AM55" s="3">
        <v>3.6482489</v>
      </c>
      <c r="AN55" s="3">
        <v>3.6206090999999998</v>
      </c>
      <c r="AO55" s="3">
        <v>3.5944696</v>
      </c>
      <c r="AP55" s="3">
        <v>3.5697912000000001</v>
      </c>
      <c r="AQ55" s="3">
        <v>3.5465339999999999</v>
      </c>
      <c r="AR55" s="3">
        <v>3.5246582000000002</v>
      </c>
      <c r="AS55" s="3">
        <v>3.5041245000000001</v>
      </c>
      <c r="AT55" s="3">
        <v>3.4848924999999999</v>
      </c>
      <c r="AU55" s="3">
        <v>3.4669186000000001</v>
      </c>
      <c r="AV55" s="3">
        <v>3.4501593000000002</v>
      </c>
      <c r="AW55" s="3">
        <v>3.4345702999999999</v>
      </c>
      <c r="AX55" s="3">
        <v>3.4201076000000001</v>
      </c>
      <c r="AY55" s="3">
        <v>3.4067276</v>
      </c>
      <c r="AZ55" s="3">
        <v>3.3943859999999999</v>
      </c>
      <c r="BA55" s="3">
        <v>3.3830388</v>
      </c>
      <c r="BB55" s="3">
        <v>3.3726422</v>
      </c>
      <c r="BC55" s="3">
        <v>3.3631522</v>
      </c>
      <c r="BD55" s="3">
        <v>3.3545246999999998</v>
      </c>
      <c r="BE55" s="3">
        <v>3.3467159</v>
      </c>
      <c r="BF55" s="3">
        <v>3.3396846</v>
      </c>
      <c r="BG55" s="3">
        <v>3.3334031</v>
      </c>
      <c r="BH55" s="3">
        <v>3.3278482999999999</v>
      </c>
      <c r="BI55" s="3">
        <v>3.3229967</v>
      </c>
      <c r="BJ55" s="3">
        <v>3.3188247999999998</v>
      </c>
      <c r="BK55" s="3">
        <v>3.3153096</v>
      </c>
      <c r="BL55" s="3">
        <v>3.3124275000000001</v>
      </c>
      <c r="BM55" s="3">
        <v>3.3101552000000001</v>
      </c>
      <c r="BN55" s="3">
        <v>3.3084693000000001</v>
      </c>
      <c r="BO55" s="3">
        <v>3.3073465</v>
      </c>
      <c r="BP55" s="3">
        <v>3.3067633999999999</v>
      </c>
      <c r="BQ55" s="3">
        <v>3.3066966999999998</v>
      </c>
      <c r="BR55" s="3">
        <v>3.3160240999999999</v>
      </c>
      <c r="BS55" s="3">
        <v>3.3392197000000001</v>
      </c>
    </row>
    <row r="56" spans="1:71" x14ac:dyDescent="0.35">
      <c r="A56" s="6">
        <f t="shared" si="71"/>
        <v>45357</v>
      </c>
      <c r="B56">
        <f t="shared" si="66"/>
        <v>3</v>
      </c>
      <c r="C56">
        <f t="shared" si="67"/>
        <v>2024</v>
      </c>
      <c r="D56">
        <f t="shared" si="68"/>
        <v>202403</v>
      </c>
      <c r="E56">
        <f t="shared" si="69"/>
        <v>1</v>
      </c>
      <c r="F56">
        <f t="shared" si="70"/>
        <v>202401</v>
      </c>
      <c r="G56" t="s">
        <v>189</v>
      </c>
      <c r="H56" s="2">
        <v>5.25</v>
      </c>
      <c r="I56" s="2">
        <v>5.1882999999999999</v>
      </c>
      <c r="J56" s="3">
        <v>5.1839807000000002</v>
      </c>
      <c r="K56" s="3">
        <v>5.1666724999999998</v>
      </c>
      <c r="L56" s="3">
        <v>5.1299406999999997</v>
      </c>
      <c r="M56" s="3">
        <v>5.0720236999999999</v>
      </c>
      <c r="N56" s="3">
        <v>4.9977027999999999</v>
      </c>
      <c r="O56" s="3">
        <v>4.9138795000000002</v>
      </c>
      <c r="P56" s="3">
        <v>4.8259531000000004</v>
      </c>
      <c r="Q56" s="3">
        <v>4.7379144999999996</v>
      </c>
      <c r="R56" s="3">
        <v>4.6530306000000001</v>
      </c>
      <c r="S56" s="3">
        <v>4.5732559000000004</v>
      </c>
      <c r="T56" s="3">
        <v>4.4990937000000004</v>
      </c>
      <c r="U56" s="3">
        <v>4.4302308000000004</v>
      </c>
      <c r="V56" s="3">
        <v>4.3656046000000002</v>
      </c>
      <c r="W56" s="3">
        <v>4.3045400999999996</v>
      </c>
      <c r="X56" s="3">
        <v>4.2465259</v>
      </c>
      <c r="Y56" s="3">
        <v>4.1910482</v>
      </c>
      <c r="Z56" s="3">
        <v>4.1375934000000001</v>
      </c>
      <c r="AA56" s="3">
        <v>4.0856496</v>
      </c>
      <c r="AB56" s="3">
        <v>4.0347900000000001</v>
      </c>
      <c r="AC56" s="3">
        <v>3.9850791000000001</v>
      </c>
      <c r="AD56" s="3">
        <v>3.9367559999999999</v>
      </c>
      <c r="AE56" s="3">
        <v>3.8900579</v>
      </c>
      <c r="AF56" s="3">
        <v>3.8452225000000002</v>
      </c>
      <c r="AG56" s="3">
        <v>3.8024889000000002</v>
      </c>
      <c r="AH56" s="3">
        <v>3.7620434</v>
      </c>
      <c r="AI56" s="3">
        <v>3.7238682000000001</v>
      </c>
      <c r="AJ56" s="3">
        <v>3.6878956999999999</v>
      </c>
      <c r="AK56" s="3">
        <v>3.6540569000000001</v>
      </c>
      <c r="AL56" s="3">
        <v>3.6222829999999999</v>
      </c>
      <c r="AM56" s="3">
        <v>3.5925063000000002</v>
      </c>
      <c r="AN56" s="3">
        <v>3.5646577000000002</v>
      </c>
      <c r="AO56" s="3">
        <v>3.5386687000000001</v>
      </c>
      <c r="AP56" s="3">
        <v>3.5144712</v>
      </c>
      <c r="AQ56" s="3">
        <v>3.4919964000000001</v>
      </c>
      <c r="AR56" s="3">
        <v>3.4711756</v>
      </c>
      <c r="AS56" s="3">
        <v>3.4519408999999999</v>
      </c>
      <c r="AT56" s="3">
        <v>3.4342226999999999</v>
      </c>
      <c r="AU56" s="3">
        <v>3.4179487000000002</v>
      </c>
      <c r="AV56" s="3">
        <v>3.4030461999999999</v>
      </c>
      <c r="AW56" s="3">
        <v>3.3894416000000001</v>
      </c>
      <c r="AX56" s="3">
        <v>3.3770617999999999</v>
      </c>
      <c r="AY56" s="3">
        <v>3.3658337999999999</v>
      </c>
      <c r="AZ56" s="3">
        <v>3.3556841999999998</v>
      </c>
      <c r="BA56" s="3">
        <v>3.3465398999999998</v>
      </c>
      <c r="BB56" s="3">
        <v>3.3383278999999999</v>
      </c>
      <c r="BC56" s="3">
        <v>3.3309747999999999</v>
      </c>
      <c r="BD56" s="3">
        <v>3.3244074000000001</v>
      </c>
      <c r="BE56" s="3">
        <v>3.3185527000000001</v>
      </c>
      <c r="BF56" s="3">
        <v>3.3133454000000002</v>
      </c>
      <c r="BG56" s="3">
        <v>3.3087550999999999</v>
      </c>
      <c r="BH56" s="3">
        <v>3.3047613999999998</v>
      </c>
      <c r="BI56" s="3">
        <v>3.3013435000000002</v>
      </c>
      <c r="BJ56" s="3">
        <v>3.2984808000000001</v>
      </c>
      <c r="BK56" s="3">
        <v>3.2961528000000002</v>
      </c>
      <c r="BL56" s="3">
        <v>3.2943387999999998</v>
      </c>
      <c r="BM56" s="3">
        <v>3.2930182000000001</v>
      </c>
      <c r="BN56" s="3">
        <v>3.2921703999999998</v>
      </c>
      <c r="BO56" s="3">
        <v>3.2917747999999998</v>
      </c>
      <c r="BP56" s="3">
        <v>3.2918107000000001</v>
      </c>
      <c r="BQ56" s="3">
        <v>3.2922574999999998</v>
      </c>
      <c r="BR56" s="3">
        <v>3.3027202999999998</v>
      </c>
      <c r="BS56" s="3">
        <v>3.3246405000000001</v>
      </c>
    </row>
    <row r="57" spans="1:71" x14ac:dyDescent="0.35">
      <c r="A57" s="6">
        <f t="shared" si="71"/>
        <v>45358</v>
      </c>
      <c r="B57">
        <f t="shared" si="66"/>
        <v>3</v>
      </c>
      <c r="C57">
        <f t="shared" si="67"/>
        <v>2024</v>
      </c>
      <c r="D57">
        <f t="shared" si="68"/>
        <v>202403</v>
      </c>
      <c r="E57">
        <f t="shared" si="69"/>
        <v>1</v>
      </c>
      <c r="F57">
        <f t="shared" si="70"/>
        <v>202401</v>
      </c>
      <c r="G57" t="s">
        <v>190</v>
      </c>
      <c r="H57" s="2">
        <v>5.25</v>
      </c>
      <c r="I57" s="2">
        <v>5.1883999999999997</v>
      </c>
      <c r="J57" s="3">
        <v>5.1897815999999999</v>
      </c>
      <c r="K57" s="3">
        <v>5.1735784000000002</v>
      </c>
      <c r="L57" s="3">
        <v>5.1383492000000004</v>
      </c>
      <c r="M57" s="3">
        <v>5.0817835000000002</v>
      </c>
      <c r="N57" s="3">
        <v>5.0087577000000003</v>
      </c>
      <c r="O57" s="3">
        <v>4.9261207999999996</v>
      </c>
      <c r="P57" s="3">
        <v>4.8389505000000002</v>
      </c>
      <c r="Q57" s="3">
        <v>4.7503941999999997</v>
      </c>
      <c r="R57" s="3">
        <v>4.6630947000000003</v>
      </c>
      <c r="S57" s="3">
        <v>4.5791667</v>
      </c>
      <c r="T57" s="3">
        <v>4.4996688999999996</v>
      </c>
      <c r="U57" s="3">
        <v>4.4251874000000004</v>
      </c>
      <c r="V57" s="3">
        <v>4.3562830999999997</v>
      </c>
      <c r="W57" s="3">
        <v>4.2924989</v>
      </c>
      <c r="X57" s="3">
        <v>4.2331009999999996</v>
      </c>
      <c r="Y57" s="3">
        <v>4.1773528000000004</v>
      </c>
      <c r="Z57" s="3">
        <v>4.1245181000000004</v>
      </c>
      <c r="AA57" s="3">
        <v>4.0738627000000003</v>
      </c>
      <c r="AB57" s="3">
        <v>4.0247634000000003</v>
      </c>
      <c r="AC57" s="3">
        <v>3.9771770000000002</v>
      </c>
      <c r="AD57" s="3">
        <v>3.9312472999999999</v>
      </c>
      <c r="AE57" s="3">
        <v>3.8871161000000001</v>
      </c>
      <c r="AF57" s="3">
        <v>3.8449255999999998</v>
      </c>
      <c r="AG57" s="3">
        <v>3.8048194</v>
      </c>
      <c r="AH57" s="3">
        <v>3.7669101</v>
      </c>
      <c r="AI57" s="3">
        <v>3.7311670000000001</v>
      </c>
      <c r="AJ57" s="3">
        <v>3.6975170999999998</v>
      </c>
      <c r="AK57" s="3">
        <v>3.6658857999999999</v>
      </c>
      <c r="AL57" s="3">
        <v>3.6361989000000001</v>
      </c>
      <c r="AM57" s="3">
        <v>3.6083831000000002</v>
      </c>
      <c r="AN57" s="3">
        <v>3.5823642000000002</v>
      </c>
      <c r="AO57" s="3">
        <v>3.5580677000000001</v>
      </c>
      <c r="AP57" s="3">
        <v>3.5354204</v>
      </c>
      <c r="AQ57" s="3">
        <v>3.514348</v>
      </c>
      <c r="AR57" s="3">
        <v>3.4947762</v>
      </c>
      <c r="AS57" s="3">
        <v>3.4766316000000002</v>
      </c>
      <c r="AT57" s="3">
        <v>3.4598409999999999</v>
      </c>
      <c r="AU57" s="3">
        <v>3.4443361000000001</v>
      </c>
      <c r="AV57" s="3">
        <v>3.4300500999999999</v>
      </c>
      <c r="AW57" s="3">
        <v>3.4169160000000001</v>
      </c>
      <c r="AX57" s="3">
        <v>3.4048668000000002</v>
      </c>
      <c r="AY57" s="3">
        <v>3.3938356000000001</v>
      </c>
      <c r="AZ57" s="3">
        <v>3.3837556000000002</v>
      </c>
      <c r="BA57" s="3">
        <v>3.3745595000000002</v>
      </c>
      <c r="BB57" s="3">
        <v>3.3661807000000001</v>
      </c>
      <c r="BC57" s="3">
        <v>3.3585520999999998</v>
      </c>
      <c r="BD57" s="3">
        <v>3.3516067</v>
      </c>
      <c r="BE57" s="3">
        <v>3.3452777</v>
      </c>
      <c r="BF57" s="3">
        <v>3.3395063999999999</v>
      </c>
      <c r="BG57" s="3">
        <v>3.3342711</v>
      </c>
      <c r="BH57" s="3">
        <v>3.3295601000000001</v>
      </c>
      <c r="BI57" s="3">
        <v>3.3253620000000002</v>
      </c>
      <c r="BJ57" s="3">
        <v>3.3216651000000001</v>
      </c>
      <c r="BK57" s="3">
        <v>3.3184578</v>
      </c>
      <c r="BL57" s="3">
        <v>3.3157285999999999</v>
      </c>
      <c r="BM57" s="3">
        <v>3.3134657999999999</v>
      </c>
      <c r="BN57" s="3">
        <v>3.3116579000000002</v>
      </c>
      <c r="BO57" s="3">
        <v>3.3102933999999999</v>
      </c>
      <c r="BP57" s="3">
        <v>3.3093604999999999</v>
      </c>
      <c r="BQ57" s="3">
        <v>3.3088476999999998</v>
      </c>
      <c r="BR57" s="3">
        <v>3.3139737999999999</v>
      </c>
      <c r="BS57" s="3">
        <v>3.3314786999999999</v>
      </c>
    </row>
    <row r="58" spans="1:71" x14ac:dyDescent="0.35">
      <c r="A58" s="6">
        <f t="shared" si="71"/>
        <v>45359</v>
      </c>
      <c r="B58">
        <f t="shared" si="66"/>
        <v>3</v>
      </c>
      <c r="C58">
        <f t="shared" si="67"/>
        <v>2024</v>
      </c>
      <c r="D58">
        <f t="shared" si="68"/>
        <v>202403</v>
      </c>
      <c r="E58">
        <f t="shared" si="69"/>
        <v>1</v>
      </c>
      <c r="F58">
        <f t="shared" si="70"/>
        <v>202401</v>
      </c>
      <c r="G58" t="s">
        <v>191</v>
      </c>
      <c r="H58" s="2">
        <v>5.25</v>
      </c>
      <c r="I58" s="2">
        <v>5.1881000000000004</v>
      </c>
      <c r="J58" s="3">
        <v>5.1862738999999998</v>
      </c>
      <c r="K58" s="3">
        <v>5.1689819000000004</v>
      </c>
      <c r="L58" s="3">
        <v>5.1299130000000002</v>
      </c>
      <c r="M58" s="3">
        <v>5.0694825999999997</v>
      </c>
      <c r="N58" s="3">
        <v>4.9934652000000002</v>
      </c>
      <c r="O58" s="3">
        <v>4.9081555999999997</v>
      </c>
      <c r="P58" s="3">
        <v>4.8184684999999998</v>
      </c>
      <c r="Q58" s="3">
        <v>4.7276501</v>
      </c>
      <c r="R58" s="3">
        <v>4.6381264</v>
      </c>
      <c r="S58" s="3">
        <v>4.5515514000000001</v>
      </c>
      <c r="T58" s="3">
        <v>4.4686130000000004</v>
      </c>
      <c r="U58" s="3">
        <v>4.3894595000000001</v>
      </c>
      <c r="V58" s="3">
        <v>4.3143824000000004</v>
      </c>
      <c r="W58" s="3">
        <v>4.2433725000000004</v>
      </c>
      <c r="X58" s="3">
        <v>4.1762929</v>
      </c>
      <c r="Y58" s="3">
        <v>4.1130041999999998</v>
      </c>
      <c r="Z58" s="3">
        <v>4.0533671</v>
      </c>
      <c r="AA58" s="3">
        <v>3.9972444</v>
      </c>
      <c r="AB58" s="3">
        <v>3.9444952</v>
      </c>
      <c r="AC58" s="3">
        <v>3.8949710999999998</v>
      </c>
      <c r="AD58" s="3">
        <v>3.8485235000000002</v>
      </c>
      <c r="AE58" s="3">
        <v>3.8050019000000002</v>
      </c>
      <c r="AF58" s="3">
        <v>3.764256</v>
      </c>
      <c r="AG58" s="3">
        <v>3.7261369000000002</v>
      </c>
      <c r="AH58" s="3">
        <v>3.6904984999999999</v>
      </c>
      <c r="AI58" s="3">
        <v>3.6572140000000002</v>
      </c>
      <c r="AJ58" s="3">
        <v>3.6261627999999999</v>
      </c>
      <c r="AK58" s="3">
        <v>3.5972232000000002</v>
      </c>
      <c r="AL58" s="3">
        <v>3.5702736000000002</v>
      </c>
      <c r="AM58" s="3">
        <v>3.5451934999999999</v>
      </c>
      <c r="AN58" s="3">
        <v>3.5218612</v>
      </c>
      <c r="AO58" s="3">
        <v>3.5001551000000002</v>
      </c>
      <c r="AP58" s="3">
        <v>3.4799544</v>
      </c>
      <c r="AQ58" s="3">
        <v>3.4611377999999999</v>
      </c>
      <c r="AR58" s="3">
        <v>3.4435834999999999</v>
      </c>
      <c r="AS58" s="3">
        <v>3.4271709000000001</v>
      </c>
      <c r="AT58" s="3">
        <v>3.4117923999999999</v>
      </c>
      <c r="AU58" s="3">
        <v>3.3973976000000001</v>
      </c>
      <c r="AV58" s="3">
        <v>3.3839502000000001</v>
      </c>
      <c r="AW58" s="3">
        <v>3.3714137000000002</v>
      </c>
      <c r="AX58" s="3">
        <v>3.3597516000000001</v>
      </c>
      <c r="AY58" s="3">
        <v>3.3489279000000001</v>
      </c>
      <c r="AZ58" s="3">
        <v>3.3389058999999999</v>
      </c>
      <c r="BA58" s="3">
        <v>3.3296492</v>
      </c>
      <c r="BB58" s="3">
        <v>3.3211217</v>
      </c>
      <c r="BC58" s="3">
        <v>3.3132866999999999</v>
      </c>
      <c r="BD58" s="3">
        <v>3.306108</v>
      </c>
      <c r="BE58" s="3">
        <v>3.2995491000000001</v>
      </c>
      <c r="BF58" s="3">
        <v>3.2935775999999999</v>
      </c>
      <c r="BG58" s="3">
        <v>3.2881773000000001</v>
      </c>
      <c r="BH58" s="3">
        <v>3.283337</v>
      </c>
      <c r="BI58" s="3">
        <v>3.2790452999999999</v>
      </c>
      <c r="BJ58" s="3">
        <v>3.2752908999999999</v>
      </c>
      <c r="BK58" s="3">
        <v>3.2720625000000001</v>
      </c>
      <c r="BL58" s="3">
        <v>3.2693487000000001</v>
      </c>
      <c r="BM58" s="3">
        <v>3.2671380999999999</v>
      </c>
      <c r="BN58" s="3">
        <v>3.2654193999999999</v>
      </c>
      <c r="BO58" s="3">
        <v>3.2641814</v>
      </c>
      <c r="BP58" s="3">
        <v>3.2634126000000001</v>
      </c>
      <c r="BQ58" s="3">
        <v>3.2631017</v>
      </c>
      <c r="BR58" s="3">
        <v>3.270213</v>
      </c>
      <c r="BS58" s="3">
        <v>3.2909263000000002</v>
      </c>
    </row>
    <row r="59" spans="1:71" x14ac:dyDescent="0.35">
      <c r="A59" s="6">
        <f t="shared" si="71"/>
        <v>45362</v>
      </c>
      <c r="B59">
        <f t="shared" si="66"/>
        <v>3</v>
      </c>
      <c r="C59">
        <f t="shared" si="67"/>
        <v>2024</v>
      </c>
      <c r="D59">
        <f t="shared" si="68"/>
        <v>202403</v>
      </c>
      <c r="E59">
        <f t="shared" si="69"/>
        <v>1</v>
      </c>
      <c r="F59">
        <f t="shared" si="70"/>
        <v>202401</v>
      </c>
      <c r="G59" t="s">
        <v>192</v>
      </c>
      <c r="H59" s="2">
        <v>5.25</v>
      </c>
      <c r="I59" s="2">
        <v>5.1879999999999997</v>
      </c>
      <c r="J59" s="3">
        <v>5.1881047999999996</v>
      </c>
      <c r="K59" s="3">
        <v>5.1660919999999999</v>
      </c>
      <c r="L59" s="3">
        <v>5.1223836</v>
      </c>
      <c r="M59" s="3">
        <v>5.0551326999999997</v>
      </c>
      <c r="N59" s="3">
        <v>4.9712247999999999</v>
      </c>
      <c r="O59" s="3">
        <v>4.8779222999999998</v>
      </c>
      <c r="P59" s="3">
        <v>4.7807779000000004</v>
      </c>
      <c r="Q59" s="3">
        <v>4.6837511999999997</v>
      </c>
      <c r="R59" s="3">
        <v>4.5899988</v>
      </c>
      <c r="S59" s="3">
        <v>4.5017687000000004</v>
      </c>
      <c r="T59" s="3">
        <v>4.4200204000000003</v>
      </c>
      <c r="U59" s="3">
        <v>4.3446594000000003</v>
      </c>
      <c r="V59" s="3">
        <v>4.2745417999999997</v>
      </c>
      <c r="W59" s="3">
        <v>4.2089859000000001</v>
      </c>
      <c r="X59" s="3">
        <v>4.1475111</v>
      </c>
      <c r="Y59" s="3">
        <v>4.0896346000000001</v>
      </c>
      <c r="Z59" s="3">
        <v>4.0348736000000001</v>
      </c>
      <c r="AA59" s="3">
        <v>3.9827471000000001</v>
      </c>
      <c r="AB59" s="3">
        <v>3.9328454000000002</v>
      </c>
      <c r="AC59" s="3">
        <v>3.8850967000000001</v>
      </c>
      <c r="AD59" s="3">
        <v>3.8395288999999999</v>
      </c>
      <c r="AE59" s="3">
        <v>3.7961681</v>
      </c>
      <c r="AF59" s="3">
        <v>3.7550408000000002</v>
      </c>
      <c r="AG59" s="3">
        <v>3.7161745000000002</v>
      </c>
      <c r="AH59" s="3">
        <v>3.6795756000000002</v>
      </c>
      <c r="AI59" s="3">
        <v>3.6451704</v>
      </c>
      <c r="AJ59" s="3">
        <v>3.6128662</v>
      </c>
      <c r="AK59" s="3">
        <v>3.5825692999999998</v>
      </c>
      <c r="AL59" s="3">
        <v>3.5541860000000001</v>
      </c>
      <c r="AM59" s="3">
        <v>3.5276234999999998</v>
      </c>
      <c r="AN59" s="3">
        <v>3.5027881999999999</v>
      </c>
      <c r="AO59" s="3">
        <v>3.4795864000000001</v>
      </c>
      <c r="AP59" s="3">
        <v>3.4579252</v>
      </c>
      <c r="AQ59" s="3">
        <v>3.4377111</v>
      </c>
      <c r="AR59" s="3">
        <v>3.4188504000000002</v>
      </c>
      <c r="AS59" s="3">
        <v>3.4012500999999999</v>
      </c>
      <c r="AT59" s="3">
        <v>3.3848262999999998</v>
      </c>
      <c r="AU59" s="3">
        <v>3.3695325999999999</v>
      </c>
      <c r="AV59" s="3">
        <v>3.3553327999999998</v>
      </c>
      <c r="AW59" s="3">
        <v>3.3421903999999998</v>
      </c>
      <c r="AX59" s="3">
        <v>3.3300684999999999</v>
      </c>
      <c r="AY59" s="3">
        <v>3.3189308999999998</v>
      </c>
      <c r="AZ59" s="3">
        <v>3.3087409999999999</v>
      </c>
      <c r="BA59" s="3">
        <v>3.2994620000000001</v>
      </c>
      <c r="BB59" s="3">
        <v>3.2910577000000001</v>
      </c>
      <c r="BC59" s="3">
        <v>3.2834913999999999</v>
      </c>
      <c r="BD59" s="3">
        <v>3.2767265000000001</v>
      </c>
      <c r="BE59" s="3">
        <v>3.2707266000000002</v>
      </c>
      <c r="BF59" s="3">
        <v>3.2654573</v>
      </c>
      <c r="BG59" s="3">
        <v>3.2608961000000001</v>
      </c>
      <c r="BH59" s="3">
        <v>3.2570245999999998</v>
      </c>
      <c r="BI59" s="3">
        <v>3.2538241999999999</v>
      </c>
      <c r="BJ59" s="3">
        <v>3.2512766000000002</v>
      </c>
      <c r="BK59" s="3">
        <v>3.2493633000000002</v>
      </c>
      <c r="BL59" s="3">
        <v>3.2480658</v>
      </c>
      <c r="BM59" s="3">
        <v>3.2473656000000002</v>
      </c>
      <c r="BN59" s="3">
        <v>3.2472441999999999</v>
      </c>
      <c r="BO59" s="3">
        <v>3.2476832999999998</v>
      </c>
      <c r="BP59" s="3">
        <v>3.2486643000000002</v>
      </c>
      <c r="BQ59" s="3">
        <v>3.2501688</v>
      </c>
      <c r="BR59" s="3">
        <v>3.2690448999999999</v>
      </c>
      <c r="BS59" s="3">
        <v>3.3014399999999999</v>
      </c>
    </row>
    <row r="60" spans="1:71" x14ac:dyDescent="0.35">
      <c r="A60" s="6">
        <f t="shared" si="71"/>
        <v>45363</v>
      </c>
      <c r="B60">
        <f t="shared" si="66"/>
        <v>3</v>
      </c>
      <c r="C60">
        <f t="shared" si="67"/>
        <v>2024</v>
      </c>
      <c r="D60">
        <f t="shared" si="68"/>
        <v>202403</v>
      </c>
      <c r="E60">
        <f t="shared" si="69"/>
        <v>1</v>
      </c>
      <c r="F60">
        <f t="shared" si="70"/>
        <v>202401</v>
      </c>
      <c r="G60" t="s">
        <v>193</v>
      </c>
      <c r="H60" s="2">
        <v>5.25</v>
      </c>
      <c r="I60" s="2">
        <v>5.1886999999999999</v>
      </c>
      <c r="J60" s="3">
        <v>5.1867580000000002</v>
      </c>
      <c r="K60" s="3">
        <v>5.1595823999999997</v>
      </c>
      <c r="L60" s="3">
        <v>5.1101362000000004</v>
      </c>
      <c r="M60" s="3">
        <v>5.0384036999999999</v>
      </c>
      <c r="N60" s="3">
        <v>4.9520378999999997</v>
      </c>
      <c r="O60" s="3">
        <v>4.8581041999999997</v>
      </c>
      <c r="P60" s="3">
        <v>4.7615729</v>
      </c>
      <c r="Q60" s="3">
        <v>4.6658873999999999</v>
      </c>
      <c r="R60" s="3">
        <v>4.5737744999999999</v>
      </c>
      <c r="S60" s="3">
        <v>4.4870479999999997</v>
      </c>
      <c r="T60" s="3">
        <v>4.4063312000000003</v>
      </c>
      <c r="U60" s="3">
        <v>4.3315996999999999</v>
      </c>
      <c r="V60" s="3">
        <v>4.2619132000000004</v>
      </c>
      <c r="W60" s="3">
        <v>4.1966244000000001</v>
      </c>
      <c r="X60" s="3">
        <v>4.1352418000000002</v>
      </c>
      <c r="Y60" s="3">
        <v>4.0772718000000001</v>
      </c>
      <c r="Z60" s="3">
        <v>4.0222208999999998</v>
      </c>
      <c r="AA60" s="3">
        <v>3.9695974000000001</v>
      </c>
      <c r="AB60" s="3">
        <v>3.9189862999999998</v>
      </c>
      <c r="AC60" s="3">
        <v>3.8703365999999999</v>
      </c>
      <c r="AD60" s="3">
        <v>3.8237049000000001</v>
      </c>
      <c r="AE60" s="3">
        <v>3.7791456000000001</v>
      </c>
      <c r="AF60" s="3">
        <v>3.7367135</v>
      </c>
      <c r="AG60" s="3">
        <v>3.6964646999999999</v>
      </c>
      <c r="AH60" s="3">
        <v>3.6584333</v>
      </c>
      <c r="AI60" s="3">
        <v>3.6225700999999999</v>
      </c>
      <c r="AJ60" s="3">
        <v>3.5888062999999999</v>
      </c>
      <c r="AK60" s="3">
        <v>3.5570721000000001</v>
      </c>
      <c r="AL60" s="3">
        <v>3.5272975</v>
      </c>
      <c r="AM60" s="3">
        <v>3.4994138000000001</v>
      </c>
      <c r="AN60" s="3">
        <v>3.4733510999999999</v>
      </c>
      <c r="AO60" s="3">
        <v>3.4490395</v>
      </c>
      <c r="AP60" s="3">
        <v>3.4264101999999999</v>
      </c>
      <c r="AQ60" s="3">
        <v>3.4053933999999999</v>
      </c>
      <c r="AR60" s="3">
        <v>3.3859192</v>
      </c>
      <c r="AS60" s="3">
        <v>3.3679187000000002</v>
      </c>
      <c r="AT60" s="3">
        <v>3.3513242000000001</v>
      </c>
      <c r="AU60" s="3">
        <v>3.3360767999999998</v>
      </c>
      <c r="AV60" s="3">
        <v>3.3221204000000002</v>
      </c>
      <c r="AW60" s="3">
        <v>3.3093979999999998</v>
      </c>
      <c r="AX60" s="3">
        <v>3.2978532</v>
      </c>
      <c r="AY60" s="3">
        <v>3.2874295</v>
      </c>
      <c r="AZ60" s="3">
        <v>3.2780702000000002</v>
      </c>
      <c r="BA60" s="3">
        <v>3.2697186999999999</v>
      </c>
      <c r="BB60" s="3">
        <v>3.2623186</v>
      </c>
      <c r="BC60" s="3">
        <v>3.2558131000000001</v>
      </c>
      <c r="BD60" s="3">
        <v>3.2501457999999999</v>
      </c>
      <c r="BE60" s="3">
        <v>3.2452600999999999</v>
      </c>
      <c r="BF60" s="3">
        <v>3.2411036000000002</v>
      </c>
      <c r="BG60" s="3">
        <v>3.2376450000000001</v>
      </c>
      <c r="BH60" s="3">
        <v>3.2348591</v>
      </c>
      <c r="BI60" s="3">
        <v>3.2327210000000002</v>
      </c>
      <c r="BJ60" s="3">
        <v>3.2312055000000002</v>
      </c>
      <c r="BK60" s="3">
        <v>3.2302875000000002</v>
      </c>
      <c r="BL60" s="3">
        <v>3.2299421000000001</v>
      </c>
      <c r="BM60" s="3">
        <v>3.2301440000000001</v>
      </c>
      <c r="BN60" s="3">
        <v>3.2308683999999999</v>
      </c>
      <c r="BO60" s="3">
        <v>3.2320899999999999</v>
      </c>
      <c r="BP60" s="3">
        <v>3.2337837999999999</v>
      </c>
      <c r="BQ60" s="3">
        <v>3.2359247</v>
      </c>
      <c r="BR60" s="3">
        <v>3.2570562999999999</v>
      </c>
      <c r="BS60" s="3">
        <v>3.2897869000000002</v>
      </c>
    </row>
    <row r="61" spans="1:71" x14ac:dyDescent="0.35">
      <c r="A61" s="6">
        <f t="shared" si="71"/>
        <v>45364</v>
      </c>
      <c r="B61">
        <f t="shared" si="66"/>
        <v>3</v>
      </c>
      <c r="C61">
        <f t="shared" si="67"/>
        <v>2024</v>
      </c>
      <c r="D61">
        <f t="shared" si="68"/>
        <v>202403</v>
      </c>
      <c r="E61">
        <f t="shared" si="69"/>
        <v>1</v>
      </c>
      <c r="F61">
        <f t="shared" si="70"/>
        <v>202401</v>
      </c>
      <c r="G61" t="s">
        <v>194</v>
      </c>
      <c r="H61" s="2">
        <v>5.25</v>
      </c>
      <c r="I61" s="2">
        <v>5.1889000000000003</v>
      </c>
      <c r="J61" s="3">
        <v>5.1888394</v>
      </c>
      <c r="K61" s="3">
        <v>5.1642330999999997</v>
      </c>
      <c r="L61" s="3">
        <v>5.1171066999999999</v>
      </c>
      <c r="M61" s="3">
        <v>5.0480687</v>
      </c>
      <c r="N61" s="3">
        <v>4.9648238999999998</v>
      </c>
      <c r="O61" s="3">
        <v>4.8746849000000001</v>
      </c>
      <c r="P61" s="3">
        <v>4.7823500000000001</v>
      </c>
      <c r="Q61" s="3">
        <v>4.6911293000000001</v>
      </c>
      <c r="R61" s="3">
        <v>4.6036213000000004</v>
      </c>
      <c r="S61" s="3">
        <v>4.5214141000000003</v>
      </c>
      <c r="T61" s="3">
        <v>4.4450086000000004</v>
      </c>
      <c r="U61" s="3">
        <v>4.3741703999999997</v>
      </c>
      <c r="V61" s="3">
        <v>4.3078038000000003</v>
      </c>
      <c r="W61" s="3">
        <v>4.2452665999999999</v>
      </c>
      <c r="X61" s="3">
        <v>4.1861079999999999</v>
      </c>
      <c r="Y61" s="3">
        <v>4.1298747999999996</v>
      </c>
      <c r="Z61" s="3">
        <v>4.0761143000000004</v>
      </c>
      <c r="AA61" s="3">
        <v>4.0243754000000003</v>
      </c>
      <c r="AB61" s="3">
        <v>3.9742752000000001</v>
      </c>
      <c r="AC61" s="3">
        <v>3.9258275999999999</v>
      </c>
      <c r="AD61" s="3">
        <v>3.8791878</v>
      </c>
      <c r="AE61" s="3">
        <v>3.8345091</v>
      </c>
      <c r="AF61" s="3">
        <v>3.7919451999999998</v>
      </c>
      <c r="AG61" s="3">
        <v>3.7516512999999998</v>
      </c>
      <c r="AH61" s="3">
        <v>3.7137413000000001</v>
      </c>
      <c r="AI61" s="3">
        <v>3.6781706999999999</v>
      </c>
      <c r="AJ61" s="3">
        <v>3.6448567999999999</v>
      </c>
      <c r="AK61" s="3">
        <v>3.6137153999999998</v>
      </c>
      <c r="AL61" s="3">
        <v>3.5846627</v>
      </c>
      <c r="AM61" s="3">
        <v>3.5576156000000001</v>
      </c>
      <c r="AN61" s="3">
        <v>3.5324900000000001</v>
      </c>
      <c r="AO61" s="3">
        <v>3.5092021999999998</v>
      </c>
      <c r="AP61" s="3">
        <v>3.4876689999999999</v>
      </c>
      <c r="AQ61" s="3">
        <v>3.4678065</v>
      </c>
      <c r="AR61" s="3">
        <v>3.4495306999999999</v>
      </c>
      <c r="AS61" s="3">
        <v>3.4327586000000001</v>
      </c>
      <c r="AT61" s="3">
        <v>3.417408</v>
      </c>
      <c r="AU61" s="3">
        <v>3.4034067000000001</v>
      </c>
      <c r="AV61" s="3">
        <v>3.3906852000000001</v>
      </c>
      <c r="AW61" s="3">
        <v>3.3791742</v>
      </c>
      <c r="AX61" s="3">
        <v>3.3688037999999998</v>
      </c>
      <c r="AY61" s="3">
        <v>3.3595049000000001</v>
      </c>
      <c r="AZ61" s="3">
        <v>3.3512078000000001</v>
      </c>
      <c r="BA61" s="3">
        <v>3.3438430000000001</v>
      </c>
      <c r="BB61" s="3">
        <v>3.3373412</v>
      </c>
      <c r="BC61" s="3">
        <v>3.3316327999999999</v>
      </c>
      <c r="BD61" s="3">
        <v>3.3266482000000002</v>
      </c>
      <c r="BE61" s="3">
        <v>3.3223180999999999</v>
      </c>
      <c r="BF61" s="3">
        <v>3.3185806000000002</v>
      </c>
      <c r="BG61" s="3">
        <v>3.3154075000000001</v>
      </c>
      <c r="BH61" s="3">
        <v>3.3127803</v>
      </c>
      <c r="BI61" s="3">
        <v>3.3106800999999999</v>
      </c>
      <c r="BJ61" s="3">
        <v>3.3090883</v>
      </c>
      <c r="BK61" s="3">
        <v>3.3079860000000001</v>
      </c>
      <c r="BL61" s="3">
        <v>3.3073546</v>
      </c>
      <c r="BM61" s="3">
        <v>3.3071752999999999</v>
      </c>
      <c r="BN61" s="3">
        <v>3.3074292999999999</v>
      </c>
      <c r="BO61" s="3">
        <v>3.3080981</v>
      </c>
      <c r="BP61" s="3">
        <v>3.3091626999999999</v>
      </c>
      <c r="BQ61" s="3">
        <v>3.3106045000000002</v>
      </c>
      <c r="BR61" s="3">
        <v>3.3264122999999999</v>
      </c>
      <c r="BS61" s="3">
        <v>3.3528085000000001</v>
      </c>
    </row>
    <row r="62" spans="1:71" x14ac:dyDescent="0.35">
      <c r="A62" s="6">
        <f t="shared" si="71"/>
        <v>45365</v>
      </c>
      <c r="B62">
        <f t="shared" si="66"/>
        <v>3</v>
      </c>
      <c r="C62">
        <f t="shared" si="67"/>
        <v>2024</v>
      </c>
      <c r="D62">
        <f t="shared" si="68"/>
        <v>202403</v>
      </c>
      <c r="E62">
        <f t="shared" si="69"/>
        <v>1</v>
      </c>
      <c r="F62">
        <f t="shared" si="70"/>
        <v>202401</v>
      </c>
      <c r="G62" t="s">
        <v>195</v>
      </c>
      <c r="H62" s="2">
        <v>5.25</v>
      </c>
      <c r="I62" s="2">
        <v>5.1887999999999996</v>
      </c>
      <c r="J62" s="3">
        <v>5.1884554999999999</v>
      </c>
      <c r="K62" s="3">
        <v>5.1656592000000003</v>
      </c>
      <c r="L62" s="3">
        <v>5.1206448</v>
      </c>
      <c r="M62" s="3">
        <v>5.0542419000000001</v>
      </c>
      <c r="N62" s="3">
        <v>4.9743598999999996</v>
      </c>
      <c r="O62" s="3">
        <v>4.8878155999999997</v>
      </c>
      <c r="P62" s="3">
        <v>4.7989753000000004</v>
      </c>
      <c r="Q62" s="3">
        <v>4.7107828999999999</v>
      </c>
      <c r="R62" s="3">
        <v>4.6255889000000003</v>
      </c>
      <c r="S62" s="3">
        <v>4.5453434000000001</v>
      </c>
      <c r="T62" s="3">
        <v>4.4709824999999999</v>
      </c>
      <c r="U62" s="3">
        <v>4.4028809000000004</v>
      </c>
      <c r="V62" s="3">
        <v>4.3408750999999999</v>
      </c>
      <c r="W62" s="3">
        <v>4.2842145</v>
      </c>
      <c r="X62" s="3">
        <v>4.2320333999999997</v>
      </c>
      <c r="Y62" s="3">
        <v>4.1834641000000001</v>
      </c>
      <c r="Z62" s="3">
        <v>4.1376393</v>
      </c>
      <c r="AA62" s="3">
        <v>4.093693</v>
      </c>
      <c r="AB62" s="3">
        <v>4.0508838999999996</v>
      </c>
      <c r="AC62" s="3">
        <v>4.0091181000000002</v>
      </c>
      <c r="AD62" s="3">
        <v>3.9685093999999999</v>
      </c>
      <c r="AE62" s="3">
        <v>3.9291705000000001</v>
      </c>
      <c r="AF62" s="3">
        <v>3.8912141999999998</v>
      </c>
      <c r="AG62" s="3">
        <v>3.8547543000000002</v>
      </c>
      <c r="AH62" s="3">
        <v>3.8198851999999999</v>
      </c>
      <c r="AI62" s="3">
        <v>3.7866114</v>
      </c>
      <c r="AJ62" s="3">
        <v>3.7549111000000002</v>
      </c>
      <c r="AK62" s="3">
        <v>3.7247617000000002</v>
      </c>
      <c r="AL62" s="3">
        <v>3.6961403000000002</v>
      </c>
      <c r="AM62" s="3">
        <v>3.6690250999999998</v>
      </c>
      <c r="AN62" s="3">
        <v>3.6433933999999999</v>
      </c>
      <c r="AO62" s="3">
        <v>3.6192224999999998</v>
      </c>
      <c r="AP62" s="3">
        <v>3.5964904999999998</v>
      </c>
      <c r="AQ62" s="3">
        <v>3.5751746</v>
      </c>
      <c r="AR62" s="3">
        <v>3.5552522999999998</v>
      </c>
      <c r="AS62" s="3">
        <v>3.5367014999999999</v>
      </c>
      <c r="AT62" s="3">
        <v>3.5194947999999999</v>
      </c>
      <c r="AU62" s="3">
        <v>3.5035829000000001</v>
      </c>
      <c r="AV62" s="3">
        <v>3.4889114000000001</v>
      </c>
      <c r="AW62" s="3">
        <v>3.4754252000000001</v>
      </c>
      <c r="AX62" s="3">
        <v>3.4630692999999999</v>
      </c>
      <c r="AY62" s="3">
        <v>3.4517891999999999</v>
      </c>
      <c r="AZ62" s="3">
        <v>3.4415296999999998</v>
      </c>
      <c r="BA62" s="3">
        <v>3.4322360000000001</v>
      </c>
      <c r="BB62" s="3">
        <v>3.4238533000000002</v>
      </c>
      <c r="BC62" s="3">
        <v>3.4163266999999999</v>
      </c>
      <c r="BD62" s="3">
        <v>3.4096012</v>
      </c>
      <c r="BE62" s="3">
        <v>3.4036221000000002</v>
      </c>
      <c r="BF62" s="3">
        <v>3.3983397000000002</v>
      </c>
      <c r="BG62" s="3">
        <v>3.3937271</v>
      </c>
      <c r="BH62" s="3">
        <v>3.389764</v>
      </c>
      <c r="BI62" s="3">
        <v>3.3864299999999998</v>
      </c>
      <c r="BJ62" s="3">
        <v>3.3837047</v>
      </c>
      <c r="BK62" s="3">
        <v>3.3815675000000001</v>
      </c>
      <c r="BL62" s="3">
        <v>3.3799982000000002</v>
      </c>
      <c r="BM62" s="3">
        <v>3.3789763000000002</v>
      </c>
      <c r="BN62" s="3">
        <v>3.3784812999999998</v>
      </c>
      <c r="BO62" s="3">
        <v>3.3784928999999999</v>
      </c>
      <c r="BP62" s="3">
        <v>3.3789905999999998</v>
      </c>
      <c r="BQ62" s="3">
        <v>3.3799541</v>
      </c>
      <c r="BR62" s="3">
        <v>3.3945400999999999</v>
      </c>
      <c r="BS62" s="3">
        <v>3.4217702000000001</v>
      </c>
    </row>
    <row r="63" spans="1:71" x14ac:dyDescent="0.35">
      <c r="A63" s="6">
        <f t="shared" si="71"/>
        <v>45366</v>
      </c>
      <c r="B63">
        <f t="shared" si="66"/>
        <v>3</v>
      </c>
      <c r="C63">
        <f t="shared" si="67"/>
        <v>2024</v>
      </c>
      <c r="D63">
        <f t="shared" si="68"/>
        <v>202403</v>
      </c>
      <c r="E63">
        <f t="shared" si="69"/>
        <v>1</v>
      </c>
      <c r="F63">
        <f t="shared" si="70"/>
        <v>202401</v>
      </c>
      <c r="G63" t="s">
        <v>196</v>
      </c>
      <c r="H63" s="2">
        <v>5.25</v>
      </c>
      <c r="I63" s="2">
        <v>5.1894</v>
      </c>
      <c r="J63" s="3">
        <v>5.1940401999999999</v>
      </c>
      <c r="K63" s="3">
        <v>5.1647204999999996</v>
      </c>
      <c r="L63" s="3">
        <v>5.1185801</v>
      </c>
      <c r="M63" s="3">
        <v>5.0537505999999999</v>
      </c>
      <c r="N63" s="3">
        <v>4.9766367000000002</v>
      </c>
      <c r="O63" s="3">
        <v>4.8929584999999998</v>
      </c>
      <c r="P63" s="3">
        <v>4.8069385000000002</v>
      </c>
      <c r="Q63" s="3">
        <v>4.7218730000000004</v>
      </c>
      <c r="R63" s="3">
        <v>4.6403040999999998</v>
      </c>
      <c r="S63" s="3">
        <v>4.5639225999999997</v>
      </c>
      <c r="T63" s="3">
        <v>4.4932430999999999</v>
      </c>
      <c r="U63" s="3">
        <v>4.4278420000000001</v>
      </c>
      <c r="V63" s="3">
        <v>4.3666007000000002</v>
      </c>
      <c r="W63" s="3">
        <v>4.3089174000000003</v>
      </c>
      <c r="X63" s="3">
        <v>4.2544304999999998</v>
      </c>
      <c r="Y63" s="3">
        <v>4.2027763</v>
      </c>
      <c r="Z63" s="3">
        <v>4.1535915000000001</v>
      </c>
      <c r="AA63" s="3">
        <v>4.1065142000000003</v>
      </c>
      <c r="AB63" s="3">
        <v>4.0612389000000002</v>
      </c>
      <c r="AC63" s="3">
        <v>4.0177294000000003</v>
      </c>
      <c r="AD63" s="3">
        <v>3.976029</v>
      </c>
      <c r="AE63" s="3">
        <v>3.9361793999999999</v>
      </c>
      <c r="AF63" s="3">
        <v>3.8982225000000001</v>
      </c>
      <c r="AG63" s="3">
        <v>3.8622013000000002</v>
      </c>
      <c r="AH63" s="3">
        <v>3.8281399</v>
      </c>
      <c r="AI63" s="3">
        <v>3.7959830000000001</v>
      </c>
      <c r="AJ63" s="3">
        <v>3.7656548999999999</v>
      </c>
      <c r="AK63" s="3">
        <v>3.7370787999999999</v>
      </c>
      <c r="AL63" s="3">
        <v>3.7101776000000002</v>
      </c>
      <c r="AM63" s="3">
        <v>3.6848755999999998</v>
      </c>
      <c r="AN63" s="3">
        <v>3.6610958</v>
      </c>
      <c r="AO63" s="3">
        <v>3.6387615000000002</v>
      </c>
      <c r="AP63" s="3">
        <v>3.6177966000000001</v>
      </c>
      <c r="AQ63" s="3">
        <v>3.5981242999999998</v>
      </c>
      <c r="AR63" s="3">
        <v>3.5796679</v>
      </c>
      <c r="AS63" s="3">
        <v>3.5623513</v>
      </c>
      <c r="AT63" s="3">
        <v>3.5461041999999998</v>
      </c>
      <c r="AU63" s="3">
        <v>3.5308831999999999</v>
      </c>
      <c r="AV63" s="3">
        <v>3.5166517000000002</v>
      </c>
      <c r="AW63" s="3">
        <v>3.5033728000000002</v>
      </c>
      <c r="AX63" s="3">
        <v>3.4910095000000001</v>
      </c>
      <c r="AY63" s="3">
        <v>3.4795254</v>
      </c>
      <c r="AZ63" s="3">
        <v>3.4688832999999999</v>
      </c>
      <c r="BA63" s="3">
        <v>3.4590464000000001</v>
      </c>
      <c r="BB63" s="3">
        <v>3.4499781999999999</v>
      </c>
      <c r="BC63" s="3">
        <v>3.4416416999999999</v>
      </c>
      <c r="BD63" s="3">
        <v>3.4340001</v>
      </c>
      <c r="BE63" s="3">
        <v>3.4270166</v>
      </c>
      <c r="BF63" s="3">
        <v>3.420658</v>
      </c>
      <c r="BG63" s="3">
        <v>3.4149075999999998</v>
      </c>
      <c r="BH63" s="3">
        <v>3.4097529999999998</v>
      </c>
      <c r="BI63" s="3">
        <v>3.4051819000000001</v>
      </c>
      <c r="BJ63" s="3">
        <v>3.4011819999999999</v>
      </c>
      <c r="BK63" s="3">
        <v>3.3977409000000001</v>
      </c>
      <c r="BL63" s="3">
        <v>3.3948463000000002</v>
      </c>
      <c r="BM63" s="3">
        <v>3.3924858000000002</v>
      </c>
      <c r="BN63" s="3">
        <v>3.3906472000000001</v>
      </c>
      <c r="BO63" s="3">
        <v>3.3893181000000001</v>
      </c>
      <c r="BP63" s="3">
        <v>3.3884861000000002</v>
      </c>
      <c r="BQ63" s="3">
        <v>3.3881389999999998</v>
      </c>
      <c r="BR63" s="3">
        <v>3.3955354</v>
      </c>
      <c r="BS63" s="3">
        <v>3.4172053</v>
      </c>
    </row>
    <row r="64" spans="1:71" x14ac:dyDescent="0.35">
      <c r="A64" s="6">
        <f t="shared" si="71"/>
        <v>45369</v>
      </c>
      <c r="B64">
        <f t="shared" si="66"/>
        <v>3</v>
      </c>
      <c r="C64">
        <f t="shared" si="67"/>
        <v>2024</v>
      </c>
      <c r="D64">
        <f t="shared" si="68"/>
        <v>202403</v>
      </c>
      <c r="E64">
        <f t="shared" si="69"/>
        <v>1</v>
      </c>
      <c r="F64">
        <f t="shared" si="70"/>
        <v>202401</v>
      </c>
      <c r="G64" t="s">
        <v>197</v>
      </c>
      <c r="H64" s="2">
        <v>5.25</v>
      </c>
      <c r="I64" s="2">
        <v>5.1886000000000001</v>
      </c>
      <c r="J64" s="3">
        <v>5.1908235999999999</v>
      </c>
      <c r="K64" s="3">
        <v>5.1626208</v>
      </c>
      <c r="L64" s="3">
        <v>5.1146880000000001</v>
      </c>
      <c r="M64" s="3">
        <v>5.0468900000000003</v>
      </c>
      <c r="N64" s="3">
        <v>4.9671789999999998</v>
      </c>
      <c r="O64" s="3">
        <v>4.8819184</v>
      </c>
      <c r="P64" s="3">
        <v>4.7955544999999997</v>
      </c>
      <c r="Q64" s="3">
        <v>4.7115527999999998</v>
      </c>
      <c r="R64" s="3">
        <v>4.6324510999999999</v>
      </c>
      <c r="S64" s="3">
        <v>4.5596211999999996</v>
      </c>
      <c r="T64" s="3">
        <v>4.4932489999999996</v>
      </c>
      <c r="U64" s="3">
        <v>4.4326102000000001</v>
      </c>
      <c r="V64" s="3">
        <v>4.3756906000000004</v>
      </c>
      <c r="W64" s="3">
        <v>4.3217888999999996</v>
      </c>
      <c r="X64" s="3">
        <v>4.2706628000000002</v>
      </c>
      <c r="Y64" s="3">
        <v>4.2220681000000004</v>
      </c>
      <c r="Z64" s="3">
        <v>4.1757606999999997</v>
      </c>
      <c r="AA64" s="3">
        <v>4.1314982000000002</v>
      </c>
      <c r="AB64" s="3">
        <v>4.0890636999999996</v>
      </c>
      <c r="AC64" s="3">
        <v>4.0483668000000002</v>
      </c>
      <c r="AD64" s="3">
        <v>4.0093548999999999</v>
      </c>
      <c r="AE64" s="3">
        <v>3.9719742999999998</v>
      </c>
      <c r="AF64" s="3">
        <v>3.9361709999999999</v>
      </c>
      <c r="AG64" s="3">
        <v>3.9018925000000002</v>
      </c>
      <c r="AH64" s="3">
        <v>3.8690864999999999</v>
      </c>
      <c r="AI64" s="3">
        <v>3.8377062</v>
      </c>
      <c r="AJ64" s="3">
        <v>3.8077076000000001</v>
      </c>
      <c r="AK64" s="3">
        <v>3.7790452999999999</v>
      </c>
      <c r="AL64" s="3">
        <v>3.7516742000000001</v>
      </c>
      <c r="AM64" s="3">
        <v>3.7255500000000001</v>
      </c>
      <c r="AN64" s="3">
        <v>3.7006275</v>
      </c>
      <c r="AO64" s="3">
        <v>3.6768616999999999</v>
      </c>
      <c r="AP64" s="3">
        <v>3.6542081</v>
      </c>
      <c r="AQ64" s="3">
        <v>3.6326215999999998</v>
      </c>
      <c r="AR64" s="3">
        <v>3.6120572000000002</v>
      </c>
      <c r="AS64" s="3">
        <v>3.5924703</v>
      </c>
      <c r="AT64" s="3">
        <v>3.5738219999999998</v>
      </c>
      <c r="AU64" s="3">
        <v>3.5560977999999999</v>
      </c>
      <c r="AV64" s="3">
        <v>3.5392899</v>
      </c>
      <c r="AW64" s="3">
        <v>3.5233899000000002</v>
      </c>
      <c r="AX64" s="3">
        <v>3.5083893000000002</v>
      </c>
      <c r="AY64" s="3">
        <v>3.4942804000000001</v>
      </c>
      <c r="AZ64" s="3">
        <v>3.4810547999999999</v>
      </c>
      <c r="BA64" s="3">
        <v>3.4687041000000001</v>
      </c>
      <c r="BB64" s="3">
        <v>3.4572204000000002</v>
      </c>
      <c r="BC64" s="3">
        <v>3.4465954000000001</v>
      </c>
      <c r="BD64" s="3">
        <v>3.4368207000000002</v>
      </c>
      <c r="BE64" s="3">
        <v>3.4278884000000001</v>
      </c>
      <c r="BF64" s="3">
        <v>3.4197886</v>
      </c>
      <c r="BG64" s="3">
        <v>3.4125033</v>
      </c>
      <c r="BH64" s="3">
        <v>3.406012</v>
      </c>
      <c r="BI64" s="3">
        <v>3.4002940000000001</v>
      </c>
      <c r="BJ64" s="3">
        <v>3.3953283000000001</v>
      </c>
      <c r="BK64" s="3">
        <v>3.3910946000000002</v>
      </c>
      <c r="BL64" s="3">
        <v>3.387572</v>
      </c>
      <c r="BM64" s="3">
        <v>3.3847398000000002</v>
      </c>
      <c r="BN64" s="3">
        <v>3.3825774000000002</v>
      </c>
      <c r="BO64" s="3">
        <v>3.3810639999999998</v>
      </c>
      <c r="BP64" s="3">
        <v>3.380179</v>
      </c>
      <c r="BQ64" s="3">
        <v>3.3799017</v>
      </c>
      <c r="BR64" s="3">
        <v>3.3897542999999999</v>
      </c>
      <c r="BS64" s="3">
        <v>3.4157432000000001</v>
      </c>
    </row>
    <row r="65" spans="1:71" x14ac:dyDescent="0.35">
      <c r="A65" s="6">
        <f t="shared" si="71"/>
        <v>45370</v>
      </c>
      <c r="B65">
        <f t="shared" si="66"/>
        <v>3</v>
      </c>
      <c r="C65">
        <f t="shared" si="67"/>
        <v>2024</v>
      </c>
      <c r="D65">
        <f t="shared" si="68"/>
        <v>202403</v>
      </c>
      <c r="E65">
        <f t="shared" si="69"/>
        <v>1</v>
      </c>
      <c r="F65">
        <f t="shared" si="70"/>
        <v>202401</v>
      </c>
      <c r="G65" t="s">
        <v>198</v>
      </c>
      <c r="H65" s="2">
        <v>5.25</v>
      </c>
      <c r="I65" s="2">
        <v>5.1894</v>
      </c>
      <c r="J65" s="3">
        <v>5.1856121999999996</v>
      </c>
      <c r="K65" s="3">
        <v>5.1544996999999997</v>
      </c>
      <c r="L65" s="3">
        <v>5.1034141000000002</v>
      </c>
      <c r="M65" s="3">
        <v>5.0325027999999996</v>
      </c>
      <c r="N65" s="3">
        <v>4.9494216</v>
      </c>
      <c r="O65" s="3">
        <v>4.8601635999999999</v>
      </c>
      <c r="P65" s="3">
        <v>4.7685994000000003</v>
      </c>
      <c r="Q65" s="3">
        <v>4.6778852000000004</v>
      </c>
      <c r="R65" s="3">
        <v>4.5909319999999996</v>
      </c>
      <c r="S65" s="3">
        <v>4.5099219000000002</v>
      </c>
      <c r="T65" s="3">
        <v>4.4358294000000003</v>
      </c>
      <c r="U65" s="3">
        <v>4.3687421000000004</v>
      </c>
      <c r="V65" s="3">
        <v>4.3071783000000003</v>
      </c>
      <c r="W65" s="3">
        <v>4.2502135000000001</v>
      </c>
      <c r="X65" s="3">
        <v>4.1972046000000001</v>
      </c>
      <c r="Y65" s="3">
        <v>4.1475064000000001</v>
      </c>
      <c r="Z65" s="3">
        <v>4.1004737000000002</v>
      </c>
      <c r="AA65" s="3">
        <v>4.0554632000000002</v>
      </c>
      <c r="AB65" s="3">
        <v>4.0119325999999997</v>
      </c>
      <c r="AC65" s="3">
        <v>3.9698169999999999</v>
      </c>
      <c r="AD65" s="3">
        <v>3.9291912999999998</v>
      </c>
      <c r="AE65" s="3">
        <v>3.8901286000000002</v>
      </c>
      <c r="AF65" s="3">
        <v>3.8527024000000001</v>
      </c>
      <c r="AG65" s="3">
        <v>3.8169873000000001</v>
      </c>
      <c r="AH65" s="3">
        <v>3.7830366999999998</v>
      </c>
      <c r="AI65" s="3">
        <v>3.7508235000000001</v>
      </c>
      <c r="AJ65" s="3">
        <v>3.7203015000000001</v>
      </c>
      <c r="AK65" s="3">
        <v>3.6914235</v>
      </c>
      <c r="AL65" s="3">
        <v>3.6641425000000001</v>
      </c>
      <c r="AM65" s="3">
        <v>3.6384121999999999</v>
      </c>
      <c r="AN65" s="3">
        <v>3.6141855999999999</v>
      </c>
      <c r="AO65" s="3">
        <v>3.5914153999999998</v>
      </c>
      <c r="AP65" s="3">
        <v>3.5700555</v>
      </c>
      <c r="AQ65" s="3">
        <v>3.5500587000000001</v>
      </c>
      <c r="AR65" s="3">
        <v>3.5313778999999998</v>
      </c>
      <c r="AS65" s="3">
        <v>3.5139668999999998</v>
      </c>
      <c r="AT65" s="3">
        <v>3.4977792999999999</v>
      </c>
      <c r="AU65" s="3">
        <v>3.4827718000000001</v>
      </c>
      <c r="AV65" s="3">
        <v>3.4689024000000002</v>
      </c>
      <c r="AW65" s="3">
        <v>3.4561286999999998</v>
      </c>
      <c r="AX65" s="3">
        <v>3.4444080000000001</v>
      </c>
      <c r="AY65" s="3">
        <v>3.4336985000000002</v>
      </c>
      <c r="AZ65" s="3">
        <v>3.4239575000000002</v>
      </c>
      <c r="BA65" s="3">
        <v>3.4151425999999998</v>
      </c>
      <c r="BB65" s="3">
        <v>3.4072117999999998</v>
      </c>
      <c r="BC65" s="3">
        <v>3.4001223999999999</v>
      </c>
      <c r="BD65" s="3">
        <v>3.3938321999999999</v>
      </c>
      <c r="BE65" s="3">
        <v>3.3882987999999998</v>
      </c>
      <c r="BF65" s="3">
        <v>3.3834827000000001</v>
      </c>
      <c r="BG65" s="3">
        <v>3.3793578000000002</v>
      </c>
      <c r="BH65" s="3">
        <v>3.3759020999999998</v>
      </c>
      <c r="BI65" s="3">
        <v>3.3730937000000001</v>
      </c>
      <c r="BJ65" s="3">
        <v>3.3709104999999999</v>
      </c>
      <c r="BK65" s="3">
        <v>3.3693306999999999</v>
      </c>
      <c r="BL65" s="3">
        <v>3.3683322000000002</v>
      </c>
      <c r="BM65" s="3">
        <v>3.3678932000000001</v>
      </c>
      <c r="BN65" s="3">
        <v>3.3679915</v>
      </c>
      <c r="BO65" s="3">
        <v>3.3686053</v>
      </c>
      <c r="BP65" s="3">
        <v>3.3697127</v>
      </c>
      <c r="BQ65" s="3">
        <v>3.3712914999999999</v>
      </c>
      <c r="BR65" s="3">
        <v>3.3895993999999998</v>
      </c>
      <c r="BS65" s="3">
        <v>3.4203342000000001</v>
      </c>
    </row>
    <row r="66" spans="1:71" x14ac:dyDescent="0.35">
      <c r="A66" s="6">
        <f t="shared" si="71"/>
        <v>45371</v>
      </c>
      <c r="B66">
        <f t="shared" si="66"/>
        <v>3</v>
      </c>
      <c r="C66">
        <f t="shared" si="67"/>
        <v>2024</v>
      </c>
      <c r="D66">
        <f t="shared" si="68"/>
        <v>202403</v>
      </c>
      <c r="E66">
        <f t="shared" si="69"/>
        <v>1</v>
      </c>
      <c r="F66">
        <f t="shared" si="70"/>
        <v>202401</v>
      </c>
      <c r="G66" t="s">
        <v>199</v>
      </c>
      <c r="H66" s="2">
        <v>5.25</v>
      </c>
      <c r="I66" s="2">
        <v>5.1891999999999996</v>
      </c>
      <c r="J66" s="3">
        <v>5.1861427999999998</v>
      </c>
      <c r="K66" s="3">
        <v>5.1530597</v>
      </c>
      <c r="L66" s="3">
        <v>5.0954702000000003</v>
      </c>
      <c r="M66" s="3">
        <v>5.0164477999999999</v>
      </c>
      <c r="N66" s="3">
        <v>4.9262214999999996</v>
      </c>
      <c r="O66" s="3">
        <v>4.8320185000000002</v>
      </c>
      <c r="P66" s="3">
        <v>4.7382862000000001</v>
      </c>
      <c r="Q66" s="3">
        <v>4.6484557999999998</v>
      </c>
      <c r="R66" s="3">
        <v>4.5649575999999996</v>
      </c>
      <c r="S66" s="3">
        <v>4.4889387000000003</v>
      </c>
      <c r="T66" s="3">
        <v>4.4203475000000001</v>
      </c>
      <c r="U66" s="3">
        <v>4.3582745999999997</v>
      </c>
      <c r="V66" s="3">
        <v>4.3006368000000004</v>
      </c>
      <c r="W66" s="3">
        <v>4.2464642000000001</v>
      </c>
      <c r="X66" s="3">
        <v>4.1951839</v>
      </c>
      <c r="Y66" s="3">
        <v>4.1462215000000002</v>
      </c>
      <c r="Z66" s="3">
        <v>4.0990022000000002</v>
      </c>
      <c r="AA66" s="3">
        <v>4.0529530999999999</v>
      </c>
      <c r="AB66" s="3">
        <v>4.0075969000000002</v>
      </c>
      <c r="AC66" s="3">
        <v>3.9630063</v>
      </c>
      <c r="AD66" s="3">
        <v>3.9194491</v>
      </c>
      <c r="AE66" s="3">
        <v>3.8771917999999999</v>
      </c>
      <c r="AF66" s="3">
        <v>3.8365008999999999</v>
      </c>
      <c r="AG66" s="3">
        <v>3.7976443</v>
      </c>
      <c r="AH66" s="3">
        <v>3.7608345999999999</v>
      </c>
      <c r="AI66" s="3">
        <v>3.7260678</v>
      </c>
      <c r="AJ66" s="3">
        <v>3.6932874</v>
      </c>
      <c r="AK66" s="3">
        <v>3.6624355999999998</v>
      </c>
      <c r="AL66" s="3">
        <v>3.6334545</v>
      </c>
      <c r="AM66" s="3">
        <v>3.6062875999999999</v>
      </c>
      <c r="AN66" s="3">
        <v>3.5808768</v>
      </c>
      <c r="AO66" s="3">
        <v>3.5571647</v>
      </c>
      <c r="AP66" s="3">
        <v>3.5350942000000001</v>
      </c>
      <c r="AQ66" s="3">
        <v>3.5146077</v>
      </c>
      <c r="AR66" s="3">
        <v>3.4956475</v>
      </c>
      <c r="AS66" s="3">
        <v>3.4781567</v>
      </c>
      <c r="AT66" s="3">
        <v>3.4620764999999998</v>
      </c>
      <c r="AU66" s="3">
        <v>3.4473429000000002</v>
      </c>
      <c r="AV66" s="3">
        <v>3.4338910999999999</v>
      </c>
      <c r="AW66" s="3">
        <v>3.4216554000000001</v>
      </c>
      <c r="AX66" s="3">
        <v>3.4105704000000001</v>
      </c>
      <c r="AY66" s="3">
        <v>3.4005709999999998</v>
      </c>
      <c r="AZ66" s="3">
        <v>3.3915917000000002</v>
      </c>
      <c r="BA66" s="3">
        <v>3.3835671</v>
      </c>
      <c r="BB66" s="3">
        <v>3.3764319999999999</v>
      </c>
      <c r="BC66" s="3">
        <v>3.3701210000000001</v>
      </c>
      <c r="BD66" s="3">
        <v>3.3645687</v>
      </c>
      <c r="BE66" s="3">
        <v>3.3597098000000001</v>
      </c>
      <c r="BF66" s="3">
        <v>3.3554859000000001</v>
      </c>
      <c r="BG66" s="3">
        <v>3.3518686999999998</v>
      </c>
      <c r="BH66" s="3">
        <v>3.3488387999999998</v>
      </c>
      <c r="BI66" s="3">
        <v>3.3463763000000002</v>
      </c>
      <c r="BJ66" s="3">
        <v>3.3444617000000001</v>
      </c>
      <c r="BK66" s="3">
        <v>3.3430751999999999</v>
      </c>
      <c r="BL66" s="3">
        <v>3.3421972000000002</v>
      </c>
      <c r="BM66" s="3">
        <v>3.3418079000000001</v>
      </c>
      <c r="BN66" s="3">
        <v>3.3418877</v>
      </c>
      <c r="BO66" s="3">
        <v>3.3424170000000002</v>
      </c>
      <c r="BP66" s="3">
        <v>3.3433760000000001</v>
      </c>
      <c r="BQ66" s="3">
        <v>3.3447450999999999</v>
      </c>
      <c r="BR66" s="3">
        <v>3.3607122</v>
      </c>
      <c r="BS66" s="3">
        <v>3.3879600000000001</v>
      </c>
    </row>
    <row r="67" spans="1:71" x14ac:dyDescent="0.35">
      <c r="A67" s="6">
        <f t="shared" si="71"/>
        <v>45372</v>
      </c>
      <c r="B67">
        <f t="shared" si="66"/>
        <v>3</v>
      </c>
      <c r="C67">
        <f t="shared" si="67"/>
        <v>2024</v>
      </c>
      <c r="D67">
        <f t="shared" si="68"/>
        <v>202403</v>
      </c>
      <c r="E67">
        <f t="shared" si="69"/>
        <v>1</v>
      </c>
      <c r="F67">
        <f t="shared" si="70"/>
        <v>202401</v>
      </c>
      <c r="G67" t="s">
        <v>200</v>
      </c>
      <c r="H67" s="2">
        <v>5.25</v>
      </c>
      <c r="I67" s="2">
        <v>5.1894</v>
      </c>
      <c r="J67" s="3">
        <v>5.1819683000000003</v>
      </c>
      <c r="K67" s="3">
        <v>5.1280466999999996</v>
      </c>
      <c r="L67" s="3">
        <v>5.0527375000000001</v>
      </c>
      <c r="M67" s="3">
        <v>4.9605281000000003</v>
      </c>
      <c r="N67" s="3">
        <v>4.8614145999999998</v>
      </c>
      <c r="O67" s="3">
        <v>4.7608512000000003</v>
      </c>
      <c r="P67" s="3">
        <v>4.6612742000000003</v>
      </c>
      <c r="Q67" s="3">
        <v>4.5645699000000004</v>
      </c>
      <c r="R67" s="3">
        <v>4.4723674000000004</v>
      </c>
      <c r="S67" s="3">
        <v>4.3862436999999996</v>
      </c>
      <c r="T67" s="3">
        <v>4.3069856</v>
      </c>
      <c r="U67" s="3">
        <v>4.2349113000000003</v>
      </c>
      <c r="V67" s="3">
        <v>4.1698642000000001</v>
      </c>
      <c r="W67" s="3">
        <v>4.1110657000000002</v>
      </c>
      <c r="X67" s="3">
        <v>4.0576081000000004</v>
      </c>
      <c r="Y67" s="3">
        <v>4.0085818</v>
      </c>
      <c r="Z67" s="3">
        <v>3.9630771</v>
      </c>
      <c r="AA67" s="3">
        <v>3.9201861999999998</v>
      </c>
      <c r="AB67" s="3">
        <v>3.8791226999999999</v>
      </c>
      <c r="AC67" s="3">
        <v>3.8397313</v>
      </c>
      <c r="AD67" s="3">
        <v>3.8020599000000002</v>
      </c>
      <c r="AE67" s="3">
        <v>3.7661546000000001</v>
      </c>
      <c r="AF67" s="3">
        <v>3.7320620999999998</v>
      </c>
      <c r="AG67" s="3">
        <v>3.69983</v>
      </c>
      <c r="AH67" s="3">
        <v>3.6694893</v>
      </c>
      <c r="AI67" s="3">
        <v>3.6409961000000002</v>
      </c>
      <c r="AJ67" s="3">
        <v>3.6142843999999998</v>
      </c>
      <c r="AK67" s="3">
        <v>3.5892873000000001</v>
      </c>
      <c r="AL67" s="3">
        <v>3.5659380999999999</v>
      </c>
      <c r="AM67" s="3">
        <v>3.5441707999999998</v>
      </c>
      <c r="AN67" s="3">
        <v>3.5239183999999999</v>
      </c>
      <c r="AO67" s="3">
        <v>3.5051142</v>
      </c>
      <c r="AP67" s="3">
        <v>3.4876922000000001</v>
      </c>
      <c r="AQ67" s="3">
        <v>3.4715856</v>
      </c>
      <c r="AR67" s="3">
        <v>3.4567275</v>
      </c>
      <c r="AS67" s="3">
        <v>3.4430518999999999</v>
      </c>
      <c r="AT67" s="3">
        <v>3.4304942999999999</v>
      </c>
      <c r="AU67" s="3">
        <v>3.4190005999999999</v>
      </c>
      <c r="AV67" s="3">
        <v>3.4085201000000001</v>
      </c>
      <c r="AW67" s="3">
        <v>3.3990014</v>
      </c>
      <c r="AX67" s="3">
        <v>3.3903935000000001</v>
      </c>
      <c r="AY67" s="3">
        <v>3.3826451999999998</v>
      </c>
      <c r="AZ67" s="3">
        <v>3.3757055999999999</v>
      </c>
      <c r="BA67" s="3">
        <v>3.3695233</v>
      </c>
      <c r="BB67" s="3">
        <v>3.3640474999999999</v>
      </c>
      <c r="BC67" s="3">
        <v>3.3592270000000002</v>
      </c>
      <c r="BD67" s="3">
        <v>3.3550105000000001</v>
      </c>
      <c r="BE67" s="3">
        <v>3.3513472000000002</v>
      </c>
      <c r="BF67" s="3">
        <v>3.3481920999999999</v>
      </c>
      <c r="BG67" s="3">
        <v>3.3455284000000001</v>
      </c>
      <c r="BH67" s="3">
        <v>3.3433468999999998</v>
      </c>
      <c r="BI67" s="3">
        <v>3.3416383999999999</v>
      </c>
      <c r="BJ67" s="3">
        <v>3.3403936999999999</v>
      </c>
      <c r="BK67" s="3">
        <v>3.3396035999999998</v>
      </c>
      <c r="BL67" s="3">
        <v>3.3392590000000002</v>
      </c>
      <c r="BM67" s="3">
        <v>3.3393505999999999</v>
      </c>
      <c r="BN67" s="3">
        <v>3.3398693000000002</v>
      </c>
      <c r="BO67" s="3">
        <v>3.3408058</v>
      </c>
      <c r="BP67" s="3">
        <v>3.3421509999999999</v>
      </c>
      <c r="BQ67" s="3">
        <v>3.3438957</v>
      </c>
      <c r="BR67" s="3">
        <v>3.3621493999999998</v>
      </c>
      <c r="BS67" s="3">
        <v>3.3919290000000002</v>
      </c>
    </row>
    <row r="68" spans="1:71" x14ac:dyDescent="0.35">
      <c r="A68" s="6">
        <f t="shared" si="71"/>
        <v>45373</v>
      </c>
      <c r="B68">
        <f t="shared" si="66"/>
        <v>3</v>
      </c>
      <c r="C68">
        <f t="shared" si="67"/>
        <v>2024</v>
      </c>
      <c r="D68">
        <f t="shared" si="68"/>
        <v>202403</v>
      </c>
      <c r="E68">
        <f t="shared" si="69"/>
        <v>1</v>
      </c>
      <c r="F68">
        <f t="shared" si="70"/>
        <v>202401</v>
      </c>
      <c r="G68" t="s">
        <v>201</v>
      </c>
      <c r="H68" s="2">
        <v>5.25</v>
      </c>
      <c r="I68" s="2">
        <v>5.1905999999999999</v>
      </c>
      <c r="J68" s="3">
        <v>5.1805712000000002</v>
      </c>
      <c r="K68" s="3">
        <v>5.1182898000000003</v>
      </c>
      <c r="L68" s="3">
        <v>5.0372060000000003</v>
      </c>
      <c r="M68" s="3">
        <v>4.9406043000000004</v>
      </c>
      <c r="N68" s="3">
        <v>4.8376754999999996</v>
      </c>
      <c r="O68" s="3">
        <v>4.7334882</v>
      </c>
      <c r="P68" s="3">
        <v>4.6303638999999999</v>
      </c>
      <c r="Q68" s="3">
        <v>4.5301131999999997</v>
      </c>
      <c r="R68" s="3">
        <v>4.4343044999999996</v>
      </c>
      <c r="S68" s="3">
        <v>4.3442696999999999</v>
      </c>
      <c r="T68" s="3">
        <v>4.2607216000000001</v>
      </c>
      <c r="U68" s="3">
        <v>4.1836630000000001</v>
      </c>
      <c r="V68" s="3">
        <v>4.1127269999999996</v>
      </c>
      <c r="W68" s="3">
        <v>4.0474595000000004</v>
      </c>
      <c r="X68" s="3">
        <v>3.9874071</v>
      </c>
      <c r="Y68" s="3">
        <v>3.9321142</v>
      </c>
      <c r="Z68" s="3">
        <v>3.8811249999999999</v>
      </c>
      <c r="AA68" s="3">
        <v>3.8339859999999999</v>
      </c>
      <c r="AB68" s="3">
        <v>3.7902735000000001</v>
      </c>
      <c r="AC68" s="3">
        <v>3.7497126000000001</v>
      </c>
      <c r="AD68" s="3">
        <v>3.7120728999999999</v>
      </c>
      <c r="AE68" s="3">
        <v>3.6771224</v>
      </c>
      <c r="AF68" s="3">
        <v>3.6446293000000001</v>
      </c>
      <c r="AG68" s="3">
        <v>3.614363</v>
      </c>
      <c r="AH68" s="3">
        <v>3.5861124000000002</v>
      </c>
      <c r="AI68" s="3">
        <v>3.5597572</v>
      </c>
      <c r="AJ68" s="3">
        <v>3.5352035000000002</v>
      </c>
      <c r="AK68" s="3">
        <v>3.5123562000000002</v>
      </c>
      <c r="AL68" s="3">
        <v>3.4911205000000001</v>
      </c>
      <c r="AM68" s="3">
        <v>3.4714022</v>
      </c>
      <c r="AN68" s="3">
        <v>3.4531063999999998</v>
      </c>
      <c r="AO68" s="3">
        <v>3.4361381</v>
      </c>
      <c r="AP68" s="3">
        <v>3.4204031000000001</v>
      </c>
      <c r="AQ68" s="3">
        <v>3.4058066</v>
      </c>
      <c r="AR68" s="3">
        <v>3.3922536999999999</v>
      </c>
      <c r="AS68" s="3">
        <v>3.3796501000000001</v>
      </c>
      <c r="AT68" s="3">
        <v>3.3679125000000001</v>
      </c>
      <c r="AU68" s="3">
        <v>3.3570044999999999</v>
      </c>
      <c r="AV68" s="3">
        <v>3.3469015</v>
      </c>
      <c r="AW68" s="3">
        <v>3.3375786000000001</v>
      </c>
      <c r="AX68" s="3">
        <v>3.3290109999999999</v>
      </c>
      <c r="AY68" s="3">
        <v>3.3211742000000002</v>
      </c>
      <c r="AZ68" s="3">
        <v>3.3140432</v>
      </c>
      <c r="BA68" s="3">
        <v>3.3075931999999999</v>
      </c>
      <c r="BB68" s="3">
        <v>3.3017995999999998</v>
      </c>
      <c r="BC68" s="3">
        <v>3.2966375000000001</v>
      </c>
      <c r="BD68" s="3">
        <v>3.2920823000000001</v>
      </c>
      <c r="BE68" s="3">
        <v>3.2881090999999998</v>
      </c>
      <c r="BF68" s="3">
        <v>3.2846951999999998</v>
      </c>
      <c r="BG68" s="3">
        <v>3.2818263999999999</v>
      </c>
      <c r="BH68" s="3">
        <v>3.2794911</v>
      </c>
      <c r="BI68" s="3">
        <v>3.2776776999999999</v>
      </c>
      <c r="BJ68" s="3">
        <v>3.2763745000000002</v>
      </c>
      <c r="BK68" s="3">
        <v>3.2755697000000001</v>
      </c>
      <c r="BL68" s="3">
        <v>3.2752517999999999</v>
      </c>
      <c r="BM68" s="3">
        <v>3.2754089999999998</v>
      </c>
      <c r="BN68" s="3">
        <v>3.2760297999999999</v>
      </c>
      <c r="BO68" s="3">
        <v>3.2771023000000001</v>
      </c>
      <c r="BP68" s="3">
        <v>3.2786149999999998</v>
      </c>
      <c r="BQ68" s="3">
        <v>3.2805561999999999</v>
      </c>
      <c r="BR68" s="3">
        <v>3.3005087</v>
      </c>
      <c r="BS68" s="3">
        <v>3.3327081999999999</v>
      </c>
    </row>
    <row r="69" spans="1:71" x14ac:dyDescent="0.35">
      <c r="A69" s="6">
        <f t="shared" si="71"/>
        <v>45376</v>
      </c>
      <c r="B69">
        <f t="shared" si="66"/>
        <v>3</v>
      </c>
      <c r="C69">
        <f t="shared" si="67"/>
        <v>2024</v>
      </c>
      <c r="D69">
        <f t="shared" si="68"/>
        <v>202403</v>
      </c>
      <c r="E69">
        <f t="shared" si="69"/>
        <v>1</v>
      </c>
      <c r="F69">
        <f t="shared" si="70"/>
        <v>202401</v>
      </c>
      <c r="G69" t="s">
        <v>202</v>
      </c>
      <c r="H69" s="2">
        <v>5.25</v>
      </c>
      <c r="I69" s="2">
        <v>5.1898</v>
      </c>
      <c r="J69" s="3">
        <v>5.1833470999999998</v>
      </c>
      <c r="K69" s="3">
        <v>5.1274128000000001</v>
      </c>
      <c r="L69" s="3">
        <v>5.0521022999999996</v>
      </c>
      <c r="M69" s="3">
        <v>4.9603653999999997</v>
      </c>
      <c r="N69" s="3">
        <v>4.8621632000000004</v>
      </c>
      <c r="O69" s="3">
        <v>4.7628551000000003</v>
      </c>
      <c r="P69" s="3">
        <v>4.6644921999999998</v>
      </c>
      <c r="Q69" s="3">
        <v>4.5688371999999999</v>
      </c>
      <c r="R69" s="3">
        <v>4.4777661999999996</v>
      </c>
      <c r="S69" s="3">
        <v>4.3929359999999997</v>
      </c>
      <c r="T69" s="3">
        <v>4.3151083000000003</v>
      </c>
      <c r="U69" s="3">
        <v>4.2444287999999997</v>
      </c>
      <c r="V69" s="3">
        <v>4.1804886999999997</v>
      </c>
      <c r="W69" s="3">
        <v>4.1224584000000002</v>
      </c>
      <c r="X69" s="3">
        <v>4.0694362999999996</v>
      </c>
      <c r="Y69" s="3">
        <v>4.0205190000000002</v>
      </c>
      <c r="Z69" s="3">
        <v>3.9748028</v>
      </c>
      <c r="AA69" s="3">
        <v>3.9313861000000001</v>
      </c>
      <c r="AB69" s="3">
        <v>3.8895102000000001</v>
      </c>
      <c r="AC69" s="3">
        <v>3.8490883999999999</v>
      </c>
      <c r="AD69" s="3">
        <v>3.8102301000000001</v>
      </c>
      <c r="AE69" s="3">
        <v>3.7730434000000002</v>
      </c>
      <c r="AF69" s="3">
        <v>3.7376364</v>
      </c>
      <c r="AG69" s="3">
        <v>3.7041184999999999</v>
      </c>
      <c r="AH69" s="3">
        <v>3.6725661999999999</v>
      </c>
      <c r="AI69" s="3">
        <v>3.6429306000000001</v>
      </c>
      <c r="AJ69" s="3">
        <v>3.6151323999999998</v>
      </c>
      <c r="AK69" s="3">
        <v>3.5890911000000001</v>
      </c>
      <c r="AL69" s="3">
        <v>3.5647264999999999</v>
      </c>
      <c r="AM69" s="3">
        <v>3.5419589999999999</v>
      </c>
      <c r="AN69" s="3">
        <v>3.5207084000000002</v>
      </c>
      <c r="AO69" s="3">
        <v>3.5008943000000001</v>
      </c>
      <c r="AP69" s="3">
        <v>3.4824372000000001</v>
      </c>
      <c r="AQ69" s="3">
        <v>3.4652566999999999</v>
      </c>
      <c r="AR69" s="3">
        <v>3.4492726999999999</v>
      </c>
      <c r="AS69" s="3">
        <v>3.4344055</v>
      </c>
      <c r="AT69" s="3">
        <v>3.4205822000000001</v>
      </c>
      <c r="AU69" s="3">
        <v>3.4077598999999998</v>
      </c>
      <c r="AV69" s="3">
        <v>3.3959033999999999</v>
      </c>
      <c r="AW69" s="3">
        <v>3.3849771</v>
      </c>
      <c r="AX69" s="3">
        <v>3.3749454000000001</v>
      </c>
      <c r="AY69" s="3">
        <v>3.3657731000000002</v>
      </c>
      <c r="AZ69" s="3">
        <v>3.3574245999999999</v>
      </c>
      <c r="BA69" s="3">
        <v>3.3498644999999998</v>
      </c>
      <c r="BB69" s="3">
        <v>3.3430574000000002</v>
      </c>
      <c r="BC69" s="3">
        <v>3.3369678</v>
      </c>
      <c r="BD69" s="3">
        <v>3.3315600999999999</v>
      </c>
      <c r="BE69" s="3">
        <v>3.3267992</v>
      </c>
      <c r="BF69" s="3">
        <v>3.3226524</v>
      </c>
      <c r="BG69" s="3">
        <v>3.3191042999999998</v>
      </c>
      <c r="BH69" s="3">
        <v>3.3161450000000001</v>
      </c>
      <c r="BI69" s="3">
        <v>3.3137642999999999</v>
      </c>
      <c r="BJ69" s="3">
        <v>3.3119524</v>
      </c>
      <c r="BK69" s="3">
        <v>3.3106992000000002</v>
      </c>
      <c r="BL69" s="3">
        <v>3.3099948000000001</v>
      </c>
      <c r="BM69" s="3">
        <v>3.3098291999999998</v>
      </c>
      <c r="BN69" s="3">
        <v>3.3101924999999999</v>
      </c>
      <c r="BO69" s="3">
        <v>3.3110746</v>
      </c>
      <c r="BP69" s="3">
        <v>3.3124655999999999</v>
      </c>
      <c r="BQ69" s="3">
        <v>3.3143555</v>
      </c>
      <c r="BR69" s="3">
        <v>3.3352501000000001</v>
      </c>
      <c r="BS69" s="3">
        <v>3.3693628000000002</v>
      </c>
    </row>
    <row r="70" spans="1:71" x14ac:dyDescent="0.35">
      <c r="A70" s="6">
        <f t="shared" si="71"/>
        <v>45377</v>
      </c>
      <c r="B70">
        <f t="shared" si="66"/>
        <v>3</v>
      </c>
      <c r="C70">
        <f t="shared" si="67"/>
        <v>2024</v>
      </c>
      <c r="D70">
        <f t="shared" si="68"/>
        <v>202403</v>
      </c>
      <c r="E70">
        <f t="shared" si="69"/>
        <v>1</v>
      </c>
      <c r="F70">
        <f t="shared" si="70"/>
        <v>202401</v>
      </c>
      <c r="G70" t="s">
        <v>203</v>
      </c>
      <c r="H70" s="2">
        <v>5.25</v>
      </c>
      <c r="I70" s="2">
        <v>5.1896000000000004</v>
      </c>
      <c r="J70" s="3">
        <v>5.1827956999999998</v>
      </c>
      <c r="K70" s="3">
        <v>5.1256915999999997</v>
      </c>
      <c r="L70" s="3">
        <v>5.0485734000000004</v>
      </c>
      <c r="M70" s="3">
        <v>4.9552148999999996</v>
      </c>
      <c r="N70" s="3">
        <v>4.8562802999999999</v>
      </c>
      <c r="O70" s="3">
        <v>4.7573952999999998</v>
      </c>
      <c r="P70" s="3">
        <v>4.6609664999999998</v>
      </c>
      <c r="Q70" s="3">
        <v>4.5689511999999999</v>
      </c>
      <c r="R70" s="3">
        <v>4.4830930999999996</v>
      </c>
      <c r="S70" s="3">
        <v>4.4044480000000004</v>
      </c>
      <c r="T70" s="3">
        <v>4.3329633000000003</v>
      </c>
      <c r="U70" s="3">
        <v>4.2681424000000003</v>
      </c>
      <c r="V70" s="3">
        <v>4.2084416999999998</v>
      </c>
      <c r="W70" s="3">
        <v>4.1529746000000003</v>
      </c>
      <c r="X70" s="3">
        <v>4.1011286</v>
      </c>
      <c r="Y70" s="3">
        <v>4.0522894999999997</v>
      </c>
      <c r="Z70" s="3">
        <v>4.0058432000000002</v>
      </c>
      <c r="AA70" s="3">
        <v>3.9611771999999998</v>
      </c>
      <c r="AB70" s="3">
        <v>3.9177730999999998</v>
      </c>
      <c r="AC70" s="3">
        <v>3.8755578000000002</v>
      </c>
      <c r="AD70" s="3">
        <v>3.8345886</v>
      </c>
      <c r="AE70" s="3">
        <v>3.7949212000000001</v>
      </c>
      <c r="AF70" s="3">
        <v>3.7566112999999999</v>
      </c>
      <c r="AG70" s="3">
        <v>3.7197160999999999</v>
      </c>
      <c r="AH70" s="3">
        <v>3.6842831999999999</v>
      </c>
      <c r="AI70" s="3">
        <v>3.6503269</v>
      </c>
      <c r="AJ70" s="3">
        <v>3.6178545999999998</v>
      </c>
      <c r="AK70" s="3">
        <v>3.5868723999999998</v>
      </c>
      <c r="AL70" s="3">
        <v>3.5573864999999998</v>
      </c>
      <c r="AM70" s="3">
        <v>3.5294040999999998</v>
      </c>
      <c r="AN70" s="3">
        <v>3.5029314999999999</v>
      </c>
      <c r="AO70" s="3">
        <v>3.4779749</v>
      </c>
      <c r="AP70" s="3">
        <v>3.4545412999999998</v>
      </c>
      <c r="AQ70" s="3">
        <v>3.4326371</v>
      </c>
      <c r="AR70" s="3">
        <v>3.4122685000000001</v>
      </c>
      <c r="AS70" s="3">
        <v>3.3934427</v>
      </c>
      <c r="AT70" s="3">
        <v>3.3761583000000002</v>
      </c>
      <c r="AU70" s="3">
        <v>3.3603706</v>
      </c>
      <c r="AV70" s="3">
        <v>3.3460188</v>
      </c>
      <c r="AW70" s="3">
        <v>3.3330416999999999</v>
      </c>
      <c r="AX70" s="3">
        <v>3.3213781999999998</v>
      </c>
      <c r="AY70" s="3">
        <v>3.3109674</v>
      </c>
      <c r="AZ70" s="3">
        <v>3.3017482</v>
      </c>
      <c r="BA70" s="3">
        <v>3.2936592999999998</v>
      </c>
      <c r="BB70" s="3">
        <v>3.2866401000000001</v>
      </c>
      <c r="BC70" s="3">
        <v>3.2806293000000002</v>
      </c>
      <c r="BD70" s="3">
        <v>3.2755657999999999</v>
      </c>
      <c r="BE70" s="3">
        <v>3.2713887000000001</v>
      </c>
      <c r="BF70" s="3">
        <v>3.2680400999999999</v>
      </c>
      <c r="BG70" s="3">
        <v>3.2654774</v>
      </c>
      <c r="BH70" s="3">
        <v>3.2636628999999999</v>
      </c>
      <c r="BI70" s="3">
        <v>3.2625589000000002</v>
      </c>
      <c r="BJ70" s="3">
        <v>3.2621273999999998</v>
      </c>
      <c r="BK70" s="3">
        <v>3.2623307000000001</v>
      </c>
      <c r="BL70" s="3">
        <v>3.263131</v>
      </c>
      <c r="BM70" s="3">
        <v>3.2644905999999998</v>
      </c>
      <c r="BN70" s="3">
        <v>3.2663715999999998</v>
      </c>
      <c r="BO70" s="3">
        <v>3.2687362000000002</v>
      </c>
      <c r="BP70" s="3">
        <v>3.2715467</v>
      </c>
      <c r="BQ70" s="3">
        <v>3.2747652999999999</v>
      </c>
      <c r="BR70" s="3">
        <v>3.301304</v>
      </c>
      <c r="BS70" s="3">
        <v>3.3377072999999999</v>
      </c>
    </row>
    <row r="71" spans="1:71" x14ac:dyDescent="0.35">
      <c r="A71" s="6">
        <f t="shared" si="71"/>
        <v>45378</v>
      </c>
      <c r="B71">
        <f t="shared" si="66"/>
        <v>3</v>
      </c>
      <c r="C71">
        <f t="shared" si="67"/>
        <v>2024</v>
      </c>
      <c r="D71">
        <f t="shared" si="68"/>
        <v>202403</v>
      </c>
      <c r="E71">
        <f t="shared" si="69"/>
        <v>1</v>
      </c>
      <c r="F71">
        <f t="shared" si="70"/>
        <v>202401</v>
      </c>
      <c r="G71" t="s">
        <v>204</v>
      </c>
      <c r="H71" s="2">
        <v>5.25</v>
      </c>
      <c r="I71" s="2">
        <v>5.1898999999999997</v>
      </c>
      <c r="J71" s="3">
        <v>5.1814296000000004</v>
      </c>
      <c r="K71" s="3">
        <v>5.1231903000000001</v>
      </c>
      <c r="L71" s="3">
        <v>5.0458183999999999</v>
      </c>
      <c r="M71" s="3">
        <v>4.9524743999999998</v>
      </c>
      <c r="N71" s="3">
        <v>4.8528428000000003</v>
      </c>
      <c r="O71" s="3">
        <v>4.7529013000000004</v>
      </c>
      <c r="P71" s="3">
        <v>4.6551650999999996</v>
      </c>
      <c r="Q71" s="3">
        <v>4.5615344999999996</v>
      </c>
      <c r="R71" s="3">
        <v>4.4736998000000003</v>
      </c>
      <c r="S71" s="3">
        <v>4.3925289999999997</v>
      </c>
      <c r="T71" s="3">
        <v>4.3181355000000003</v>
      </c>
      <c r="U71" s="3">
        <v>4.2499877000000001</v>
      </c>
      <c r="V71" s="3">
        <v>4.1865883000000004</v>
      </c>
      <c r="W71" s="3">
        <v>4.1271481999999997</v>
      </c>
      <c r="X71" s="3">
        <v>4.0711485999999999</v>
      </c>
      <c r="Y71" s="3">
        <v>4.0180689999999997</v>
      </c>
      <c r="Z71" s="3">
        <v>3.9673888000000002</v>
      </c>
      <c r="AA71" s="3">
        <v>3.9185891000000002</v>
      </c>
      <c r="AB71" s="3">
        <v>3.8712282</v>
      </c>
      <c r="AC71" s="3">
        <v>3.8253108999999998</v>
      </c>
      <c r="AD71" s="3">
        <v>3.7810006999999999</v>
      </c>
      <c r="AE71" s="3">
        <v>3.7384596999999999</v>
      </c>
      <c r="AF71" s="3">
        <v>3.6978498000000002</v>
      </c>
      <c r="AG71" s="3">
        <v>3.6593347000000001</v>
      </c>
      <c r="AH71" s="3">
        <v>3.6230381999999999</v>
      </c>
      <c r="AI71" s="3">
        <v>3.5889308</v>
      </c>
      <c r="AJ71" s="3">
        <v>3.5569462000000001</v>
      </c>
      <c r="AK71" s="3">
        <v>3.5270166999999999</v>
      </c>
      <c r="AL71" s="3">
        <v>3.4990747999999998</v>
      </c>
      <c r="AM71" s="3">
        <v>3.4730539999999999</v>
      </c>
      <c r="AN71" s="3">
        <v>3.4488865999999998</v>
      </c>
      <c r="AO71" s="3">
        <v>3.4265051999999998</v>
      </c>
      <c r="AP71" s="3">
        <v>3.4058430999999998</v>
      </c>
      <c r="AQ71" s="3">
        <v>3.3868328000000001</v>
      </c>
      <c r="AR71" s="3">
        <v>3.3694069</v>
      </c>
      <c r="AS71" s="3">
        <v>3.3534985000000002</v>
      </c>
      <c r="AT71" s="3">
        <v>3.3390398999999999</v>
      </c>
      <c r="AU71" s="3">
        <v>3.3259615</v>
      </c>
      <c r="AV71" s="3">
        <v>3.3141935</v>
      </c>
      <c r="AW71" s="3">
        <v>3.3036658000000001</v>
      </c>
      <c r="AX71" s="3">
        <v>3.2943080999999999</v>
      </c>
      <c r="AY71" s="3">
        <v>3.2860507000000001</v>
      </c>
      <c r="AZ71" s="3">
        <v>3.2788233999999998</v>
      </c>
      <c r="BA71" s="3">
        <v>3.2725559999999998</v>
      </c>
      <c r="BB71" s="3">
        <v>3.2671785999999998</v>
      </c>
      <c r="BC71" s="3">
        <v>3.2626211000000001</v>
      </c>
      <c r="BD71" s="3">
        <v>3.2588135</v>
      </c>
      <c r="BE71" s="3">
        <v>3.2556856999999999</v>
      </c>
      <c r="BF71" s="3">
        <v>3.2531747000000002</v>
      </c>
      <c r="BG71" s="3">
        <v>3.2512493999999998</v>
      </c>
      <c r="BH71" s="3">
        <v>3.2498868999999999</v>
      </c>
      <c r="BI71" s="3">
        <v>3.2490648000000002</v>
      </c>
      <c r="BJ71" s="3">
        <v>3.2487602999999998</v>
      </c>
      <c r="BK71" s="3">
        <v>3.2489509000000001</v>
      </c>
      <c r="BL71" s="3">
        <v>3.2496139999999998</v>
      </c>
      <c r="BM71" s="3">
        <v>3.2507267999999998</v>
      </c>
      <c r="BN71" s="3">
        <v>3.2522669</v>
      </c>
      <c r="BO71" s="3">
        <v>3.2542114999999998</v>
      </c>
      <c r="BP71" s="3">
        <v>3.2565379999999999</v>
      </c>
      <c r="BQ71" s="3">
        <v>3.2592238999999998</v>
      </c>
      <c r="BR71" s="3">
        <v>3.2820238000000002</v>
      </c>
      <c r="BS71" s="3">
        <v>3.3145215000000001</v>
      </c>
    </row>
    <row r="72" spans="1:71" x14ac:dyDescent="0.35">
      <c r="A72" s="6">
        <f t="shared" si="71"/>
        <v>45379</v>
      </c>
      <c r="B72">
        <f t="shared" si="66"/>
        <v>3</v>
      </c>
      <c r="C72">
        <f t="shared" si="67"/>
        <v>2024</v>
      </c>
      <c r="D72">
        <f t="shared" si="68"/>
        <v>202403</v>
      </c>
      <c r="E72">
        <f t="shared" si="69"/>
        <v>1</v>
      </c>
      <c r="F72">
        <f t="shared" si="70"/>
        <v>202401</v>
      </c>
      <c r="G72" t="s">
        <v>205</v>
      </c>
      <c r="H72" s="2">
        <v>5.25</v>
      </c>
      <c r="I72" s="2">
        <v>5.1910999999999996</v>
      </c>
      <c r="J72" s="3">
        <v>5.1827949000000002</v>
      </c>
      <c r="K72" s="3">
        <v>5.1285197</v>
      </c>
      <c r="L72" s="3">
        <v>5.0548387000000004</v>
      </c>
      <c r="M72" s="3">
        <v>4.9650426999999997</v>
      </c>
      <c r="N72" s="3">
        <v>4.8685885999999998</v>
      </c>
      <c r="O72" s="3">
        <v>4.7708037000000001</v>
      </c>
      <c r="P72" s="3">
        <v>4.6732193999999998</v>
      </c>
      <c r="Q72" s="3">
        <v>4.5769532000000002</v>
      </c>
      <c r="R72" s="3">
        <v>4.4834965000000002</v>
      </c>
      <c r="S72" s="3">
        <v>4.3944428000000002</v>
      </c>
      <c r="T72" s="3">
        <v>4.3108747000000003</v>
      </c>
      <c r="U72" s="3">
        <v>4.2335020999999999</v>
      </c>
      <c r="V72" s="3">
        <v>4.1628109999999996</v>
      </c>
      <c r="W72" s="3">
        <v>4.0982377999999997</v>
      </c>
      <c r="X72" s="3">
        <v>4.0389508000000003</v>
      </c>
      <c r="Y72" s="3">
        <v>3.9841158000000001</v>
      </c>
      <c r="Z72" s="3">
        <v>3.9328986000000001</v>
      </c>
      <c r="AA72" s="3">
        <v>3.8844672</v>
      </c>
      <c r="AB72" s="3">
        <v>3.8381017000000002</v>
      </c>
      <c r="AC72" s="3">
        <v>3.7936676999999999</v>
      </c>
      <c r="AD72" s="3">
        <v>3.7512192999999998</v>
      </c>
      <c r="AE72" s="3">
        <v>3.7108091000000001</v>
      </c>
      <c r="AF72" s="3">
        <v>3.6724898000000001</v>
      </c>
      <c r="AG72" s="3">
        <v>3.6363153000000001</v>
      </c>
      <c r="AH72" s="3">
        <v>3.6023211000000002</v>
      </c>
      <c r="AI72" s="3">
        <v>3.5704587000000001</v>
      </c>
      <c r="AJ72" s="3">
        <v>3.5406553000000001</v>
      </c>
      <c r="AK72" s="3">
        <v>3.5128368999999999</v>
      </c>
      <c r="AL72" s="3">
        <v>3.4869295999999999</v>
      </c>
      <c r="AM72" s="3">
        <v>3.4628602000000002</v>
      </c>
      <c r="AN72" s="3">
        <v>3.4405549999999998</v>
      </c>
      <c r="AO72" s="3">
        <v>3.4199399000000001</v>
      </c>
      <c r="AP72" s="3">
        <v>3.4009420000000001</v>
      </c>
      <c r="AQ72" s="3">
        <v>3.3834871999999998</v>
      </c>
      <c r="AR72" s="3">
        <v>3.3675017999999999</v>
      </c>
      <c r="AS72" s="3">
        <v>3.3529125</v>
      </c>
      <c r="AT72" s="3">
        <v>3.3396465000000002</v>
      </c>
      <c r="AU72" s="3">
        <v>3.3276360999999999</v>
      </c>
      <c r="AV72" s="3">
        <v>3.3168153999999999</v>
      </c>
      <c r="AW72" s="3">
        <v>3.307118</v>
      </c>
      <c r="AX72" s="3">
        <v>3.2984779</v>
      </c>
      <c r="AY72" s="3">
        <v>3.2908290999999998</v>
      </c>
      <c r="AZ72" s="3">
        <v>3.2841051999999999</v>
      </c>
      <c r="BA72" s="3">
        <v>3.2782401999999999</v>
      </c>
      <c r="BB72" s="3">
        <v>3.2731680000000001</v>
      </c>
      <c r="BC72" s="3">
        <v>3.2688225000000002</v>
      </c>
      <c r="BD72" s="3">
        <v>3.2651374</v>
      </c>
      <c r="BE72" s="3">
        <v>3.2620467999999998</v>
      </c>
      <c r="BF72" s="3">
        <v>3.2594922</v>
      </c>
      <c r="BG72" s="3">
        <v>3.2574502999999999</v>
      </c>
      <c r="BH72" s="3">
        <v>3.2559073000000001</v>
      </c>
      <c r="BI72" s="3">
        <v>3.2548493000000001</v>
      </c>
      <c r="BJ72" s="3">
        <v>3.2542624</v>
      </c>
      <c r="BK72" s="3">
        <v>3.2541327999999998</v>
      </c>
      <c r="BL72" s="3">
        <v>3.2544466999999999</v>
      </c>
      <c r="BM72" s="3">
        <v>3.2551903000000002</v>
      </c>
      <c r="BN72" s="3">
        <v>3.2563496000000001</v>
      </c>
      <c r="BO72" s="3">
        <v>3.2579107999999999</v>
      </c>
      <c r="BP72" s="3">
        <v>3.2598601999999999</v>
      </c>
      <c r="BQ72" s="3">
        <v>3.2621837999999999</v>
      </c>
      <c r="BR72" s="3">
        <v>3.2833437999999999</v>
      </c>
      <c r="BS72" s="3">
        <v>3.3153028999999998</v>
      </c>
    </row>
    <row r="73" spans="1:71" x14ac:dyDescent="0.35">
      <c r="A73" s="6">
        <f t="shared" si="71"/>
        <v>45380</v>
      </c>
      <c r="B73">
        <f t="shared" si="66"/>
        <v>3</v>
      </c>
      <c r="C73">
        <f t="shared" si="67"/>
        <v>2024</v>
      </c>
      <c r="D73">
        <f t="shared" si="68"/>
        <v>202403</v>
      </c>
      <c r="E73">
        <f t="shared" si="69"/>
        <v>1</v>
      </c>
      <c r="F73">
        <f t="shared" si="70"/>
        <v>202401</v>
      </c>
      <c r="G73" t="s">
        <v>206</v>
      </c>
      <c r="H73" s="2">
        <v>5.25</v>
      </c>
      <c r="I73" s="2" t="e">
        <v>#N/A</v>
      </c>
      <c r="J73" s="3" t="e">
        <v>#N/A</v>
      </c>
      <c r="K73" s="3" t="e">
        <v>#N/A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e">
        <v>#N/A</v>
      </c>
      <c r="Q73" s="3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 t="e">
        <v>#N/A</v>
      </c>
      <c r="AE73" s="3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e">
        <v>#N/A</v>
      </c>
      <c r="AK73" s="3" t="e">
        <v>#N/A</v>
      </c>
      <c r="AL73" s="3" t="e">
        <v>#N/A</v>
      </c>
      <c r="AM73" s="3" t="e">
        <v>#N/A</v>
      </c>
      <c r="AN73" s="3" t="e">
        <v>#N/A</v>
      </c>
      <c r="AO73" s="3" t="e">
        <v>#N/A</v>
      </c>
      <c r="AP73" s="3" t="e">
        <v>#N/A</v>
      </c>
      <c r="AQ73" s="3" t="e">
        <v>#N/A</v>
      </c>
      <c r="AR73" s="3" t="e">
        <v>#N/A</v>
      </c>
      <c r="AS73" s="3" t="e">
        <v>#N/A</v>
      </c>
      <c r="AT73" s="3" t="e">
        <v>#N/A</v>
      </c>
      <c r="AU73" s="3" t="e">
        <v>#N/A</v>
      </c>
      <c r="AV73" s="3" t="e">
        <v>#N/A</v>
      </c>
      <c r="AW73" s="3" t="e">
        <v>#N/A</v>
      </c>
      <c r="AX73" s="3" t="e">
        <v>#N/A</v>
      </c>
      <c r="AY73" s="3" t="e">
        <v>#N/A</v>
      </c>
      <c r="AZ73" s="3" t="e">
        <v>#N/A</v>
      </c>
      <c r="BA73" s="3" t="e">
        <v>#N/A</v>
      </c>
      <c r="BB73" s="3" t="e">
        <v>#N/A</v>
      </c>
      <c r="BC73" s="3" t="e">
        <v>#N/A</v>
      </c>
      <c r="BD73" s="3" t="e">
        <v>#N/A</v>
      </c>
      <c r="BE73" s="3" t="e">
        <v>#N/A</v>
      </c>
      <c r="BF73" s="3" t="e">
        <v>#N/A</v>
      </c>
      <c r="BG73" s="3" t="e">
        <v>#N/A</v>
      </c>
      <c r="BH73" s="3" t="e">
        <v>#N/A</v>
      </c>
      <c r="BI73" s="3" t="e">
        <v>#N/A</v>
      </c>
      <c r="BJ73" s="3" t="e">
        <v>#N/A</v>
      </c>
      <c r="BK73" s="3" t="e">
        <v>#N/A</v>
      </c>
      <c r="BL73" s="3" t="e">
        <v>#N/A</v>
      </c>
      <c r="BM73" s="3" t="e">
        <v>#N/A</v>
      </c>
      <c r="BN73" s="3" t="e">
        <v>#N/A</v>
      </c>
      <c r="BO73" s="3" t="e">
        <v>#N/A</v>
      </c>
      <c r="BP73" s="3" t="e">
        <v>#N/A</v>
      </c>
      <c r="BQ73" s="3" t="e">
        <v>#N/A</v>
      </c>
      <c r="BR73" s="3" t="e">
        <v>#N/A</v>
      </c>
      <c r="BS73" s="3" t="e">
        <v>#N/A</v>
      </c>
    </row>
    <row r="74" spans="1:71" x14ac:dyDescent="0.35">
      <c r="A74" s="6">
        <f t="shared" si="71"/>
        <v>45383</v>
      </c>
      <c r="B74">
        <f t="shared" si="66"/>
        <v>4</v>
      </c>
      <c r="C74">
        <f t="shared" si="67"/>
        <v>2024</v>
      </c>
      <c r="D74">
        <f t="shared" si="68"/>
        <v>202404</v>
      </c>
      <c r="E74">
        <f t="shared" si="69"/>
        <v>2</v>
      </c>
      <c r="F74">
        <f t="shared" si="70"/>
        <v>202402</v>
      </c>
      <c r="G74" t="s">
        <v>207</v>
      </c>
      <c r="H74" s="2">
        <v>5.25</v>
      </c>
      <c r="I74" s="2" t="e">
        <v>#N/A</v>
      </c>
      <c r="J74" s="3" t="e">
        <v>#N/A</v>
      </c>
      <c r="K74" s="3" t="e">
        <v>#N/A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e">
        <v>#N/A</v>
      </c>
      <c r="Q74" s="3" t="e">
        <v>#N/A</v>
      </c>
      <c r="R74" s="3" t="e">
        <v>#N/A</v>
      </c>
      <c r="S74" s="3" t="e">
        <v>#N/A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 t="e">
        <v>#N/A</v>
      </c>
      <c r="AE74" s="3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e">
        <v>#N/A</v>
      </c>
      <c r="AK74" s="3" t="e">
        <v>#N/A</v>
      </c>
      <c r="AL74" s="3" t="e">
        <v>#N/A</v>
      </c>
      <c r="AM74" s="3" t="e">
        <v>#N/A</v>
      </c>
      <c r="AN74" s="3" t="e">
        <v>#N/A</v>
      </c>
      <c r="AO74" s="3" t="e">
        <v>#N/A</v>
      </c>
      <c r="AP74" s="3" t="e">
        <v>#N/A</v>
      </c>
      <c r="AQ74" s="3" t="e">
        <v>#N/A</v>
      </c>
      <c r="AR74" s="3" t="e">
        <v>#N/A</v>
      </c>
      <c r="AS74" s="3" t="e">
        <v>#N/A</v>
      </c>
      <c r="AT74" s="3" t="e">
        <v>#N/A</v>
      </c>
      <c r="AU74" s="3" t="e">
        <v>#N/A</v>
      </c>
      <c r="AV74" s="3" t="e">
        <v>#N/A</v>
      </c>
      <c r="AW74" s="3" t="e">
        <v>#N/A</v>
      </c>
      <c r="AX74" s="3" t="e">
        <v>#N/A</v>
      </c>
      <c r="AY74" s="3" t="e">
        <v>#N/A</v>
      </c>
      <c r="AZ74" s="3" t="e">
        <v>#N/A</v>
      </c>
      <c r="BA74" s="3" t="e">
        <v>#N/A</v>
      </c>
      <c r="BB74" s="3" t="e">
        <v>#N/A</v>
      </c>
      <c r="BC74" s="3" t="e">
        <v>#N/A</v>
      </c>
      <c r="BD74" s="3" t="e">
        <v>#N/A</v>
      </c>
      <c r="BE74" s="3" t="e">
        <v>#N/A</v>
      </c>
      <c r="BF74" s="3" t="e">
        <v>#N/A</v>
      </c>
      <c r="BG74" s="3" t="e">
        <v>#N/A</v>
      </c>
      <c r="BH74" s="3" t="e">
        <v>#N/A</v>
      </c>
      <c r="BI74" s="3" t="e">
        <v>#N/A</v>
      </c>
      <c r="BJ74" s="3" t="e">
        <v>#N/A</v>
      </c>
      <c r="BK74" s="3" t="e">
        <v>#N/A</v>
      </c>
      <c r="BL74" s="3" t="e">
        <v>#N/A</v>
      </c>
      <c r="BM74" s="3" t="e">
        <v>#N/A</v>
      </c>
      <c r="BN74" s="3" t="e">
        <v>#N/A</v>
      </c>
      <c r="BO74" s="3" t="e">
        <v>#N/A</v>
      </c>
      <c r="BP74" s="3" t="e">
        <v>#N/A</v>
      </c>
      <c r="BQ74" s="3" t="e">
        <v>#N/A</v>
      </c>
      <c r="BR74" s="3" t="e">
        <v>#N/A</v>
      </c>
      <c r="BS74" s="3" t="e">
        <v>#N/A</v>
      </c>
    </row>
    <row r="75" spans="1:71" x14ac:dyDescent="0.35">
      <c r="A75" s="6">
        <f t="shared" si="71"/>
        <v>45384</v>
      </c>
      <c r="B75">
        <f t="shared" ref="B75:B138" si="72">MONTH(A75)</f>
        <v>4</v>
      </c>
      <c r="C75">
        <f t="shared" ref="C75:C138" si="73">YEAR(A75)</f>
        <v>2024</v>
      </c>
      <c r="D75">
        <f t="shared" ref="D75:D138" si="74">C75*100+B75</f>
        <v>202404</v>
      </c>
      <c r="E75">
        <f t="shared" ref="E75:E138" si="75">IF(B75&lt;4,1,IF(B75&lt;7,2,IF(B75&lt;10,3,4)))</f>
        <v>2</v>
      </c>
      <c r="F75">
        <f t="shared" ref="F75:F138" si="76">C75*100+E75</f>
        <v>202402</v>
      </c>
      <c r="G75" t="s">
        <v>208</v>
      </c>
      <c r="H75" s="2">
        <v>5.25</v>
      </c>
      <c r="I75" s="2">
        <v>5.1955999999999998</v>
      </c>
      <c r="J75" s="3">
        <v>5.1807489000000002</v>
      </c>
      <c r="K75" s="3">
        <v>5.1199561999999998</v>
      </c>
      <c r="L75" s="3">
        <v>5.0432068000000001</v>
      </c>
      <c r="M75" s="3">
        <v>4.9538124000000003</v>
      </c>
      <c r="N75" s="3">
        <v>4.8601742000000003</v>
      </c>
      <c r="O75" s="3">
        <v>4.7672806999999997</v>
      </c>
      <c r="P75" s="3">
        <v>4.6768675000000002</v>
      </c>
      <c r="Q75" s="3">
        <v>4.5904147000000002</v>
      </c>
      <c r="R75" s="3">
        <v>4.5095263000000001</v>
      </c>
      <c r="S75" s="3">
        <v>4.4349691</v>
      </c>
      <c r="T75" s="3">
        <v>4.3666137999999997</v>
      </c>
      <c r="U75" s="3">
        <v>4.3040203000000004</v>
      </c>
      <c r="V75" s="3">
        <v>4.2453969999999996</v>
      </c>
      <c r="W75" s="3">
        <v>4.1899962999999998</v>
      </c>
      <c r="X75" s="3">
        <v>4.1374545999999999</v>
      </c>
      <c r="Y75" s="3">
        <v>4.0874062000000002</v>
      </c>
      <c r="Z75" s="3">
        <v>4.0394855999999999</v>
      </c>
      <c r="AA75" s="3">
        <v>3.9933290000000001</v>
      </c>
      <c r="AB75" s="3">
        <v>3.9486534</v>
      </c>
      <c r="AC75" s="3">
        <v>3.9055228</v>
      </c>
      <c r="AD75" s="3">
        <v>3.8640941</v>
      </c>
      <c r="AE75" s="3">
        <v>3.8245225</v>
      </c>
      <c r="AF75" s="3">
        <v>3.7869632000000002</v>
      </c>
      <c r="AG75" s="3">
        <v>3.751573</v>
      </c>
      <c r="AH75" s="3">
        <v>3.7184637999999999</v>
      </c>
      <c r="AI75" s="3">
        <v>3.6875746</v>
      </c>
      <c r="AJ75" s="3">
        <v>3.6588023000000001</v>
      </c>
      <c r="AK75" s="3">
        <v>3.6320424999999998</v>
      </c>
      <c r="AL75" s="3">
        <v>3.6071911000000001</v>
      </c>
      <c r="AM75" s="3">
        <v>3.5841446000000001</v>
      </c>
      <c r="AN75" s="3">
        <v>3.5627989000000002</v>
      </c>
      <c r="AO75" s="3">
        <v>3.5430499000000002</v>
      </c>
      <c r="AP75" s="3">
        <v>3.5247939000000001</v>
      </c>
      <c r="AQ75" s="3">
        <v>3.507927</v>
      </c>
      <c r="AR75" s="3">
        <v>3.4923449</v>
      </c>
      <c r="AS75" s="3">
        <v>3.4779442</v>
      </c>
      <c r="AT75" s="3">
        <v>3.4646324000000002</v>
      </c>
      <c r="AU75" s="3">
        <v>3.4523638999999999</v>
      </c>
      <c r="AV75" s="3">
        <v>3.4411054000000001</v>
      </c>
      <c r="AW75" s="3">
        <v>3.4308230000000002</v>
      </c>
      <c r="AX75" s="3">
        <v>3.4214829</v>
      </c>
      <c r="AY75" s="3">
        <v>3.4130514999999999</v>
      </c>
      <c r="AZ75" s="3">
        <v>3.4054951</v>
      </c>
      <c r="BA75" s="3">
        <v>3.3987797999999998</v>
      </c>
      <c r="BB75" s="3">
        <v>3.3928721999999998</v>
      </c>
      <c r="BC75" s="3">
        <v>3.3877383999999999</v>
      </c>
      <c r="BD75" s="3">
        <v>3.3833446</v>
      </c>
      <c r="BE75" s="3">
        <v>3.3796572999999999</v>
      </c>
      <c r="BF75" s="3">
        <v>3.3766452</v>
      </c>
      <c r="BG75" s="3">
        <v>3.3742885999999999</v>
      </c>
      <c r="BH75" s="3">
        <v>3.3725717</v>
      </c>
      <c r="BI75" s="3">
        <v>3.3714786000000001</v>
      </c>
      <c r="BJ75" s="3">
        <v>3.3709932999999999</v>
      </c>
      <c r="BK75" s="3">
        <v>3.3710998999999999</v>
      </c>
      <c r="BL75" s="3">
        <v>3.3717825000000001</v>
      </c>
      <c r="BM75" s="3">
        <v>3.3730251999999998</v>
      </c>
      <c r="BN75" s="3">
        <v>3.3748121000000002</v>
      </c>
      <c r="BO75" s="3">
        <v>3.3771271</v>
      </c>
      <c r="BP75" s="3">
        <v>3.3799545000000002</v>
      </c>
      <c r="BQ75" s="3">
        <v>3.3832781999999999</v>
      </c>
      <c r="BR75" s="3">
        <v>3.4124666000000001</v>
      </c>
      <c r="BS75" s="3">
        <v>3.4537561000000001</v>
      </c>
    </row>
    <row r="76" spans="1:71" x14ac:dyDescent="0.35">
      <c r="A76" s="6">
        <f t="shared" si="71"/>
        <v>45385</v>
      </c>
      <c r="B76">
        <f t="shared" si="72"/>
        <v>4</v>
      </c>
      <c r="C76">
        <f t="shared" si="73"/>
        <v>2024</v>
      </c>
      <c r="D76">
        <f t="shared" si="74"/>
        <v>202404</v>
      </c>
      <c r="E76">
        <f t="shared" si="75"/>
        <v>2</v>
      </c>
      <c r="F76">
        <f t="shared" si="76"/>
        <v>202402</v>
      </c>
      <c r="G76" t="s">
        <v>209</v>
      </c>
      <c r="H76" s="2">
        <v>5.25</v>
      </c>
      <c r="I76" s="2">
        <v>5.1951999999999998</v>
      </c>
      <c r="J76" s="3">
        <v>5.1797674000000002</v>
      </c>
      <c r="K76" s="3">
        <v>5.1131197000000004</v>
      </c>
      <c r="L76" s="3">
        <v>5.0320872000000003</v>
      </c>
      <c r="M76" s="3">
        <v>4.9409016000000001</v>
      </c>
      <c r="N76" s="3">
        <v>4.8471023999999998</v>
      </c>
      <c r="O76" s="3">
        <v>4.7546426999999998</v>
      </c>
      <c r="P76" s="3">
        <v>4.6646348</v>
      </c>
      <c r="Q76" s="3">
        <v>4.5782068000000002</v>
      </c>
      <c r="R76" s="3">
        <v>4.4967781999999996</v>
      </c>
      <c r="S76" s="3">
        <v>4.4211358000000001</v>
      </c>
      <c r="T76" s="3">
        <v>4.3513992000000004</v>
      </c>
      <c r="U76" s="3">
        <v>4.2873410999999999</v>
      </c>
      <c r="V76" s="3">
        <v>4.2279175999999996</v>
      </c>
      <c r="W76" s="3">
        <v>4.1723537000000004</v>
      </c>
      <c r="X76" s="3">
        <v>4.1200009</v>
      </c>
      <c r="Y76" s="3">
        <v>4.0702083</v>
      </c>
      <c r="Z76" s="3">
        <v>4.0223253999999997</v>
      </c>
      <c r="AA76" s="3">
        <v>3.9757031</v>
      </c>
      <c r="AB76" s="3">
        <v>3.9298373999999998</v>
      </c>
      <c r="AC76" s="3">
        <v>3.8848387</v>
      </c>
      <c r="AD76" s="3">
        <v>3.8409808999999999</v>
      </c>
      <c r="AE76" s="3">
        <v>3.7985361000000002</v>
      </c>
      <c r="AF76" s="3">
        <v>3.7577764</v>
      </c>
      <c r="AG76" s="3">
        <v>3.7189755999999998</v>
      </c>
      <c r="AH76" s="3">
        <v>3.6823697000000002</v>
      </c>
      <c r="AI76" s="3">
        <v>3.6479792</v>
      </c>
      <c r="AJ76" s="3">
        <v>3.6157465000000002</v>
      </c>
      <c r="AK76" s="3">
        <v>3.5856124999999999</v>
      </c>
      <c r="AL76" s="3">
        <v>3.5575182999999999</v>
      </c>
      <c r="AM76" s="3">
        <v>3.531406</v>
      </c>
      <c r="AN76" s="3">
        <v>3.5072165000000002</v>
      </c>
      <c r="AO76" s="3">
        <v>3.4848911</v>
      </c>
      <c r="AP76" s="3">
        <v>3.4643714999999999</v>
      </c>
      <c r="AQ76" s="3">
        <v>3.4455990000000001</v>
      </c>
      <c r="AR76" s="3">
        <v>3.4285146000000002</v>
      </c>
      <c r="AS76" s="3">
        <v>3.4130603000000002</v>
      </c>
      <c r="AT76" s="3">
        <v>3.3991739999999999</v>
      </c>
      <c r="AU76" s="3">
        <v>3.3867786999999998</v>
      </c>
      <c r="AV76" s="3">
        <v>3.3757929999999998</v>
      </c>
      <c r="AW76" s="3">
        <v>3.3661352999999998</v>
      </c>
      <c r="AX76" s="3">
        <v>3.3577238999999999</v>
      </c>
      <c r="AY76" s="3">
        <v>3.3504775000000002</v>
      </c>
      <c r="AZ76" s="3">
        <v>3.3443143000000002</v>
      </c>
      <c r="BA76" s="3">
        <v>3.3391527999999999</v>
      </c>
      <c r="BB76" s="3">
        <v>3.3349114000000002</v>
      </c>
      <c r="BC76" s="3">
        <v>3.3315087000000001</v>
      </c>
      <c r="BD76" s="3">
        <v>3.3288628</v>
      </c>
      <c r="BE76" s="3">
        <v>3.3268925</v>
      </c>
      <c r="BF76" s="3">
        <v>3.3255251000000001</v>
      </c>
      <c r="BG76" s="3">
        <v>3.3247279999999999</v>
      </c>
      <c r="BH76" s="3">
        <v>3.3244799</v>
      </c>
      <c r="BI76" s="3">
        <v>3.3247591999999999</v>
      </c>
      <c r="BJ76" s="3">
        <v>3.3255442999999998</v>
      </c>
      <c r="BK76" s="3">
        <v>3.3268138999999999</v>
      </c>
      <c r="BL76" s="3">
        <v>3.3285463000000002</v>
      </c>
      <c r="BM76" s="3">
        <v>3.3307202</v>
      </c>
      <c r="BN76" s="3">
        <v>3.3333138999999998</v>
      </c>
      <c r="BO76" s="3">
        <v>3.3363060999999998</v>
      </c>
      <c r="BP76" s="3">
        <v>3.3396751</v>
      </c>
      <c r="BQ76" s="3">
        <v>3.3433996000000001</v>
      </c>
      <c r="BR76" s="3">
        <v>3.3723497999999998</v>
      </c>
      <c r="BS76" s="3">
        <v>3.4107634999999998</v>
      </c>
    </row>
    <row r="77" spans="1:71" x14ac:dyDescent="0.35">
      <c r="A77" s="6">
        <f t="shared" si="71"/>
        <v>45386</v>
      </c>
      <c r="B77">
        <f t="shared" si="72"/>
        <v>4</v>
      </c>
      <c r="C77">
        <f t="shared" si="73"/>
        <v>2024</v>
      </c>
      <c r="D77">
        <f t="shared" si="74"/>
        <v>202404</v>
      </c>
      <c r="E77">
        <f t="shared" si="75"/>
        <v>2</v>
      </c>
      <c r="F77">
        <f t="shared" si="76"/>
        <v>202402</v>
      </c>
      <c r="G77" t="s">
        <v>210</v>
      </c>
      <c r="H77" s="2">
        <v>5.25</v>
      </c>
      <c r="I77" s="2">
        <v>5.1948999999999996</v>
      </c>
      <c r="J77" s="3">
        <v>5.1769496000000004</v>
      </c>
      <c r="K77" s="3">
        <v>5.1016997000000002</v>
      </c>
      <c r="L77" s="3">
        <v>5.0170889000000001</v>
      </c>
      <c r="M77" s="3">
        <v>4.9251208000000002</v>
      </c>
      <c r="N77" s="3">
        <v>4.8317243000000003</v>
      </c>
      <c r="O77" s="3">
        <v>4.7403009999999997</v>
      </c>
      <c r="P77" s="3">
        <v>4.6518337000000001</v>
      </c>
      <c r="Q77" s="3">
        <v>4.5674583000000002</v>
      </c>
      <c r="R77" s="3">
        <v>4.4884180000000002</v>
      </c>
      <c r="S77" s="3">
        <v>4.415362</v>
      </c>
      <c r="T77" s="3">
        <v>4.3478637000000004</v>
      </c>
      <c r="U77" s="3">
        <v>4.2852139999999999</v>
      </c>
      <c r="V77" s="3">
        <v>4.2255322</v>
      </c>
      <c r="W77" s="3">
        <v>4.1681248000000002</v>
      </c>
      <c r="X77" s="3">
        <v>4.1126996</v>
      </c>
      <c r="Y77" s="3">
        <v>4.0589627000000004</v>
      </c>
      <c r="Z77" s="3">
        <v>4.0066198999999996</v>
      </c>
      <c r="AA77" s="3">
        <v>3.9553791999999999</v>
      </c>
      <c r="AB77" s="3">
        <v>3.9050367000000001</v>
      </c>
      <c r="AC77" s="3">
        <v>3.8558507999999998</v>
      </c>
      <c r="AD77" s="3">
        <v>3.8082292</v>
      </c>
      <c r="AE77" s="3">
        <v>3.762578</v>
      </c>
      <c r="AF77" s="3">
        <v>3.7193033</v>
      </c>
      <c r="AG77" s="3">
        <v>3.6788126000000001</v>
      </c>
      <c r="AH77" s="3">
        <v>3.6414431999999999</v>
      </c>
      <c r="AI77" s="3">
        <v>3.6071602999999999</v>
      </c>
      <c r="AJ77" s="3">
        <v>3.5758060999999999</v>
      </c>
      <c r="AK77" s="3">
        <v>3.5472212000000001</v>
      </c>
      <c r="AL77" s="3">
        <v>3.5212463999999999</v>
      </c>
      <c r="AM77" s="3">
        <v>3.4977233999999999</v>
      </c>
      <c r="AN77" s="3">
        <v>3.4764930999999999</v>
      </c>
      <c r="AO77" s="3">
        <v>3.4573963000000001</v>
      </c>
      <c r="AP77" s="3">
        <v>3.4402745000000001</v>
      </c>
      <c r="AQ77" s="3">
        <v>3.4249687999999998</v>
      </c>
      <c r="AR77" s="3">
        <v>3.4113199000000001</v>
      </c>
      <c r="AS77" s="3">
        <v>3.3991693999999999</v>
      </c>
      <c r="AT77" s="3">
        <v>3.3883705000000002</v>
      </c>
      <c r="AU77" s="3">
        <v>3.3788307999999998</v>
      </c>
      <c r="AV77" s="3">
        <v>3.3704733999999998</v>
      </c>
      <c r="AW77" s="3">
        <v>3.3632209</v>
      </c>
      <c r="AX77" s="3">
        <v>3.3569960000000001</v>
      </c>
      <c r="AY77" s="3">
        <v>3.3517215999999999</v>
      </c>
      <c r="AZ77" s="3">
        <v>3.3473204000000001</v>
      </c>
      <c r="BA77" s="3">
        <v>3.3437150999999998</v>
      </c>
      <c r="BB77" s="3">
        <v>3.3408285000000002</v>
      </c>
      <c r="BC77" s="3">
        <v>3.3385834999999999</v>
      </c>
      <c r="BD77" s="3">
        <v>3.3369027</v>
      </c>
      <c r="BE77" s="3">
        <v>3.3357089000000002</v>
      </c>
      <c r="BF77" s="3">
        <v>3.3349356000000001</v>
      </c>
      <c r="BG77" s="3">
        <v>3.3345642999999998</v>
      </c>
      <c r="BH77" s="3">
        <v>3.3345893000000002</v>
      </c>
      <c r="BI77" s="3">
        <v>3.3350051000000001</v>
      </c>
      <c r="BJ77" s="3">
        <v>3.3358061999999999</v>
      </c>
      <c r="BK77" s="3">
        <v>3.3369868999999999</v>
      </c>
      <c r="BL77" s="3">
        <v>3.3385417999999998</v>
      </c>
      <c r="BM77" s="3">
        <v>3.3404653999999998</v>
      </c>
      <c r="BN77" s="3">
        <v>3.3427520999999998</v>
      </c>
      <c r="BO77" s="3">
        <v>3.3453962000000002</v>
      </c>
      <c r="BP77" s="3">
        <v>3.3483923999999998</v>
      </c>
      <c r="BQ77" s="3">
        <v>3.3517351</v>
      </c>
      <c r="BR77" s="3">
        <v>3.3785759</v>
      </c>
      <c r="BS77" s="3">
        <v>3.4153988000000002</v>
      </c>
    </row>
    <row r="78" spans="1:71" x14ac:dyDescent="0.35">
      <c r="A78" s="6">
        <f t="shared" si="71"/>
        <v>45387</v>
      </c>
      <c r="B78">
        <f t="shared" si="72"/>
        <v>4</v>
      </c>
      <c r="C78">
        <f t="shared" si="73"/>
        <v>2024</v>
      </c>
      <c r="D78">
        <f t="shared" si="74"/>
        <v>202404</v>
      </c>
      <c r="E78">
        <f t="shared" si="75"/>
        <v>2</v>
      </c>
      <c r="F78">
        <f t="shared" si="76"/>
        <v>202402</v>
      </c>
      <c r="G78" t="s">
        <v>211</v>
      </c>
      <c r="H78" s="2">
        <v>5.25</v>
      </c>
      <c r="I78" s="2">
        <v>5.1948999999999996</v>
      </c>
      <c r="J78" s="3">
        <v>5.1743506999999997</v>
      </c>
      <c r="K78" s="3">
        <v>5.0990625999999999</v>
      </c>
      <c r="L78" s="3">
        <v>5.0156410999999999</v>
      </c>
      <c r="M78" s="3">
        <v>4.9256210999999999</v>
      </c>
      <c r="N78" s="3">
        <v>4.8342136</v>
      </c>
      <c r="O78" s="3">
        <v>4.7444207</v>
      </c>
      <c r="P78" s="3">
        <v>4.6568398999999996</v>
      </c>
      <c r="Q78" s="3">
        <v>4.5722357999999996</v>
      </c>
      <c r="R78" s="3">
        <v>4.4916264000000004</v>
      </c>
      <c r="S78" s="3">
        <v>4.4156848999999996</v>
      </c>
      <c r="T78" s="3">
        <v>4.3445416000000003</v>
      </c>
      <c r="U78" s="3">
        <v>4.2781786000000004</v>
      </c>
      <c r="V78" s="3">
        <v>4.2157358</v>
      </c>
      <c r="W78" s="3">
        <v>4.1567632000000003</v>
      </c>
      <c r="X78" s="3">
        <v>4.1010152</v>
      </c>
      <c r="Y78" s="3">
        <v>4.0482437999999998</v>
      </c>
      <c r="Z78" s="3">
        <v>3.9982015</v>
      </c>
      <c r="AA78" s="3">
        <v>3.9506424999999998</v>
      </c>
      <c r="AB78" s="3">
        <v>3.9053600999999998</v>
      </c>
      <c r="AC78" s="3">
        <v>3.862339</v>
      </c>
      <c r="AD78" s="3">
        <v>3.8216207</v>
      </c>
      <c r="AE78" s="3">
        <v>3.783245</v>
      </c>
      <c r="AF78" s="3">
        <v>3.747252</v>
      </c>
      <c r="AG78" s="3">
        <v>3.7136828999999998</v>
      </c>
      <c r="AH78" s="3">
        <v>3.6825559999999999</v>
      </c>
      <c r="AI78" s="3">
        <v>3.6537839000000001</v>
      </c>
      <c r="AJ78" s="3">
        <v>3.6272481000000001</v>
      </c>
      <c r="AK78" s="3">
        <v>3.6028289</v>
      </c>
      <c r="AL78" s="3">
        <v>3.5804068</v>
      </c>
      <c r="AM78" s="3">
        <v>3.5598630999999998</v>
      </c>
      <c r="AN78" s="3">
        <v>3.5410783000000001</v>
      </c>
      <c r="AO78" s="3">
        <v>3.5239327999999999</v>
      </c>
      <c r="AP78" s="3">
        <v>3.5083079000000001</v>
      </c>
      <c r="AQ78" s="3">
        <v>3.494084</v>
      </c>
      <c r="AR78" s="3">
        <v>3.4811418000000001</v>
      </c>
      <c r="AS78" s="3">
        <v>3.4693622</v>
      </c>
      <c r="AT78" s="3">
        <v>3.4586378999999998</v>
      </c>
      <c r="AU78" s="3">
        <v>3.4489092000000001</v>
      </c>
      <c r="AV78" s="3">
        <v>3.4401290000000002</v>
      </c>
      <c r="AW78" s="3">
        <v>3.4322496</v>
      </c>
      <c r="AX78" s="3">
        <v>3.4252234000000001</v>
      </c>
      <c r="AY78" s="3">
        <v>3.4190032000000001</v>
      </c>
      <c r="AZ78" s="3">
        <v>3.4135414000000002</v>
      </c>
      <c r="BA78" s="3">
        <v>3.4087904</v>
      </c>
      <c r="BB78" s="3">
        <v>3.4047029000000002</v>
      </c>
      <c r="BC78" s="3">
        <v>3.4012313000000001</v>
      </c>
      <c r="BD78" s="3">
        <v>3.3983281000000001</v>
      </c>
      <c r="BE78" s="3">
        <v>3.3959459000000001</v>
      </c>
      <c r="BF78" s="3">
        <v>3.3940429999999999</v>
      </c>
      <c r="BG78" s="3">
        <v>3.3926034999999999</v>
      </c>
      <c r="BH78" s="3">
        <v>3.3916186000000001</v>
      </c>
      <c r="BI78" s="3">
        <v>3.3910794000000002</v>
      </c>
      <c r="BJ78" s="3">
        <v>3.3909769999999999</v>
      </c>
      <c r="BK78" s="3">
        <v>3.3913028000000001</v>
      </c>
      <c r="BL78" s="3">
        <v>3.3920477</v>
      </c>
      <c r="BM78" s="3">
        <v>3.3932031</v>
      </c>
      <c r="BN78" s="3">
        <v>3.3947600000000002</v>
      </c>
      <c r="BO78" s="3">
        <v>3.3967095999999999</v>
      </c>
      <c r="BP78" s="3">
        <v>3.3990431000000001</v>
      </c>
      <c r="BQ78" s="3">
        <v>3.4017517000000002</v>
      </c>
      <c r="BR78" s="3">
        <v>3.4253239</v>
      </c>
      <c r="BS78" s="3">
        <v>3.4598016999999999</v>
      </c>
    </row>
    <row r="79" spans="1:71" x14ac:dyDescent="0.35">
      <c r="A79" s="6">
        <f t="shared" ref="A79:A142" si="77">A74+7</f>
        <v>45390</v>
      </c>
      <c r="B79">
        <f t="shared" si="72"/>
        <v>4</v>
      </c>
      <c r="C79">
        <f t="shared" si="73"/>
        <v>2024</v>
      </c>
      <c r="D79">
        <f t="shared" si="74"/>
        <v>202404</v>
      </c>
      <c r="E79">
        <f t="shared" si="75"/>
        <v>2</v>
      </c>
      <c r="F79">
        <f t="shared" si="76"/>
        <v>202402</v>
      </c>
      <c r="G79" t="s">
        <v>212</v>
      </c>
      <c r="H79" s="2">
        <v>5.25</v>
      </c>
      <c r="I79" s="2">
        <v>5.1948999999999996</v>
      </c>
      <c r="J79" s="3">
        <v>5.1730521999999999</v>
      </c>
      <c r="K79" s="3">
        <v>5.0963887999999997</v>
      </c>
      <c r="L79" s="3">
        <v>5.0139902999999997</v>
      </c>
      <c r="M79" s="3">
        <v>4.927098</v>
      </c>
      <c r="N79" s="3">
        <v>4.8391915000000001</v>
      </c>
      <c r="O79" s="3">
        <v>4.7523230999999999</v>
      </c>
      <c r="P79" s="3">
        <v>4.6673225</v>
      </c>
      <c r="Q79" s="3">
        <v>4.5856252</v>
      </c>
      <c r="R79" s="3">
        <v>4.5090045999999999</v>
      </c>
      <c r="S79" s="3">
        <v>4.4382539999999997</v>
      </c>
      <c r="T79" s="3">
        <v>4.3734105999999997</v>
      </c>
      <c r="U79" s="3">
        <v>4.3140390999999996</v>
      </c>
      <c r="V79" s="3">
        <v>4.2587921</v>
      </c>
      <c r="W79" s="3">
        <v>4.2069900999999996</v>
      </c>
      <c r="X79" s="3">
        <v>4.1582036999999996</v>
      </c>
      <c r="Y79" s="3">
        <v>4.1120019000000001</v>
      </c>
      <c r="Z79" s="3">
        <v>4.0679533000000001</v>
      </c>
      <c r="AA79" s="3">
        <v>4.0256284999999998</v>
      </c>
      <c r="AB79" s="3">
        <v>3.9846794999999999</v>
      </c>
      <c r="AC79" s="3">
        <v>3.9451079999999998</v>
      </c>
      <c r="AD79" s="3">
        <v>3.9070087999999998</v>
      </c>
      <c r="AE79" s="3">
        <v>3.8704752999999998</v>
      </c>
      <c r="AF79" s="3">
        <v>3.8356012000000002</v>
      </c>
      <c r="AG79" s="3">
        <v>3.8024810000000002</v>
      </c>
      <c r="AH79" s="3">
        <v>3.7711815999999998</v>
      </c>
      <c r="AI79" s="3">
        <v>3.7416621999999999</v>
      </c>
      <c r="AJ79" s="3">
        <v>3.7138564000000001</v>
      </c>
      <c r="AK79" s="3">
        <v>3.6876969000000002</v>
      </c>
      <c r="AL79" s="3">
        <v>3.6631160999999999</v>
      </c>
      <c r="AM79" s="3">
        <v>3.6400475999999999</v>
      </c>
      <c r="AN79" s="3">
        <v>3.6184238999999998</v>
      </c>
      <c r="AO79" s="3">
        <v>3.5981776999999999</v>
      </c>
      <c r="AP79" s="3">
        <v>3.5792423000000002</v>
      </c>
      <c r="AQ79" s="3">
        <v>3.5615503999999998</v>
      </c>
      <c r="AR79" s="3">
        <v>3.5450347999999998</v>
      </c>
      <c r="AS79" s="3">
        <v>3.5296284999999998</v>
      </c>
      <c r="AT79" s="3">
        <v>3.5152706</v>
      </c>
      <c r="AU79" s="3">
        <v>3.5019243000000002</v>
      </c>
      <c r="AV79" s="3">
        <v>3.4895597999999999</v>
      </c>
      <c r="AW79" s="3">
        <v>3.4781464</v>
      </c>
      <c r="AX79" s="3">
        <v>3.4676539000000002</v>
      </c>
      <c r="AY79" s="3">
        <v>3.4580519999999999</v>
      </c>
      <c r="AZ79" s="3">
        <v>3.4493105000000002</v>
      </c>
      <c r="BA79" s="3">
        <v>3.4413988</v>
      </c>
      <c r="BB79" s="3">
        <v>3.4342869</v>
      </c>
      <c r="BC79" s="3">
        <v>3.4279443000000001</v>
      </c>
      <c r="BD79" s="3">
        <v>3.4223406999999999</v>
      </c>
      <c r="BE79" s="3">
        <v>3.417446</v>
      </c>
      <c r="BF79" s="3">
        <v>3.4132316</v>
      </c>
      <c r="BG79" s="3">
        <v>3.4096799</v>
      </c>
      <c r="BH79" s="3">
        <v>3.4067769000000001</v>
      </c>
      <c r="BI79" s="3">
        <v>3.4045082999999998</v>
      </c>
      <c r="BJ79" s="3">
        <v>3.4028602000000001</v>
      </c>
      <c r="BK79" s="3">
        <v>3.4018183</v>
      </c>
      <c r="BL79" s="3">
        <v>3.4013686999999999</v>
      </c>
      <c r="BM79" s="3">
        <v>3.4014970999999998</v>
      </c>
      <c r="BN79" s="3">
        <v>3.4021895</v>
      </c>
      <c r="BO79" s="3">
        <v>3.4034317999999999</v>
      </c>
      <c r="BP79" s="3">
        <v>3.4052099</v>
      </c>
      <c r="BQ79" s="3">
        <v>3.4075096</v>
      </c>
      <c r="BR79" s="3">
        <v>3.4312480000000001</v>
      </c>
      <c r="BS79" s="3">
        <v>3.4688325</v>
      </c>
    </row>
    <row r="80" spans="1:71" x14ac:dyDescent="0.35">
      <c r="A80" s="6">
        <f t="shared" si="77"/>
        <v>45391</v>
      </c>
      <c r="B80">
        <f t="shared" si="72"/>
        <v>4</v>
      </c>
      <c r="C80">
        <f t="shared" si="73"/>
        <v>2024</v>
      </c>
      <c r="D80">
        <f t="shared" si="74"/>
        <v>202404</v>
      </c>
      <c r="E80">
        <f t="shared" si="75"/>
        <v>2</v>
      </c>
      <c r="F80">
        <f t="shared" si="76"/>
        <v>202402</v>
      </c>
      <c r="G80" t="s">
        <v>213</v>
      </c>
      <c r="H80" s="2">
        <v>5.25</v>
      </c>
      <c r="I80" s="2">
        <v>5.1976000000000004</v>
      </c>
      <c r="J80" s="3">
        <v>5.1735724999999997</v>
      </c>
      <c r="K80" s="3">
        <v>5.0952865000000003</v>
      </c>
      <c r="L80" s="3">
        <v>5.0105427000000002</v>
      </c>
      <c r="M80" s="3">
        <v>4.9211556999999999</v>
      </c>
      <c r="N80" s="3">
        <v>4.8305116999999997</v>
      </c>
      <c r="O80" s="3">
        <v>4.7405381000000002</v>
      </c>
      <c r="P80" s="3">
        <v>4.6521591999999998</v>
      </c>
      <c r="Q80" s="3">
        <v>4.5669255</v>
      </c>
      <c r="R80" s="3">
        <v>4.4867711000000003</v>
      </c>
      <c r="S80" s="3">
        <v>4.4127682999999998</v>
      </c>
      <c r="T80" s="3">
        <v>4.3449945999999997</v>
      </c>
      <c r="U80" s="3">
        <v>4.2831505999999999</v>
      </c>
      <c r="V80" s="3">
        <v>4.2255349999999998</v>
      </c>
      <c r="W80" s="3">
        <v>4.1713594000000001</v>
      </c>
      <c r="X80" s="3">
        <v>4.1201866000000003</v>
      </c>
      <c r="Y80" s="3">
        <v>4.0715770999999998</v>
      </c>
      <c r="Z80" s="3">
        <v>4.0250919999999999</v>
      </c>
      <c r="AA80" s="3">
        <v>3.9802938000000001</v>
      </c>
      <c r="AB80" s="3">
        <v>3.9368310000000002</v>
      </c>
      <c r="AC80" s="3">
        <v>3.8947212000000002</v>
      </c>
      <c r="AD80" s="3">
        <v>3.8540801</v>
      </c>
      <c r="AE80" s="3">
        <v>3.8150219999999999</v>
      </c>
      <c r="AF80" s="3">
        <v>3.7776613000000001</v>
      </c>
      <c r="AG80" s="3">
        <v>3.7421137</v>
      </c>
      <c r="AH80" s="3">
        <v>3.7084644</v>
      </c>
      <c r="AI80" s="3">
        <v>3.6766830000000001</v>
      </c>
      <c r="AJ80" s="3">
        <v>3.6467111000000001</v>
      </c>
      <c r="AK80" s="3">
        <v>3.6184892</v>
      </c>
      <c r="AL80" s="3">
        <v>3.5919577</v>
      </c>
      <c r="AM80" s="3">
        <v>3.5670582999999998</v>
      </c>
      <c r="AN80" s="3">
        <v>3.5437313000000001</v>
      </c>
      <c r="AO80" s="3">
        <v>3.5219174999999998</v>
      </c>
      <c r="AP80" s="3">
        <v>3.5015581999999998</v>
      </c>
      <c r="AQ80" s="3">
        <v>3.4825940000000002</v>
      </c>
      <c r="AR80" s="3">
        <v>3.4649654999999999</v>
      </c>
      <c r="AS80" s="3">
        <v>3.4486140000000001</v>
      </c>
      <c r="AT80" s="3">
        <v>3.4334831000000001</v>
      </c>
      <c r="AU80" s="3">
        <v>3.4195288000000001</v>
      </c>
      <c r="AV80" s="3">
        <v>3.4067104000000001</v>
      </c>
      <c r="AW80" s="3">
        <v>3.3949867999999999</v>
      </c>
      <c r="AX80" s="3">
        <v>3.3843168000000001</v>
      </c>
      <c r="AY80" s="3">
        <v>3.3746597999999999</v>
      </c>
      <c r="AZ80" s="3">
        <v>3.3659747000000002</v>
      </c>
      <c r="BA80" s="3">
        <v>3.3582204</v>
      </c>
      <c r="BB80" s="3">
        <v>3.3513560999999998</v>
      </c>
      <c r="BC80" s="3">
        <v>3.3453409000000001</v>
      </c>
      <c r="BD80" s="3">
        <v>3.3401336000000001</v>
      </c>
      <c r="BE80" s="3">
        <v>3.3356935000000001</v>
      </c>
      <c r="BF80" s="3">
        <v>3.331982</v>
      </c>
      <c r="BG80" s="3">
        <v>3.3289729000000001</v>
      </c>
      <c r="BH80" s="3">
        <v>3.3266437</v>
      </c>
      <c r="BI80" s="3">
        <v>3.3249719999999998</v>
      </c>
      <c r="BJ80" s="3">
        <v>3.3239350999999999</v>
      </c>
      <c r="BK80" s="3">
        <v>3.3235106999999999</v>
      </c>
      <c r="BL80" s="3">
        <v>3.3236762</v>
      </c>
      <c r="BM80" s="3">
        <v>3.3244091</v>
      </c>
      <c r="BN80" s="3">
        <v>3.3256869999999998</v>
      </c>
      <c r="BO80" s="3">
        <v>3.3274873</v>
      </c>
      <c r="BP80" s="3">
        <v>3.3297875000000001</v>
      </c>
      <c r="BQ80" s="3">
        <v>3.3325651999999999</v>
      </c>
      <c r="BR80" s="3">
        <v>3.3580988999999999</v>
      </c>
      <c r="BS80" s="3">
        <v>3.3957660000000001</v>
      </c>
    </row>
    <row r="81" spans="1:71" x14ac:dyDescent="0.35">
      <c r="A81" s="6">
        <f t="shared" si="77"/>
        <v>45392</v>
      </c>
      <c r="B81">
        <f t="shared" si="72"/>
        <v>4</v>
      </c>
      <c r="C81">
        <f t="shared" si="73"/>
        <v>2024</v>
      </c>
      <c r="D81">
        <f t="shared" si="74"/>
        <v>202404</v>
      </c>
      <c r="E81">
        <f t="shared" si="75"/>
        <v>2</v>
      </c>
      <c r="F81">
        <f t="shared" si="76"/>
        <v>202402</v>
      </c>
      <c r="G81" t="s">
        <v>214</v>
      </c>
      <c r="H81" s="2">
        <v>5.25</v>
      </c>
      <c r="I81" s="2">
        <v>5.1978</v>
      </c>
      <c r="J81" s="3">
        <v>5.1829637999999996</v>
      </c>
      <c r="K81" s="3">
        <v>5.1267104000000003</v>
      </c>
      <c r="L81" s="3">
        <v>5.0605244000000003</v>
      </c>
      <c r="M81" s="3">
        <v>4.9882833</v>
      </c>
      <c r="N81" s="3">
        <v>4.9138514000000004</v>
      </c>
      <c r="O81" s="3">
        <v>4.8392415</v>
      </c>
      <c r="P81" s="3">
        <v>4.7656669999999997</v>
      </c>
      <c r="Q81" s="3">
        <v>4.6950966000000003</v>
      </c>
      <c r="R81" s="3">
        <v>4.6296869999999997</v>
      </c>
      <c r="S81" s="3">
        <v>4.5703909999999999</v>
      </c>
      <c r="T81" s="3">
        <v>4.5169310999999999</v>
      </c>
      <c r="U81" s="3">
        <v>4.4683501999999997</v>
      </c>
      <c r="V81" s="3">
        <v>4.4221687999999997</v>
      </c>
      <c r="W81" s="3">
        <v>4.3774853</v>
      </c>
      <c r="X81" s="3">
        <v>4.3339173000000004</v>
      </c>
      <c r="Y81" s="3">
        <v>4.2910807999999996</v>
      </c>
      <c r="Z81" s="3">
        <v>4.2485920000000004</v>
      </c>
      <c r="AA81" s="3">
        <v>4.2060684999999998</v>
      </c>
      <c r="AB81" s="3">
        <v>4.1632449999999999</v>
      </c>
      <c r="AC81" s="3">
        <v>4.1203548000000003</v>
      </c>
      <c r="AD81" s="3">
        <v>4.0777634000000003</v>
      </c>
      <c r="AE81" s="3">
        <v>4.0358349999999996</v>
      </c>
      <c r="AF81" s="3">
        <v>3.9949336999999998</v>
      </c>
      <c r="AG81" s="3">
        <v>3.9554252000000001</v>
      </c>
      <c r="AH81" s="3">
        <v>3.9176095000000002</v>
      </c>
      <c r="AI81" s="3">
        <v>3.8815301999999998</v>
      </c>
      <c r="AJ81" s="3">
        <v>3.8471681000000002</v>
      </c>
      <c r="AK81" s="3">
        <v>3.8145028999999999</v>
      </c>
      <c r="AL81" s="3">
        <v>3.7835141000000001</v>
      </c>
      <c r="AM81" s="3">
        <v>3.7541825000000002</v>
      </c>
      <c r="AN81" s="3">
        <v>3.7264876</v>
      </c>
      <c r="AO81" s="3">
        <v>3.7004092000000002</v>
      </c>
      <c r="AP81" s="3">
        <v>3.6759276999999999</v>
      </c>
      <c r="AQ81" s="3">
        <v>3.6530230000000001</v>
      </c>
      <c r="AR81" s="3">
        <v>3.6316746000000002</v>
      </c>
      <c r="AS81" s="3">
        <v>3.6118630999999999</v>
      </c>
      <c r="AT81" s="3">
        <v>3.5935624000000002</v>
      </c>
      <c r="AU81" s="3">
        <v>3.5767177999999999</v>
      </c>
      <c r="AV81" s="3">
        <v>3.5612664000000001</v>
      </c>
      <c r="AW81" s="3">
        <v>3.547145</v>
      </c>
      <c r="AX81" s="3">
        <v>3.5342902</v>
      </c>
      <c r="AY81" s="3">
        <v>3.5226391000000001</v>
      </c>
      <c r="AZ81" s="3">
        <v>3.5121283000000001</v>
      </c>
      <c r="BA81" s="3">
        <v>3.5026947000000002</v>
      </c>
      <c r="BB81" s="3">
        <v>3.4942752000000001</v>
      </c>
      <c r="BC81" s="3">
        <v>3.4868066</v>
      </c>
      <c r="BD81" s="3">
        <v>3.4802255999999998</v>
      </c>
      <c r="BE81" s="3">
        <v>3.4744690999999999</v>
      </c>
      <c r="BF81" s="3">
        <v>3.4694794</v>
      </c>
      <c r="BG81" s="3">
        <v>3.4652226000000002</v>
      </c>
      <c r="BH81" s="3">
        <v>3.4616714000000002</v>
      </c>
      <c r="BI81" s="3">
        <v>3.4587987999999998</v>
      </c>
      <c r="BJ81" s="3">
        <v>3.4565771999999999</v>
      </c>
      <c r="BK81" s="3">
        <v>3.4549797</v>
      </c>
      <c r="BL81" s="3">
        <v>3.4539789999999999</v>
      </c>
      <c r="BM81" s="3">
        <v>3.4535477000000001</v>
      </c>
      <c r="BN81" s="3">
        <v>3.4536587000000001</v>
      </c>
      <c r="BO81" s="3">
        <v>3.4542847000000001</v>
      </c>
      <c r="BP81" s="3">
        <v>3.4553984999999998</v>
      </c>
      <c r="BQ81" s="3">
        <v>3.4569728999999998</v>
      </c>
      <c r="BR81" s="3">
        <v>3.4749519000000002</v>
      </c>
      <c r="BS81" s="3">
        <v>3.5049891</v>
      </c>
    </row>
    <row r="82" spans="1:71" x14ac:dyDescent="0.35">
      <c r="A82" s="6">
        <f t="shared" si="77"/>
        <v>45393</v>
      </c>
      <c r="B82">
        <f t="shared" si="72"/>
        <v>4</v>
      </c>
      <c r="C82">
        <f t="shared" si="73"/>
        <v>2024</v>
      </c>
      <c r="D82">
        <f t="shared" si="74"/>
        <v>202404</v>
      </c>
      <c r="E82">
        <f t="shared" si="75"/>
        <v>2</v>
      </c>
      <c r="F82">
        <f t="shared" si="76"/>
        <v>202402</v>
      </c>
      <c r="G82" t="s">
        <v>215</v>
      </c>
      <c r="H82" s="2">
        <v>5.25</v>
      </c>
      <c r="I82" s="2">
        <v>5.1980000000000004</v>
      </c>
      <c r="J82" s="3">
        <v>5.1842682</v>
      </c>
      <c r="K82" s="3">
        <v>5.1430864999999999</v>
      </c>
      <c r="L82" s="3">
        <v>5.0913354000000002</v>
      </c>
      <c r="M82" s="3">
        <v>5.0313445999999997</v>
      </c>
      <c r="N82" s="3">
        <v>4.9668834000000004</v>
      </c>
      <c r="O82" s="3">
        <v>4.9006882000000003</v>
      </c>
      <c r="P82" s="3">
        <v>4.8343024999999997</v>
      </c>
      <c r="Q82" s="3">
        <v>4.7698292999999996</v>
      </c>
      <c r="R82" s="3">
        <v>4.7096600000000004</v>
      </c>
      <c r="S82" s="3">
        <v>4.6552126999999999</v>
      </c>
      <c r="T82" s="3">
        <v>4.6062732999999998</v>
      </c>
      <c r="U82" s="3">
        <v>4.5618677999999999</v>
      </c>
      <c r="V82" s="3">
        <v>4.5187787999999998</v>
      </c>
      <c r="W82" s="3">
        <v>4.4759072</v>
      </c>
      <c r="X82" s="3">
        <v>4.4328706999999996</v>
      </c>
      <c r="Y82" s="3">
        <v>4.3892856</v>
      </c>
      <c r="Z82" s="3">
        <v>4.3447681999999999</v>
      </c>
      <c r="AA82" s="3">
        <v>4.2989362</v>
      </c>
      <c r="AB82" s="3">
        <v>4.2515467999999998</v>
      </c>
      <c r="AC82" s="3">
        <v>4.2030786000000004</v>
      </c>
      <c r="AD82" s="3">
        <v>4.1542424999999996</v>
      </c>
      <c r="AE82" s="3">
        <v>4.1057478999999999</v>
      </c>
      <c r="AF82" s="3">
        <v>4.0583039999999997</v>
      </c>
      <c r="AG82" s="3">
        <v>4.0126217999999998</v>
      </c>
      <c r="AH82" s="3">
        <v>3.9693057</v>
      </c>
      <c r="AI82" s="3">
        <v>3.9284477999999998</v>
      </c>
      <c r="AJ82" s="3">
        <v>3.8899862999999999</v>
      </c>
      <c r="AK82" s="3">
        <v>3.8538578000000001</v>
      </c>
      <c r="AL82" s="3">
        <v>3.8199987000000002</v>
      </c>
      <c r="AM82" s="3">
        <v>3.7883469999999999</v>
      </c>
      <c r="AN82" s="3">
        <v>3.7588392000000002</v>
      </c>
      <c r="AO82" s="3">
        <v>3.7314121</v>
      </c>
      <c r="AP82" s="3">
        <v>3.7060032999999999</v>
      </c>
      <c r="AQ82" s="3">
        <v>3.6825494999999999</v>
      </c>
      <c r="AR82" s="3">
        <v>3.6609875000000001</v>
      </c>
      <c r="AS82" s="3">
        <v>3.6412548</v>
      </c>
      <c r="AT82" s="3">
        <v>3.6232831999999999</v>
      </c>
      <c r="AU82" s="3">
        <v>3.6069827000000001</v>
      </c>
      <c r="AV82" s="3">
        <v>3.5922578000000001</v>
      </c>
      <c r="AW82" s="3">
        <v>3.5790123999999999</v>
      </c>
      <c r="AX82" s="3">
        <v>3.5671504999999999</v>
      </c>
      <c r="AY82" s="3">
        <v>3.5565764999999998</v>
      </c>
      <c r="AZ82" s="3">
        <v>3.5471944</v>
      </c>
      <c r="BA82" s="3">
        <v>3.5389083000000001</v>
      </c>
      <c r="BB82" s="3">
        <v>3.5316223</v>
      </c>
      <c r="BC82" s="3">
        <v>3.5252406000000001</v>
      </c>
      <c r="BD82" s="3">
        <v>3.5196672000000002</v>
      </c>
      <c r="BE82" s="3">
        <v>3.5148063</v>
      </c>
      <c r="BF82" s="3">
        <v>3.5105735</v>
      </c>
      <c r="BG82" s="3">
        <v>3.5069347</v>
      </c>
      <c r="BH82" s="3">
        <v>3.5038699000000002</v>
      </c>
      <c r="BI82" s="3">
        <v>3.5013589999999999</v>
      </c>
      <c r="BJ82" s="3">
        <v>3.4993818999999999</v>
      </c>
      <c r="BK82" s="3">
        <v>3.4979186000000002</v>
      </c>
      <c r="BL82" s="3">
        <v>3.4969489</v>
      </c>
      <c r="BM82" s="3">
        <v>3.4964528000000001</v>
      </c>
      <c r="BN82" s="3">
        <v>3.4964103</v>
      </c>
      <c r="BO82" s="3">
        <v>3.4968010999999999</v>
      </c>
      <c r="BP82" s="3">
        <v>3.4976053999999999</v>
      </c>
      <c r="BQ82" s="3">
        <v>3.4988028999999998</v>
      </c>
      <c r="BR82" s="3">
        <v>3.5134585</v>
      </c>
      <c r="BS82" s="3">
        <v>3.5392484</v>
      </c>
    </row>
    <row r="83" spans="1:71" x14ac:dyDescent="0.35">
      <c r="A83" s="6">
        <f t="shared" si="77"/>
        <v>45394</v>
      </c>
      <c r="B83">
        <f t="shared" si="72"/>
        <v>4</v>
      </c>
      <c r="C83">
        <f t="shared" si="73"/>
        <v>2024</v>
      </c>
      <c r="D83">
        <f t="shared" si="74"/>
        <v>202404</v>
      </c>
      <c r="E83">
        <f t="shared" si="75"/>
        <v>2</v>
      </c>
      <c r="F83">
        <f t="shared" si="76"/>
        <v>202402</v>
      </c>
      <c r="G83" t="s">
        <v>216</v>
      </c>
      <c r="H83" s="2">
        <v>5.25</v>
      </c>
      <c r="I83" s="2">
        <v>5.1980000000000004</v>
      </c>
      <c r="J83" s="3">
        <v>5.1777518999999996</v>
      </c>
      <c r="K83" s="3">
        <v>5.1243654000000003</v>
      </c>
      <c r="L83" s="3">
        <v>5.0619833999999999</v>
      </c>
      <c r="M83" s="3">
        <v>4.9935299999999998</v>
      </c>
      <c r="N83" s="3">
        <v>4.9224709999999998</v>
      </c>
      <c r="O83" s="3">
        <v>4.8506935999999996</v>
      </c>
      <c r="P83" s="3">
        <v>4.7792744000000003</v>
      </c>
      <c r="Q83" s="3">
        <v>4.7097297999999999</v>
      </c>
      <c r="R83" s="3">
        <v>4.6435819</v>
      </c>
      <c r="S83" s="3">
        <v>4.5815523000000002</v>
      </c>
      <c r="T83" s="3">
        <v>4.5234462000000004</v>
      </c>
      <c r="U83" s="3">
        <v>4.4687694000000002</v>
      </c>
      <c r="V83" s="3">
        <v>4.4162013</v>
      </c>
      <c r="W83" s="3">
        <v>4.3652518999999996</v>
      </c>
      <c r="X83" s="3">
        <v>4.3157671000000004</v>
      </c>
      <c r="Y83" s="3">
        <v>4.2675907999999998</v>
      </c>
      <c r="Z83" s="3">
        <v>4.2205671999999996</v>
      </c>
      <c r="AA83" s="3">
        <v>4.1745419999999998</v>
      </c>
      <c r="AB83" s="3">
        <v>4.1294101000000003</v>
      </c>
      <c r="AC83" s="3">
        <v>4.0853022000000001</v>
      </c>
      <c r="AD83" s="3">
        <v>4.0424186000000004</v>
      </c>
      <c r="AE83" s="3">
        <v>4.0009584</v>
      </c>
      <c r="AF83" s="3">
        <v>3.9611204999999998</v>
      </c>
      <c r="AG83" s="3">
        <v>3.9231053999999999</v>
      </c>
      <c r="AH83" s="3">
        <v>3.8870719</v>
      </c>
      <c r="AI83" s="3">
        <v>3.8530020999999999</v>
      </c>
      <c r="AJ83" s="3">
        <v>3.8208308999999998</v>
      </c>
      <c r="AK83" s="3">
        <v>3.7904914000000001</v>
      </c>
      <c r="AL83" s="3">
        <v>3.7619172000000001</v>
      </c>
      <c r="AM83" s="3">
        <v>3.7350428</v>
      </c>
      <c r="AN83" s="3">
        <v>3.7098016</v>
      </c>
      <c r="AO83" s="3">
        <v>3.6861272</v>
      </c>
      <c r="AP83" s="3">
        <v>3.6639539000000001</v>
      </c>
      <c r="AQ83" s="3">
        <v>3.6432152000000002</v>
      </c>
      <c r="AR83" s="3">
        <v>3.6238448000000001</v>
      </c>
      <c r="AS83" s="3">
        <v>3.6057768000000001</v>
      </c>
      <c r="AT83" s="3">
        <v>3.5889479999999998</v>
      </c>
      <c r="AU83" s="3">
        <v>3.5733077999999998</v>
      </c>
      <c r="AV83" s="3">
        <v>3.5588093000000001</v>
      </c>
      <c r="AW83" s="3">
        <v>3.5454051</v>
      </c>
      <c r="AX83" s="3">
        <v>3.5330477999999998</v>
      </c>
      <c r="AY83" s="3">
        <v>3.5216904000000002</v>
      </c>
      <c r="AZ83" s="3">
        <v>3.5112855000000001</v>
      </c>
      <c r="BA83" s="3">
        <v>3.5017857999999999</v>
      </c>
      <c r="BB83" s="3">
        <v>3.4931442000000001</v>
      </c>
      <c r="BC83" s="3">
        <v>3.4853133999999999</v>
      </c>
      <c r="BD83" s="3">
        <v>3.4782459000000001</v>
      </c>
      <c r="BE83" s="3">
        <v>3.4718949000000001</v>
      </c>
      <c r="BF83" s="3">
        <v>3.4662174000000001</v>
      </c>
      <c r="BG83" s="3">
        <v>3.4611909000000001</v>
      </c>
      <c r="BH83" s="3">
        <v>3.4567988999999999</v>
      </c>
      <c r="BI83" s="3">
        <v>3.4530242000000002</v>
      </c>
      <c r="BJ83" s="3">
        <v>3.4498502000000002</v>
      </c>
      <c r="BK83" s="3">
        <v>3.4472599000000002</v>
      </c>
      <c r="BL83" s="3">
        <v>3.4452364000000002</v>
      </c>
      <c r="BM83" s="3">
        <v>3.4437630000000001</v>
      </c>
      <c r="BN83" s="3">
        <v>3.4428228000000001</v>
      </c>
      <c r="BO83" s="3">
        <v>3.4423989000000002</v>
      </c>
      <c r="BP83" s="3">
        <v>3.4424744999999999</v>
      </c>
      <c r="BQ83" s="3">
        <v>3.4430326999999998</v>
      </c>
      <c r="BR83" s="3">
        <v>3.4556619</v>
      </c>
      <c r="BS83" s="3">
        <v>3.4819572000000001</v>
      </c>
    </row>
    <row r="84" spans="1:71" x14ac:dyDescent="0.35">
      <c r="A84" s="6">
        <f t="shared" si="77"/>
        <v>45397</v>
      </c>
      <c r="B84">
        <f t="shared" si="72"/>
        <v>4</v>
      </c>
      <c r="C84">
        <f t="shared" si="73"/>
        <v>2024</v>
      </c>
      <c r="D84">
        <f t="shared" si="74"/>
        <v>202404</v>
      </c>
      <c r="E84">
        <f t="shared" si="75"/>
        <v>2</v>
      </c>
      <c r="F84">
        <f t="shared" si="76"/>
        <v>202402</v>
      </c>
      <c r="G84" t="s">
        <v>217</v>
      </c>
      <c r="H84" s="2">
        <v>5.25</v>
      </c>
      <c r="I84" s="2">
        <v>5.1984000000000004</v>
      </c>
      <c r="J84" s="3">
        <v>5.1768824999999996</v>
      </c>
      <c r="K84" s="3">
        <v>5.1245399000000003</v>
      </c>
      <c r="L84" s="3">
        <v>5.0626385000000003</v>
      </c>
      <c r="M84" s="3">
        <v>4.9957348000000001</v>
      </c>
      <c r="N84" s="3">
        <v>4.9274829000000002</v>
      </c>
      <c r="O84" s="3">
        <v>4.8597545999999996</v>
      </c>
      <c r="P84" s="3">
        <v>4.7941029999999998</v>
      </c>
      <c r="Q84" s="3">
        <v>4.7324453000000002</v>
      </c>
      <c r="R84" s="3">
        <v>4.6765648999999998</v>
      </c>
      <c r="S84" s="3">
        <v>4.6268466000000004</v>
      </c>
      <c r="T84" s="3">
        <v>4.5824388999999996</v>
      </c>
      <c r="U84" s="3">
        <v>4.5418212000000002</v>
      </c>
      <c r="V84" s="3">
        <v>4.5020417999999998</v>
      </c>
      <c r="W84" s="3">
        <v>4.4622795000000002</v>
      </c>
      <c r="X84" s="3">
        <v>4.4224011000000001</v>
      </c>
      <c r="Y84" s="3">
        <v>4.3822716000000002</v>
      </c>
      <c r="Z84" s="3">
        <v>4.3417564000000004</v>
      </c>
      <c r="AA84" s="3">
        <v>4.3007220000000004</v>
      </c>
      <c r="AB84" s="3">
        <v>4.2591184000000002</v>
      </c>
      <c r="AC84" s="3">
        <v>4.2172518999999999</v>
      </c>
      <c r="AD84" s="3">
        <v>4.1755237999999997</v>
      </c>
      <c r="AE84" s="3">
        <v>4.1343338000000003</v>
      </c>
      <c r="AF84" s="3">
        <v>4.0940817999999997</v>
      </c>
      <c r="AG84" s="3">
        <v>4.0551690999999996</v>
      </c>
      <c r="AH84" s="3">
        <v>4.0179235000000002</v>
      </c>
      <c r="AI84" s="3">
        <v>3.9823854000000001</v>
      </c>
      <c r="AJ84" s="3">
        <v>3.9485244000000002</v>
      </c>
      <c r="AK84" s="3">
        <v>3.9163092000000002</v>
      </c>
      <c r="AL84" s="3">
        <v>3.8857080000000002</v>
      </c>
      <c r="AM84" s="3">
        <v>3.8566905999999999</v>
      </c>
      <c r="AN84" s="3">
        <v>3.8292253999999999</v>
      </c>
      <c r="AO84" s="3">
        <v>3.8032810000000001</v>
      </c>
      <c r="AP84" s="3">
        <v>3.7788268</v>
      </c>
      <c r="AQ84" s="3">
        <v>3.7558313999999999</v>
      </c>
      <c r="AR84" s="3">
        <v>3.7342635</v>
      </c>
      <c r="AS84" s="3">
        <v>3.7140922999999999</v>
      </c>
      <c r="AT84" s="3">
        <v>3.6952842000000001</v>
      </c>
      <c r="AU84" s="3">
        <v>3.6777964000000001</v>
      </c>
      <c r="AV84" s="3">
        <v>3.6615844000000002</v>
      </c>
      <c r="AW84" s="3">
        <v>3.6466029999999998</v>
      </c>
      <c r="AX84" s="3">
        <v>3.6328071</v>
      </c>
      <c r="AY84" s="3">
        <v>3.6201523</v>
      </c>
      <c r="AZ84" s="3">
        <v>3.6085932999999999</v>
      </c>
      <c r="BA84" s="3">
        <v>3.5980851999999999</v>
      </c>
      <c r="BB84" s="3">
        <v>3.5885832999999998</v>
      </c>
      <c r="BC84" s="3">
        <v>3.5800426000000001</v>
      </c>
      <c r="BD84" s="3">
        <v>3.5724179999999999</v>
      </c>
      <c r="BE84" s="3">
        <v>3.5656648</v>
      </c>
      <c r="BF84" s="3">
        <v>3.5597401999999998</v>
      </c>
      <c r="BG84" s="3">
        <v>3.5546147000000001</v>
      </c>
      <c r="BH84" s="3">
        <v>3.5502639999999999</v>
      </c>
      <c r="BI84" s="3">
        <v>3.5466631999999998</v>
      </c>
      <c r="BJ84" s="3">
        <v>3.5437878999999999</v>
      </c>
      <c r="BK84" s="3">
        <v>3.5416135</v>
      </c>
      <c r="BL84" s="3">
        <v>3.5401155000000002</v>
      </c>
      <c r="BM84" s="3">
        <v>3.5392693</v>
      </c>
      <c r="BN84" s="3">
        <v>3.5390503</v>
      </c>
      <c r="BO84" s="3">
        <v>3.539434</v>
      </c>
      <c r="BP84" s="3">
        <v>3.5403956999999999</v>
      </c>
      <c r="BQ84" s="3">
        <v>3.5419109999999998</v>
      </c>
      <c r="BR84" s="3">
        <v>3.5613047999999998</v>
      </c>
      <c r="BS84" s="3">
        <v>3.5947629000000001</v>
      </c>
    </row>
    <row r="85" spans="1:71" x14ac:dyDescent="0.35">
      <c r="A85" s="6">
        <f t="shared" si="77"/>
        <v>45398</v>
      </c>
      <c r="B85">
        <f t="shared" si="72"/>
        <v>4</v>
      </c>
      <c r="C85">
        <f t="shared" si="73"/>
        <v>2024</v>
      </c>
      <c r="D85">
        <f t="shared" si="74"/>
        <v>202404</v>
      </c>
      <c r="E85">
        <f t="shared" si="75"/>
        <v>2</v>
      </c>
      <c r="F85">
        <f t="shared" si="76"/>
        <v>202402</v>
      </c>
      <c r="G85" t="s">
        <v>218</v>
      </c>
      <c r="H85" s="2">
        <v>5.25</v>
      </c>
      <c r="I85" s="2">
        <v>5.1984000000000004</v>
      </c>
      <c r="J85" s="3">
        <v>5.1825747</v>
      </c>
      <c r="K85" s="3">
        <v>5.1409117000000002</v>
      </c>
      <c r="L85" s="3">
        <v>5.0900898999999997</v>
      </c>
      <c r="M85" s="3">
        <v>5.0348519999999999</v>
      </c>
      <c r="N85" s="3">
        <v>4.9785408999999996</v>
      </c>
      <c r="O85" s="3">
        <v>4.9223758000000002</v>
      </c>
      <c r="P85" s="3">
        <v>4.8672673</v>
      </c>
      <c r="Q85" s="3">
        <v>4.8146038000000004</v>
      </c>
      <c r="R85" s="3">
        <v>4.7658646999999998</v>
      </c>
      <c r="S85" s="3">
        <v>4.7216218000000003</v>
      </c>
      <c r="T85" s="3">
        <v>4.6813829</v>
      </c>
      <c r="U85" s="3">
        <v>4.6441790999999997</v>
      </c>
      <c r="V85" s="3">
        <v>4.6078023999999997</v>
      </c>
      <c r="W85" s="3">
        <v>4.5714874999999999</v>
      </c>
      <c r="X85" s="3">
        <v>4.5349472999999998</v>
      </c>
      <c r="Y85" s="3">
        <v>4.4978936000000003</v>
      </c>
      <c r="Z85" s="3">
        <v>4.4600378999999997</v>
      </c>
      <c r="AA85" s="3">
        <v>4.4210934000000002</v>
      </c>
      <c r="AB85" s="3">
        <v>4.3808913</v>
      </c>
      <c r="AC85" s="3">
        <v>4.3397655000000004</v>
      </c>
      <c r="AD85" s="3">
        <v>4.2981834000000001</v>
      </c>
      <c r="AE85" s="3">
        <v>4.2566107999999998</v>
      </c>
      <c r="AF85" s="3">
        <v>4.2155136999999998</v>
      </c>
      <c r="AG85" s="3">
        <v>4.1753594999999999</v>
      </c>
      <c r="AH85" s="3">
        <v>4.1365375000000002</v>
      </c>
      <c r="AI85" s="3">
        <v>4.0991306999999999</v>
      </c>
      <c r="AJ85" s="3">
        <v>4.0631468999999996</v>
      </c>
      <c r="AK85" s="3">
        <v>4.0285925999999996</v>
      </c>
      <c r="AL85" s="3">
        <v>3.9954743000000001</v>
      </c>
      <c r="AM85" s="3">
        <v>3.9637997999999999</v>
      </c>
      <c r="AN85" s="3">
        <v>3.9335754000000001</v>
      </c>
      <c r="AO85" s="3">
        <v>3.9048077000000001</v>
      </c>
      <c r="AP85" s="3">
        <v>3.8775045000000001</v>
      </c>
      <c r="AQ85" s="3">
        <v>3.8516721</v>
      </c>
      <c r="AR85" s="3">
        <v>3.8273172999999998</v>
      </c>
      <c r="AS85" s="3">
        <v>3.8044475000000002</v>
      </c>
      <c r="AT85" s="3">
        <v>3.7830599999999999</v>
      </c>
      <c r="AU85" s="3">
        <v>3.7631147999999999</v>
      </c>
      <c r="AV85" s="3">
        <v>3.7445632</v>
      </c>
      <c r="AW85" s="3">
        <v>3.7273558000000002</v>
      </c>
      <c r="AX85" s="3">
        <v>3.7114432000000002</v>
      </c>
      <c r="AY85" s="3">
        <v>3.6967767999999999</v>
      </c>
      <c r="AZ85" s="3">
        <v>3.6833071999999998</v>
      </c>
      <c r="BA85" s="3">
        <v>3.6709850999999998</v>
      </c>
      <c r="BB85" s="3">
        <v>3.6597615999999999</v>
      </c>
      <c r="BC85" s="3">
        <v>3.6495875</v>
      </c>
      <c r="BD85" s="3">
        <v>3.6404135000000002</v>
      </c>
      <c r="BE85" s="3">
        <v>3.6321907000000002</v>
      </c>
      <c r="BF85" s="3">
        <v>3.6248722</v>
      </c>
      <c r="BG85" s="3">
        <v>3.6184238999999998</v>
      </c>
      <c r="BH85" s="3">
        <v>3.6128163999999998</v>
      </c>
      <c r="BI85" s="3">
        <v>3.6080198000000001</v>
      </c>
      <c r="BJ85" s="3">
        <v>3.6040043000000002</v>
      </c>
      <c r="BK85" s="3">
        <v>3.6007403999999998</v>
      </c>
      <c r="BL85" s="3">
        <v>3.5981983999999998</v>
      </c>
      <c r="BM85" s="3">
        <v>3.5963484000000001</v>
      </c>
      <c r="BN85" s="3">
        <v>3.5951607999999999</v>
      </c>
      <c r="BO85" s="3">
        <v>3.5946060000000002</v>
      </c>
      <c r="BP85" s="3">
        <v>3.5946541999999999</v>
      </c>
      <c r="BQ85" s="3">
        <v>3.5952757000000002</v>
      </c>
      <c r="BR85" s="3">
        <v>3.6095937</v>
      </c>
      <c r="BS85" s="3">
        <v>3.6383557999999998</v>
      </c>
    </row>
    <row r="86" spans="1:71" x14ac:dyDescent="0.35">
      <c r="A86" s="6">
        <f t="shared" si="77"/>
        <v>45399</v>
      </c>
      <c r="B86">
        <f t="shared" si="72"/>
        <v>4</v>
      </c>
      <c r="C86">
        <f t="shared" si="73"/>
        <v>2024</v>
      </c>
      <c r="D86">
        <f t="shared" si="74"/>
        <v>202404</v>
      </c>
      <c r="E86">
        <f t="shared" si="75"/>
        <v>2</v>
      </c>
      <c r="F86">
        <f t="shared" si="76"/>
        <v>202402</v>
      </c>
      <c r="G86" t="s">
        <v>219</v>
      </c>
      <c r="H86" s="2">
        <v>5.25</v>
      </c>
      <c r="I86" s="2">
        <v>5.1984000000000004</v>
      </c>
      <c r="J86" s="3">
        <v>5.1864648999999998</v>
      </c>
      <c r="K86" s="3">
        <v>5.1406634999999996</v>
      </c>
      <c r="L86" s="3">
        <v>5.0823780000000003</v>
      </c>
      <c r="M86" s="3">
        <v>5.0182776000000002</v>
      </c>
      <c r="N86" s="3">
        <v>4.9533389000000003</v>
      </c>
      <c r="O86" s="3">
        <v>4.8893763999999997</v>
      </c>
      <c r="P86" s="3">
        <v>4.8279116999999996</v>
      </c>
      <c r="Q86" s="3">
        <v>4.7707195999999996</v>
      </c>
      <c r="R86" s="3">
        <v>4.7193813999999996</v>
      </c>
      <c r="S86" s="3">
        <v>4.6742080000000001</v>
      </c>
      <c r="T86" s="3">
        <v>4.6341650000000003</v>
      </c>
      <c r="U86" s="3">
        <v>4.5975444999999997</v>
      </c>
      <c r="V86" s="3">
        <v>4.5610470999999997</v>
      </c>
      <c r="W86" s="3">
        <v>4.5238098999999998</v>
      </c>
      <c r="X86" s="3">
        <v>4.4857237999999997</v>
      </c>
      <c r="Y86" s="3">
        <v>4.4466786999999997</v>
      </c>
      <c r="Z86" s="3">
        <v>4.4065642</v>
      </c>
      <c r="AA86" s="3">
        <v>4.3652715999999998</v>
      </c>
      <c r="AB86" s="3">
        <v>4.3227818999999998</v>
      </c>
      <c r="AC86" s="3">
        <v>4.2794603999999996</v>
      </c>
      <c r="AD86" s="3">
        <v>4.2357750000000003</v>
      </c>
      <c r="AE86" s="3">
        <v>4.1921919000000001</v>
      </c>
      <c r="AF86" s="3">
        <v>4.1491772999999998</v>
      </c>
      <c r="AG86" s="3">
        <v>4.1071989000000002</v>
      </c>
      <c r="AH86" s="3">
        <v>4.0666479000000004</v>
      </c>
      <c r="AI86" s="3">
        <v>4.0276151999999996</v>
      </c>
      <c r="AJ86" s="3">
        <v>3.9901181000000001</v>
      </c>
      <c r="AK86" s="3">
        <v>3.9541724</v>
      </c>
      <c r="AL86" s="3">
        <v>3.9197939000000002</v>
      </c>
      <c r="AM86" s="3">
        <v>3.8869999000000002</v>
      </c>
      <c r="AN86" s="3">
        <v>3.8558062</v>
      </c>
      <c r="AO86" s="3">
        <v>3.8262287000000001</v>
      </c>
      <c r="AP86" s="3">
        <v>3.7982844999999998</v>
      </c>
      <c r="AQ86" s="3">
        <v>3.7719895000000001</v>
      </c>
      <c r="AR86" s="3">
        <v>3.7473597999999999</v>
      </c>
      <c r="AS86" s="3">
        <v>3.7244120999999999</v>
      </c>
      <c r="AT86" s="3">
        <v>3.7031516999999998</v>
      </c>
      <c r="AU86" s="3">
        <v>3.6835306000000001</v>
      </c>
      <c r="AV86" s="3">
        <v>3.6654852999999998</v>
      </c>
      <c r="AW86" s="3">
        <v>3.6489517999999999</v>
      </c>
      <c r="AX86" s="3">
        <v>3.6338659</v>
      </c>
      <c r="AY86" s="3">
        <v>3.6201642000000001</v>
      </c>
      <c r="AZ86" s="3">
        <v>3.6077824999999999</v>
      </c>
      <c r="BA86" s="3">
        <v>3.596657</v>
      </c>
      <c r="BB86" s="3">
        <v>3.5867238000000001</v>
      </c>
      <c r="BC86" s="3">
        <v>3.5779190999999999</v>
      </c>
      <c r="BD86" s="3">
        <v>3.5701787999999999</v>
      </c>
      <c r="BE86" s="3">
        <v>3.5634393000000002</v>
      </c>
      <c r="BF86" s="3">
        <v>3.5576398</v>
      </c>
      <c r="BG86" s="3">
        <v>3.5527354</v>
      </c>
      <c r="BH86" s="3">
        <v>3.5486865000000001</v>
      </c>
      <c r="BI86" s="3">
        <v>3.5454528999999999</v>
      </c>
      <c r="BJ86" s="3">
        <v>3.5429948000000002</v>
      </c>
      <c r="BK86" s="3">
        <v>3.5412723000000002</v>
      </c>
      <c r="BL86" s="3">
        <v>3.5402453</v>
      </c>
      <c r="BM86" s="3">
        <v>3.5398740000000002</v>
      </c>
      <c r="BN86" s="3">
        <v>3.5401185000000002</v>
      </c>
      <c r="BO86" s="3">
        <v>3.5409386999999999</v>
      </c>
      <c r="BP86" s="3">
        <v>3.5422948999999999</v>
      </c>
      <c r="BQ86" s="3">
        <v>3.5441470000000002</v>
      </c>
      <c r="BR86" s="3">
        <v>3.5641156000000001</v>
      </c>
      <c r="BS86" s="3">
        <v>3.5959834000000002</v>
      </c>
    </row>
    <row r="87" spans="1:71" x14ac:dyDescent="0.35">
      <c r="A87" s="6">
        <f t="shared" si="77"/>
        <v>45400</v>
      </c>
      <c r="B87">
        <f t="shared" si="72"/>
        <v>4</v>
      </c>
      <c r="C87">
        <f t="shared" si="73"/>
        <v>2024</v>
      </c>
      <c r="D87">
        <f t="shared" si="74"/>
        <v>202404</v>
      </c>
      <c r="E87">
        <f t="shared" si="75"/>
        <v>2</v>
      </c>
      <c r="F87">
        <f t="shared" si="76"/>
        <v>202402</v>
      </c>
      <c r="G87" t="s">
        <v>220</v>
      </c>
      <c r="H87" s="2">
        <v>5.25</v>
      </c>
      <c r="I87" s="2">
        <v>5.1984000000000004</v>
      </c>
      <c r="J87" s="3">
        <v>5.1898040999999999</v>
      </c>
      <c r="K87" s="3">
        <v>5.1491368</v>
      </c>
      <c r="L87" s="3">
        <v>5.0958867000000003</v>
      </c>
      <c r="M87" s="3">
        <v>5.0366445000000004</v>
      </c>
      <c r="N87" s="3">
        <v>4.9761103000000002</v>
      </c>
      <c r="O87" s="3">
        <v>4.9165235999999997</v>
      </c>
      <c r="P87" s="3">
        <v>4.8595474000000003</v>
      </c>
      <c r="Q87" s="3">
        <v>4.8066312</v>
      </c>
      <c r="R87" s="3">
        <v>4.7585974999999996</v>
      </c>
      <c r="S87" s="3">
        <v>4.7152456999999997</v>
      </c>
      <c r="T87" s="3">
        <v>4.6751348999999998</v>
      </c>
      <c r="U87" s="3">
        <v>4.6365604999999999</v>
      </c>
      <c r="V87" s="3">
        <v>4.5963225999999997</v>
      </c>
      <c r="W87" s="3">
        <v>4.5537643000000001</v>
      </c>
      <c r="X87" s="3">
        <v>4.5093623999999997</v>
      </c>
      <c r="Y87" s="3">
        <v>4.4635942999999996</v>
      </c>
      <c r="Z87" s="3">
        <v>4.4169374000000001</v>
      </c>
      <c r="AA87" s="3">
        <v>4.3698705999999996</v>
      </c>
      <c r="AB87" s="3">
        <v>4.3228555999999996</v>
      </c>
      <c r="AC87" s="3">
        <v>4.2762751999999997</v>
      </c>
      <c r="AD87" s="3">
        <v>4.2304883000000002</v>
      </c>
      <c r="AE87" s="3">
        <v>4.1858522999999996</v>
      </c>
      <c r="AF87" s="3">
        <v>4.1427246999999996</v>
      </c>
      <c r="AG87" s="3">
        <v>4.1014641999999997</v>
      </c>
      <c r="AH87" s="3">
        <v>4.0623693000000003</v>
      </c>
      <c r="AI87" s="3">
        <v>4.0254504000000004</v>
      </c>
      <c r="AJ87" s="3">
        <v>3.9906318999999999</v>
      </c>
      <c r="AK87" s="3">
        <v>3.9578367000000001</v>
      </c>
      <c r="AL87" s="3">
        <v>3.9269878</v>
      </c>
      <c r="AM87" s="3">
        <v>3.8980093</v>
      </c>
      <c r="AN87" s="3">
        <v>3.8708241000000001</v>
      </c>
      <c r="AO87" s="3">
        <v>3.8453555000000001</v>
      </c>
      <c r="AP87" s="3">
        <v>3.8215273000000001</v>
      </c>
      <c r="AQ87" s="3">
        <v>3.7992626</v>
      </c>
      <c r="AR87" s="3">
        <v>3.7784844999999998</v>
      </c>
      <c r="AS87" s="3">
        <v>3.7591169</v>
      </c>
      <c r="AT87" s="3">
        <v>3.7410871999999999</v>
      </c>
      <c r="AU87" s="3">
        <v>3.7243412999999999</v>
      </c>
      <c r="AV87" s="3">
        <v>3.7088310999999998</v>
      </c>
      <c r="AW87" s="3">
        <v>3.6945074999999998</v>
      </c>
      <c r="AX87" s="3">
        <v>3.6813218000000001</v>
      </c>
      <c r="AY87" s="3">
        <v>3.6692257000000001</v>
      </c>
      <c r="AZ87" s="3">
        <v>3.6581703000000001</v>
      </c>
      <c r="BA87" s="3">
        <v>3.6481067999999999</v>
      </c>
      <c r="BB87" s="3">
        <v>3.6389868999999999</v>
      </c>
      <c r="BC87" s="3">
        <v>3.6307616999999999</v>
      </c>
      <c r="BD87" s="3">
        <v>3.6233824000000001</v>
      </c>
      <c r="BE87" s="3">
        <v>3.6168007000000002</v>
      </c>
      <c r="BF87" s="3">
        <v>3.6109711999999998</v>
      </c>
      <c r="BG87" s="3">
        <v>3.6058637999999998</v>
      </c>
      <c r="BH87" s="3">
        <v>3.6014529999999998</v>
      </c>
      <c r="BI87" s="3">
        <v>3.5977127000000002</v>
      </c>
      <c r="BJ87" s="3">
        <v>3.5946174000000002</v>
      </c>
      <c r="BK87" s="3">
        <v>3.5921411999999999</v>
      </c>
      <c r="BL87" s="3">
        <v>3.5902582999999999</v>
      </c>
      <c r="BM87" s="3">
        <v>3.588943</v>
      </c>
      <c r="BN87" s="3">
        <v>3.5881694999999998</v>
      </c>
      <c r="BO87" s="3">
        <v>3.5879120000000002</v>
      </c>
      <c r="BP87" s="3">
        <v>3.5881447999999998</v>
      </c>
      <c r="BQ87" s="3">
        <v>3.5888420000000001</v>
      </c>
      <c r="BR87" s="3">
        <v>3.6016959000000002</v>
      </c>
      <c r="BS87" s="3">
        <v>3.6269610000000001</v>
      </c>
    </row>
    <row r="88" spans="1:71" x14ac:dyDescent="0.35">
      <c r="A88" s="6">
        <f t="shared" si="77"/>
        <v>45401</v>
      </c>
      <c r="B88">
        <f t="shared" si="72"/>
        <v>4</v>
      </c>
      <c r="C88">
        <f t="shared" si="73"/>
        <v>2024</v>
      </c>
      <c r="D88">
        <f t="shared" si="74"/>
        <v>202404</v>
      </c>
      <c r="E88">
        <f t="shared" si="75"/>
        <v>2</v>
      </c>
      <c r="F88">
        <f t="shared" si="76"/>
        <v>202402</v>
      </c>
      <c r="G88" t="s">
        <v>221</v>
      </c>
      <c r="H88" s="2">
        <v>5.25</v>
      </c>
      <c r="I88" s="2">
        <v>5.1984000000000004</v>
      </c>
      <c r="J88" s="3">
        <v>5.1752187999999997</v>
      </c>
      <c r="K88" s="3">
        <v>5.1146697999999997</v>
      </c>
      <c r="L88" s="3">
        <v>5.0445802000000004</v>
      </c>
      <c r="M88" s="3">
        <v>4.9732247000000003</v>
      </c>
      <c r="N88" s="3">
        <v>4.9043102000000003</v>
      </c>
      <c r="O88" s="3">
        <v>4.8386355999999999</v>
      </c>
      <c r="P88" s="3">
        <v>4.7762074999999999</v>
      </c>
      <c r="Q88" s="3">
        <v>4.7171089999999998</v>
      </c>
      <c r="R88" s="3">
        <v>4.6616353000000004</v>
      </c>
      <c r="S88" s="3">
        <v>4.6098391000000003</v>
      </c>
      <c r="T88" s="3">
        <v>4.5611807000000004</v>
      </c>
      <c r="U88" s="3">
        <v>4.5149809000000003</v>
      </c>
      <c r="V88" s="3">
        <v>4.4698107</v>
      </c>
      <c r="W88" s="3">
        <v>4.4252399999999996</v>
      </c>
      <c r="X88" s="3">
        <v>4.3812614999999999</v>
      </c>
      <c r="Y88" s="3">
        <v>4.3378667000000002</v>
      </c>
      <c r="Z88" s="3">
        <v>4.2950467999999997</v>
      </c>
      <c r="AA88" s="3">
        <v>4.2527948000000002</v>
      </c>
      <c r="AB88" s="3">
        <v>4.2111355000000001</v>
      </c>
      <c r="AC88" s="3">
        <v>4.1702491999999998</v>
      </c>
      <c r="AD88" s="3">
        <v>4.1303622999999998</v>
      </c>
      <c r="AE88" s="3">
        <v>4.0917000000000003</v>
      </c>
      <c r="AF88" s="3">
        <v>4.0544874999999996</v>
      </c>
      <c r="AG88" s="3">
        <v>4.0189512000000001</v>
      </c>
      <c r="AH88" s="3">
        <v>3.9852723999999999</v>
      </c>
      <c r="AI88" s="3">
        <v>3.9534384</v>
      </c>
      <c r="AJ88" s="3">
        <v>3.9233842999999999</v>
      </c>
      <c r="AK88" s="3">
        <v>3.8950437999999998</v>
      </c>
      <c r="AL88" s="3">
        <v>3.8683508999999998</v>
      </c>
      <c r="AM88" s="3">
        <v>3.8432404999999998</v>
      </c>
      <c r="AN88" s="3">
        <v>3.8196465000000002</v>
      </c>
      <c r="AO88" s="3">
        <v>3.7975028000000002</v>
      </c>
      <c r="AP88" s="3">
        <v>3.7767442</v>
      </c>
      <c r="AQ88" s="3">
        <v>3.7573047000000002</v>
      </c>
      <c r="AR88" s="3">
        <v>3.7391182999999999</v>
      </c>
      <c r="AS88" s="3">
        <v>3.7221196999999999</v>
      </c>
      <c r="AT88" s="3">
        <v>3.7062463000000001</v>
      </c>
      <c r="AU88" s="3">
        <v>3.6914503999999999</v>
      </c>
      <c r="AV88" s="3">
        <v>3.6776878000000002</v>
      </c>
      <c r="AW88" s="3">
        <v>3.6649143</v>
      </c>
      <c r="AX88" s="3">
        <v>3.6530854000000001</v>
      </c>
      <c r="AY88" s="3">
        <v>3.6421570999999999</v>
      </c>
      <c r="AZ88" s="3">
        <v>3.6320850999999998</v>
      </c>
      <c r="BA88" s="3">
        <v>3.6228248999999999</v>
      </c>
      <c r="BB88" s="3">
        <v>3.6143326</v>
      </c>
      <c r="BC88" s="3">
        <v>3.6065638</v>
      </c>
      <c r="BD88" s="3">
        <v>3.5994741000000001</v>
      </c>
      <c r="BE88" s="3">
        <v>3.5930194000000002</v>
      </c>
      <c r="BF88" s="3">
        <v>3.5871604000000001</v>
      </c>
      <c r="BG88" s="3">
        <v>3.5818794999999999</v>
      </c>
      <c r="BH88" s="3">
        <v>3.5771651000000002</v>
      </c>
      <c r="BI88" s="3">
        <v>3.5730057999999998</v>
      </c>
      <c r="BJ88" s="3">
        <v>3.5693899</v>
      </c>
      <c r="BK88" s="3">
        <v>3.5663059000000001</v>
      </c>
      <c r="BL88" s="3">
        <v>3.5637422999999999</v>
      </c>
      <c r="BM88" s="3">
        <v>3.5616875000000001</v>
      </c>
      <c r="BN88" s="3">
        <v>3.56013</v>
      </c>
      <c r="BO88" s="3">
        <v>3.5590581999999999</v>
      </c>
      <c r="BP88" s="3">
        <v>3.5584606000000001</v>
      </c>
      <c r="BQ88" s="3">
        <v>3.5583257000000001</v>
      </c>
      <c r="BR88" s="3">
        <v>3.5666321000000001</v>
      </c>
      <c r="BS88" s="3">
        <v>3.5889700000000002</v>
      </c>
    </row>
    <row r="89" spans="1:71" x14ac:dyDescent="0.35">
      <c r="A89" s="6">
        <f t="shared" si="77"/>
        <v>45404</v>
      </c>
      <c r="B89">
        <f t="shared" si="72"/>
        <v>4</v>
      </c>
      <c r="C89">
        <f t="shared" si="73"/>
        <v>2024</v>
      </c>
      <c r="D89">
        <f t="shared" si="74"/>
        <v>202404</v>
      </c>
      <c r="E89">
        <f t="shared" si="75"/>
        <v>2</v>
      </c>
      <c r="F89">
        <f t="shared" si="76"/>
        <v>202402</v>
      </c>
      <c r="G89" t="s">
        <v>222</v>
      </c>
      <c r="H89" s="2">
        <v>5.25</v>
      </c>
      <c r="I89" s="2">
        <v>5.1993</v>
      </c>
      <c r="J89" s="3">
        <v>5.1591722999999998</v>
      </c>
      <c r="K89" s="3">
        <v>5.0889644000000001</v>
      </c>
      <c r="L89" s="3">
        <v>5.0067759000000001</v>
      </c>
      <c r="M89" s="3">
        <v>4.9239135000000003</v>
      </c>
      <c r="N89" s="3">
        <v>4.8459659000000004</v>
      </c>
      <c r="O89" s="3">
        <v>4.7733939000000003</v>
      </c>
      <c r="P89" s="3">
        <v>4.7062191999999996</v>
      </c>
      <c r="Q89" s="3">
        <v>4.6449597999999996</v>
      </c>
      <c r="R89" s="3">
        <v>4.5904863000000002</v>
      </c>
      <c r="S89" s="3">
        <v>4.5427686999999999</v>
      </c>
      <c r="T89" s="3">
        <v>4.5008362000000002</v>
      </c>
      <c r="U89" s="3">
        <v>4.4631531999999998</v>
      </c>
      <c r="V89" s="3">
        <v>4.4267842000000002</v>
      </c>
      <c r="W89" s="3">
        <v>4.3908342999999999</v>
      </c>
      <c r="X89" s="3">
        <v>4.3550708</v>
      </c>
      <c r="Y89" s="3">
        <v>4.3192596999999999</v>
      </c>
      <c r="Z89" s="3">
        <v>4.2831669999999997</v>
      </c>
      <c r="AA89" s="3">
        <v>4.2465599999999997</v>
      </c>
      <c r="AB89" s="3">
        <v>4.2092989999999997</v>
      </c>
      <c r="AC89" s="3">
        <v>4.1716407999999996</v>
      </c>
      <c r="AD89" s="3">
        <v>4.1339480000000002</v>
      </c>
      <c r="AE89" s="3">
        <v>4.0965815000000001</v>
      </c>
      <c r="AF89" s="3">
        <v>4.0599023000000001</v>
      </c>
      <c r="AG89" s="3">
        <v>4.024273</v>
      </c>
      <c r="AH89" s="3">
        <v>3.9899917999999999</v>
      </c>
      <c r="AI89" s="3">
        <v>3.9571065000000001</v>
      </c>
      <c r="AJ89" s="3">
        <v>3.9256034</v>
      </c>
      <c r="AK89" s="3">
        <v>3.8954675000000001</v>
      </c>
      <c r="AL89" s="3">
        <v>3.8666839</v>
      </c>
      <c r="AM89" s="3">
        <v>3.8392388999999998</v>
      </c>
      <c r="AN89" s="3">
        <v>3.8131176</v>
      </c>
      <c r="AO89" s="3">
        <v>3.7883049999999998</v>
      </c>
      <c r="AP89" s="3">
        <v>3.7647873999999999</v>
      </c>
      <c r="AQ89" s="3">
        <v>3.7425497999999999</v>
      </c>
      <c r="AR89" s="3">
        <v>3.7215775999999998</v>
      </c>
      <c r="AS89" s="3">
        <v>3.7018564999999999</v>
      </c>
      <c r="AT89" s="3">
        <v>3.6833684999999998</v>
      </c>
      <c r="AU89" s="3">
        <v>3.6660816999999999</v>
      </c>
      <c r="AV89" s="3">
        <v>3.6499611999999999</v>
      </c>
      <c r="AW89" s="3">
        <v>3.6349718000000002</v>
      </c>
      <c r="AX89" s="3">
        <v>3.6210781000000001</v>
      </c>
      <c r="AY89" s="3">
        <v>3.6082453000000001</v>
      </c>
      <c r="AZ89" s="3">
        <v>3.5964380999999999</v>
      </c>
      <c r="BA89" s="3">
        <v>3.5856213000000001</v>
      </c>
      <c r="BB89" s="3">
        <v>3.5757599</v>
      </c>
      <c r="BC89" s="3">
        <v>3.5668186</v>
      </c>
      <c r="BD89" s="3">
        <v>3.5587623000000002</v>
      </c>
      <c r="BE89" s="3">
        <v>3.5515560000000002</v>
      </c>
      <c r="BF89" s="3">
        <v>3.545166</v>
      </c>
      <c r="BG89" s="3">
        <v>3.5395683</v>
      </c>
      <c r="BH89" s="3">
        <v>3.5347415999999998</v>
      </c>
      <c r="BI89" s="3">
        <v>3.5306647999999998</v>
      </c>
      <c r="BJ89" s="3">
        <v>3.5273165999999998</v>
      </c>
      <c r="BK89" s="3">
        <v>3.5246761000000002</v>
      </c>
      <c r="BL89" s="3">
        <v>3.5227219000000001</v>
      </c>
      <c r="BM89" s="3">
        <v>3.5214329000000002</v>
      </c>
      <c r="BN89" s="3">
        <v>3.5207880999999999</v>
      </c>
      <c r="BO89" s="3">
        <v>3.5207660999999999</v>
      </c>
      <c r="BP89" s="3">
        <v>3.5213459</v>
      </c>
      <c r="BQ89" s="3">
        <v>3.5225062999999999</v>
      </c>
      <c r="BR89" s="3">
        <v>3.5404293</v>
      </c>
      <c r="BS89" s="3">
        <v>3.5736335000000001</v>
      </c>
    </row>
    <row r="90" spans="1:71" x14ac:dyDescent="0.35">
      <c r="A90" s="6">
        <f t="shared" si="77"/>
        <v>45405</v>
      </c>
      <c r="B90">
        <f t="shared" si="72"/>
        <v>4</v>
      </c>
      <c r="C90">
        <f t="shared" si="73"/>
        <v>2024</v>
      </c>
      <c r="D90">
        <f t="shared" si="74"/>
        <v>202404</v>
      </c>
      <c r="E90">
        <f t="shared" si="75"/>
        <v>2</v>
      </c>
      <c r="F90">
        <f t="shared" si="76"/>
        <v>202402</v>
      </c>
      <c r="G90" t="s">
        <v>223</v>
      </c>
      <c r="H90" s="2">
        <v>5.25</v>
      </c>
      <c r="I90" s="2">
        <v>5.1997</v>
      </c>
      <c r="J90" s="3">
        <v>5.1804264</v>
      </c>
      <c r="K90" s="3">
        <v>5.1183350000000001</v>
      </c>
      <c r="L90" s="3">
        <v>5.0422995999999998</v>
      </c>
      <c r="M90" s="3">
        <v>4.9634992000000002</v>
      </c>
      <c r="N90" s="3">
        <v>4.8876328999999998</v>
      </c>
      <c r="O90" s="3">
        <v>4.8155286000000004</v>
      </c>
      <c r="P90" s="3">
        <v>4.7478866000000002</v>
      </c>
      <c r="Q90" s="3">
        <v>4.6858871000000004</v>
      </c>
      <c r="R90" s="3">
        <v>4.6307809000000004</v>
      </c>
      <c r="S90" s="3">
        <v>4.5827381999999997</v>
      </c>
      <c r="T90" s="3">
        <v>4.54068</v>
      </c>
      <c r="U90" s="3">
        <v>4.5031147999999996</v>
      </c>
      <c r="V90" s="3">
        <v>4.4671012000000001</v>
      </c>
      <c r="W90" s="3">
        <v>4.4316749</v>
      </c>
      <c r="X90" s="3">
        <v>4.3965123999999998</v>
      </c>
      <c r="Y90" s="3">
        <v>4.3612893000000001</v>
      </c>
      <c r="Z90" s="3">
        <v>4.3256810000000003</v>
      </c>
      <c r="AA90" s="3">
        <v>4.2893641999999996</v>
      </c>
      <c r="AB90" s="3">
        <v>4.2521287000000001</v>
      </c>
      <c r="AC90" s="3">
        <v>4.2142453</v>
      </c>
      <c r="AD90" s="3">
        <v>4.1761122000000004</v>
      </c>
      <c r="AE90" s="3">
        <v>4.1381262000000003</v>
      </c>
      <c r="AF90" s="3">
        <v>4.1006843000000002</v>
      </c>
      <c r="AG90" s="3">
        <v>4.0641847000000002</v>
      </c>
      <c r="AH90" s="3">
        <v>4.0289580000000003</v>
      </c>
      <c r="AI90" s="3">
        <v>3.995069</v>
      </c>
      <c r="AJ90" s="3">
        <v>3.9625176</v>
      </c>
      <c r="AK90" s="3">
        <v>3.9313022000000002</v>
      </c>
      <c r="AL90" s="3">
        <v>3.9014215000000001</v>
      </c>
      <c r="AM90" s="3">
        <v>3.8728750999999999</v>
      </c>
      <c r="AN90" s="3">
        <v>3.8456616000000001</v>
      </c>
      <c r="AO90" s="3">
        <v>3.8197795999999999</v>
      </c>
      <c r="AP90" s="3">
        <v>3.7952286000000002</v>
      </c>
      <c r="AQ90" s="3">
        <v>3.7720074000000001</v>
      </c>
      <c r="AR90" s="3">
        <v>3.7501145</v>
      </c>
      <c r="AS90" s="3">
        <v>3.7295495000000001</v>
      </c>
      <c r="AT90" s="3">
        <v>3.7103047</v>
      </c>
      <c r="AU90" s="3">
        <v>3.6923471000000001</v>
      </c>
      <c r="AV90" s="3">
        <v>3.6756381</v>
      </c>
      <c r="AW90" s="3">
        <v>3.6601385</v>
      </c>
      <c r="AX90" s="3">
        <v>3.6458089999999999</v>
      </c>
      <c r="AY90" s="3">
        <v>3.6326109999999998</v>
      </c>
      <c r="AZ90" s="3">
        <v>3.6205050000000001</v>
      </c>
      <c r="BA90" s="3">
        <v>3.6094520999999999</v>
      </c>
      <c r="BB90" s="3">
        <v>3.5994134</v>
      </c>
      <c r="BC90" s="3">
        <v>3.5903496000000001</v>
      </c>
      <c r="BD90" s="3">
        <v>3.5822216999999998</v>
      </c>
      <c r="BE90" s="3">
        <v>3.5749908000000001</v>
      </c>
      <c r="BF90" s="3">
        <v>3.5686192999999999</v>
      </c>
      <c r="BG90" s="3">
        <v>3.5630782999999999</v>
      </c>
      <c r="BH90" s="3">
        <v>3.5583412000000001</v>
      </c>
      <c r="BI90" s="3">
        <v>3.5543814</v>
      </c>
      <c r="BJ90" s="3">
        <v>3.5511724</v>
      </c>
      <c r="BK90" s="3">
        <v>3.5486876000000001</v>
      </c>
      <c r="BL90" s="3">
        <v>3.5469005</v>
      </c>
      <c r="BM90" s="3">
        <v>3.5457844999999999</v>
      </c>
      <c r="BN90" s="3">
        <v>3.5453130000000002</v>
      </c>
      <c r="BO90" s="3">
        <v>3.5454595000000002</v>
      </c>
      <c r="BP90" s="3">
        <v>3.5461974999999999</v>
      </c>
      <c r="BQ90" s="3">
        <v>3.5475002999999998</v>
      </c>
      <c r="BR90" s="3">
        <v>3.5658145999999999</v>
      </c>
      <c r="BS90" s="3">
        <v>3.5985130000000001</v>
      </c>
    </row>
    <row r="91" spans="1:71" x14ac:dyDescent="0.35">
      <c r="A91" s="6">
        <f t="shared" si="77"/>
        <v>45406</v>
      </c>
      <c r="B91">
        <f t="shared" si="72"/>
        <v>4</v>
      </c>
      <c r="C91">
        <f t="shared" si="73"/>
        <v>2024</v>
      </c>
      <c r="D91">
        <f t="shared" si="74"/>
        <v>202404</v>
      </c>
      <c r="E91">
        <f t="shared" si="75"/>
        <v>2</v>
      </c>
      <c r="F91">
        <f t="shared" si="76"/>
        <v>202402</v>
      </c>
      <c r="G91" t="s">
        <v>224</v>
      </c>
      <c r="H91" s="2">
        <v>5.25</v>
      </c>
      <c r="I91" s="2">
        <v>5.1993</v>
      </c>
      <c r="J91" s="3">
        <v>5.1819933000000002</v>
      </c>
      <c r="K91" s="3">
        <v>5.1274965999999997</v>
      </c>
      <c r="L91" s="3">
        <v>5.0596266999999999</v>
      </c>
      <c r="M91" s="3">
        <v>4.9892370000000001</v>
      </c>
      <c r="N91" s="3">
        <v>4.9224622</v>
      </c>
      <c r="O91" s="3">
        <v>4.8597729000000003</v>
      </c>
      <c r="P91" s="3">
        <v>4.8012493000000003</v>
      </c>
      <c r="Q91" s="3">
        <v>4.7475180999999997</v>
      </c>
      <c r="R91" s="3">
        <v>4.6994087000000002</v>
      </c>
      <c r="S91" s="3">
        <v>4.6570584999999998</v>
      </c>
      <c r="T91" s="3">
        <v>4.6196716000000002</v>
      </c>
      <c r="U91" s="3">
        <v>4.5859139999999998</v>
      </c>
      <c r="V91" s="3">
        <v>4.5531227000000003</v>
      </c>
      <c r="W91" s="3">
        <v>4.5204402000000004</v>
      </c>
      <c r="X91" s="3">
        <v>4.4875778000000004</v>
      </c>
      <c r="Y91" s="3">
        <v>4.4542453000000002</v>
      </c>
      <c r="Z91" s="3">
        <v>4.4201527</v>
      </c>
      <c r="AA91" s="3">
        <v>4.3850110999999998</v>
      </c>
      <c r="AB91" s="3">
        <v>4.3486412999999997</v>
      </c>
      <c r="AC91" s="3">
        <v>4.3113301000000002</v>
      </c>
      <c r="AD91" s="3">
        <v>4.2734880999999998</v>
      </c>
      <c r="AE91" s="3">
        <v>4.2355242999999998</v>
      </c>
      <c r="AF91" s="3">
        <v>4.1978479999999996</v>
      </c>
      <c r="AG91" s="3">
        <v>4.1608695999999998</v>
      </c>
      <c r="AH91" s="3">
        <v>4.1249371000000004</v>
      </c>
      <c r="AI91" s="3">
        <v>4.0901535999999998</v>
      </c>
      <c r="AJ91" s="3">
        <v>4.0565622000000001</v>
      </c>
      <c r="AK91" s="3">
        <v>4.0242047999999997</v>
      </c>
      <c r="AL91" s="3">
        <v>3.9931234</v>
      </c>
      <c r="AM91" s="3">
        <v>3.9633611000000002</v>
      </c>
      <c r="AN91" s="3">
        <v>3.9349596</v>
      </c>
      <c r="AO91" s="3">
        <v>3.9079611000000001</v>
      </c>
      <c r="AP91" s="3">
        <v>3.8824084999999999</v>
      </c>
      <c r="AQ91" s="3">
        <v>3.8583438000000001</v>
      </c>
      <c r="AR91" s="3">
        <v>3.8358089</v>
      </c>
      <c r="AS91" s="3">
        <v>3.8148468000000002</v>
      </c>
      <c r="AT91" s="3">
        <v>3.7954853000000002</v>
      </c>
      <c r="AU91" s="3">
        <v>3.7776833000000001</v>
      </c>
      <c r="AV91" s="3">
        <v>3.7613791999999999</v>
      </c>
      <c r="AW91" s="3">
        <v>3.7465107</v>
      </c>
      <c r="AX91" s="3">
        <v>3.7330157000000002</v>
      </c>
      <c r="AY91" s="3">
        <v>3.7208326999999999</v>
      </c>
      <c r="AZ91" s="3">
        <v>3.7098993</v>
      </c>
      <c r="BA91" s="3">
        <v>3.7001534999999999</v>
      </c>
      <c r="BB91" s="3">
        <v>3.6915336999999999</v>
      </c>
      <c r="BC91" s="3">
        <v>3.6839775000000001</v>
      </c>
      <c r="BD91" s="3">
        <v>3.6774230999999999</v>
      </c>
      <c r="BE91" s="3">
        <v>3.6718085</v>
      </c>
      <c r="BF91" s="3">
        <v>3.6670753999999999</v>
      </c>
      <c r="BG91" s="3">
        <v>3.6631824000000002</v>
      </c>
      <c r="BH91" s="3">
        <v>3.6600925000000002</v>
      </c>
      <c r="BI91" s="3">
        <v>3.6577687999999999</v>
      </c>
      <c r="BJ91" s="3">
        <v>3.6561743999999998</v>
      </c>
      <c r="BK91" s="3">
        <v>3.6552723999999999</v>
      </c>
      <c r="BL91" s="3">
        <v>3.6550259</v>
      </c>
      <c r="BM91" s="3">
        <v>3.6553977999999998</v>
      </c>
      <c r="BN91" s="3">
        <v>3.6563514000000001</v>
      </c>
      <c r="BO91" s="3">
        <v>3.6578496999999999</v>
      </c>
      <c r="BP91" s="3">
        <v>3.6598557</v>
      </c>
      <c r="BQ91" s="3">
        <v>3.6623326</v>
      </c>
      <c r="BR91" s="3">
        <v>3.6856730999999998</v>
      </c>
      <c r="BS91" s="3">
        <v>3.7206554999999999</v>
      </c>
    </row>
    <row r="92" spans="1:71" x14ac:dyDescent="0.35">
      <c r="A92" s="6">
        <f t="shared" si="77"/>
        <v>45407</v>
      </c>
      <c r="B92">
        <f t="shared" si="72"/>
        <v>4</v>
      </c>
      <c r="C92">
        <f t="shared" si="73"/>
        <v>2024</v>
      </c>
      <c r="D92">
        <f t="shared" si="74"/>
        <v>202404</v>
      </c>
      <c r="E92">
        <f t="shared" si="75"/>
        <v>2</v>
      </c>
      <c r="F92">
        <f t="shared" si="76"/>
        <v>202402</v>
      </c>
      <c r="G92" t="s">
        <v>225</v>
      </c>
      <c r="H92" s="2">
        <v>5.25</v>
      </c>
      <c r="I92" s="2">
        <v>5.1997999999999998</v>
      </c>
      <c r="J92" s="3">
        <v>5.1856567</v>
      </c>
      <c r="K92" s="3">
        <v>5.1365490999999999</v>
      </c>
      <c r="L92" s="3">
        <v>5.0734950000000003</v>
      </c>
      <c r="M92" s="3">
        <v>5.0075814999999997</v>
      </c>
      <c r="N92" s="3">
        <v>4.9455340999999997</v>
      </c>
      <c r="O92" s="3">
        <v>4.8881319000000003</v>
      </c>
      <c r="P92" s="3">
        <v>4.8355082999999999</v>
      </c>
      <c r="Q92" s="3">
        <v>4.7879417000000002</v>
      </c>
      <c r="R92" s="3">
        <v>4.7455797000000004</v>
      </c>
      <c r="S92" s="3">
        <v>4.7080247999999996</v>
      </c>
      <c r="T92" s="3">
        <v>4.6740427000000002</v>
      </c>
      <c r="U92" s="3">
        <v>4.6421697000000002</v>
      </c>
      <c r="V92" s="3">
        <v>4.6099766000000004</v>
      </c>
      <c r="W92" s="3">
        <v>4.5767832000000004</v>
      </c>
      <c r="X92" s="3">
        <v>4.5424455000000004</v>
      </c>
      <c r="Y92" s="3">
        <v>4.506818</v>
      </c>
      <c r="Z92" s="3">
        <v>4.4697553000000001</v>
      </c>
      <c r="AA92" s="3">
        <v>4.4311135000000004</v>
      </c>
      <c r="AB92" s="3">
        <v>4.3908443000000004</v>
      </c>
      <c r="AC92" s="3">
        <v>4.3493982000000004</v>
      </c>
      <c r="AD92" s="3">
        <v>4.3073864000000004</v>
      </c>
      <c r="AE92" s="3">
        <v>4.2654186000000003</v>
      </c>
      <c r="AF92" s="3">
        <v>4.2241046000000004</v>
      </c>
      <c r="AG92" s="3">
        <v>4.1840555999999998</v>
      </c>
      <c r="AH92" s="3">
        <v>4.1457943999999998</v>
      </c>
      <c r="AI92" s="3">
        <v>4.1094204999999997</v>
      </c>
      <c r="AJ92" s="3">
        <v>4.0749056000000001</v>
      </c>
      <c r="AK92" s="3">
        <v>4.0422203999999997</v>
      </c>
      <c r="AL92" s="3">
        <v>4.0113352999999998</v>
      </c>
      <c r="AM92" s="3">
        <v>3.9822220000000002</v>
      </c>
      <c r="AN92" s="3">
        <v>3.9548510000000001</v>
      </c>
      <c r="AO92" s="3">
        <v>3.9291931</v>
      </c>
      <c r="AP92" s="3">
        <v>3.9052197999999998</v>
      </c>
      <c r="AQ92" s="3">
        <v>3.8829017000000001</v>
      </c>
      <c r="AR92" s="3">
        <v>3.8622093999999998</v>
      </c>
      <c r="AS92" s="3">
        <v>3.8431144000000002</v>
      </c>
      <c r="AT92" s="3">
        <v>3.8255805000000001</v>
      </c>
      <c r="AU92" s="3">
        <v>3.8095412</v>
      </c>
      <c r="AV92" s="3">
        <v>3.7949220000000001</v>
      </c>
      <c r="AW92" s="3">
        <v>3.7816481</v>
      </c>
      <c r="AX92" s="3">
        <v>3.7696443999999998</v>
      </c>
      <c r="AY92" s="3">
        <v>3.7588366999999998</v>
      </c>
      <c r="AZ92" s="3">
        <v>3.7491498000000001</v>
      </c>
      <c r="BA92" s="3">
        <v>3.7405091000000001</v>
      </c>
      <c r="BB92" s="3">
        <v>3.7328397999999998</v>
      </c>
      <c r="BC92" s="3">
        <v>3.7260673</v>
      </c>
      <c r="BD92" s="3">
        <v>3.7201165999999999</v>
      </c>
      <c r="BE92" s="3">
        <v>3.7149131</v>
      </c>
      <c r="BF92" s="3">
        <v>3.7103901000000001</v>
      </c>
      <c r="BG92" s="3">
        <v>3.7065166000000001</v>
      </c>
      <c r="BH92" s="3">
        <v>3.7032718</v>
      </c>
      <c r="BI92" s="3">
        <v>3.7006344000000002</v>
      </c>
      <c r="BJ92" s="3">
        <v>3.6985836000000001</v>
      </c>
      <c r="BK92" s="3">
        <v>3.6970982000000001</v>
      </c>
      <c r="BL92" s="3">
        <v>3.6961572</v>
      </c>
      <c r="BM92" s="3">
        <v>3.6957396</v>
      </c>
      <c r="BN92" s="3">
        <v>3.6958243</v>
      </c>
      <c r="BO92" s="3">
        <v>3.6963903</v>
      </c>
      <c r="BP92" s="3">
        <v>3.6974165999999999</v>
      </c>
      <c r="BQ92" s="3">
        <v>3.6988821999999999</v>
      </c>
      <c r="BR92" s="3">
        <v>3.7159437999999998</v>
      </c>
      <c r="BS92" s="3">
        <v>3.7448667000000002</v>
      </c>
    </row>
    <row r="93" spans="1:71" x14ac:dyDescent="0.35">
      <c r="A93" s="6">
        <f t="shared" si="77"/>
        <v>45408</v>
      </c>
      <c r="B93">
        <f t="shared" si="72"/>
        <v>4</v>
      </c>
      <c r="C93">
        <f t="shared" si="73"/>
        <v>2024</v>
      </c>
      <c r="D93">
        <f t="shared" si="74"/>
        <v>202404</v>
      </c>
      <c r="E93">
        <f t="shared" si="75"/>
        <v>2</v>
      </c>
      <c r="F93">
        <f t="shared" si="76"/>
        <v>202402</v>
      </c>
      <c r="G93" t="s">
        <v>226</v>
      </c>
      <c r="H93" s="2">
        <v>5.25</v>
      </c>
      <c r="I93" s="2">
        <v>5.1999000000000004</v>
      </c>
      <c r="J93" s="3">
        <v>5.1833989999999996</v>
      </c>
      <c r="K93" s="3">
        <v>5.1273596000000001</v>
      </c>
      <c r="L93" s="3">
        <v>5.0613728</v>
      </c>
      <c r="M93" s="3">
        <v>4.9962876999999999</v>
      </c>
      <c r="N93" s="3">
        <v>4.9372201000000002</v>
      </c>
      <c r="O93" s="3">
        <v>4.8830986999999997</v>
      </c>
      <c r="P93" s="3">
        <v>4.8324151000000004</v>
      </c>
      <c r="Q93" s="3">
        <v>4.7846247999999996</v>
      </c>
      <c r="R93" s="3">
        <v>4.7396162999999998</v>
      </c>
      <c r="S93" s="3">
        <v>4.6972395999999996</v>
      </c>
      <c r="T93" s="3">
        <v>4.6569612999999999</v>
      </c>
      <c r="U93" s="3">
        <v>4.6180652999999996</v>
      </c>
      <c r="V93" s="3">
        <v>4.5791943000000002</v>
      </c>
      <c r="W93" s="3">
        <v>4.5399928999999997</v>
      </c>
      <c r="X93" s="3">
        <v>4.5004806999999998</v>
      </c>
      <c r="Y93" s="3">
        <v>4.4606759</v>
      </c>
      <c r="Z93" s="3">
        <v>4.4205968999999996</v>
      </c>
      <c r="AA93" s="3">
        <v>4.3802633000000002</v>
      </c>
      <c r="AB93" s="3">
        <v>4.3397404000000002</v>
      </c>
      <c r="AC93" s="3">
        <v>4.2993125000000001</v>
      </c>
      <c r="AD93" s="3">
        <v>4.2593281999999997</v>
      </c>
      <c r="AE93" s="3">
        <v>4.2201351000000003</v>
      </c>
      <c r="AF93" s="3">
        <v>4.1820804999999996</v>
      </c>
      <c r="AG93" s="3">
        <v>4.1455133000000002</v>
      </c>
      <c r="AH93" s="3">
        <v>4.1107205000000002</v>
      </c>
      <c r="AI93" s="3">
        <v>4.0777223999999999</v>
      </c>
      <c r="AJ93" s="3">
        <v>4.0464669000000004</v>
      </c>
      <c r="AK93" s="3">
        <v>4.0169005999999996</v>
      </c>
      <c r="AL93" s="3">
        <v>3.9889703999999999</v>
      </c>
      <c r="AM93" s="3">
        <v>3.9626241000000002</v>
      </c>
      <c r="AN93" s="3">
        <v>3.9378082999999999</v>
      </c>
      <c r="AO93" s="3">
        <v>3.9144698999999998</v>
      </c>
      <c r="AP93" s="3">
        <v>3.8925565999999998</v>
      </c>
      <c r="AQ93" s="3">
        <v>3.8720151999999999</v>
      </c>
      <c r="AR93" s="3">
        <v>3.8527925000000001</v>
      </c>
      <c r="AS93" s="3">
        <v>3.8348361</v>
      </c>
      <c r="AT93" s="3">
        <v>3.8180934999999998</v>
      </c>
      <c r="AU93" s="3">
        <v>3.8025147000000001</v>
      </c>
      <c r="AV93" s="3">
        <v>3.7880508000000002</v>
      </c>
      <c r="AW93" s="3">
        <v>3.7746523999999999</v>
      </c>
      <c r="AX93" s="3">
        <v>3.76227</v>
      </c>
      <c r="AY93" s="3">
        <v>3.7508547999999999</v>
      </c>
      <c r="AZ93" s="3">
        <v>3.7403572999999999</v>
      </c>
      <c r="BA93" s="3">
        <v>3.7307283</v>
      </c>
      <c r="BB93" s="3">
        <v>3.7219186999999998</v>
      </c>
      <c r="BC93" s="3">
        <v>3.7138791000000002</v>
      </c>
      <c r="BD93" s="3">
        <v>3.7065603</v>
      </c>
      <c r="BE93" s="3">
        <v>3.6999130999999998</v>
      </c>
      <c r="BF93" s="3">
        <v>3.6938936</v>
      </c>
      <c r="BG93" s="3">
        <v>3.6884817000000001</v>
      </c>
      <c r="BH93" s="3">
        <v>3.6836638000000002</v>
      </c>
      <c r="BI93" s="3">
        <v>3.6794262</v>
      </c>
      <c r="BJ93" s="3">
        <v>3.6757553000000001</v>
      </c>
      <c r="BK93" s="3">
        <v>3.6726377000000001</v>
      </c>
      <c r="BL93" s="3">
        <v>3.6700596000000001</v>
      </c>
      <c r="BM93" s="3">
        <v>3.6680074</v>
      </c>
      <c r="BN93" s="3">
        <v>3.6664675</v>
      </c>
      <c r="BO93" s="3">
        <v>3.6654263999999999</v>
      </c>
      <c r="BP93" s="3">
        <v>3.6648703999999999</v>
      </c>
      <c r="BQ93" s="3">
        <v>3.6647859</v>
      </c>
      <c r="BR93" s="3">
        <v>3.6734401000000001</v>
      </c>
      <c r="BS93" s="3">
        <v>3.6957686000000001</v>
      </c>
    </row>
    <row r="94" spans="1:71" x14ac:dyDescent="0.35">
      <c r="A94" s="6">
        <f t="shared" si="77"/>
        <v>45411</v>
      </c>
      <c r="B94">
        <f t="shared" si="72"/>
        <v>4</v>
      </c>
      <c r="C94">
        <f t="shared" si="73"/>
        <v>2024</v>
      </c>
      <c r="D94">
        <f t="shared" si="74"/>
        <v>202404</v>
      </c>
      <c r="E94">
        <f t="shared" si="75"/>
        <v>2</v>
      </c>
      <c r="F94">
        <f t="shared" si="76"/>
        <v>202402</v>
      </c>
      <c r="G94" t="s">
        <v>227</v>
      </c>
      <c r="H94" s="2">
        <v>5.25</v>
      </c>
      <c r="I94" s="2">
        <v>5.2</v>
      </c>
      <c r="J94" s="3">
        <v>5.1834258999999996</v>
      </c>
      <c r="K94" s="3">
        <v>5.1239276</v>
      </c>
      <c r="L94" s="3">
        <v>5.0540083999999998</v>
      </c>
      <c r="M94" s="3">
        <v>4.9841918999999999</v>
      </c>
      <c r="N94" s="3">
        <v>4.9195396999999996</v>
      </c>
      <c r="O94" s="3">
        <v>4.8592288999999997</v>
      </c>
      <c r="P94" s="3">
        <v>4.8028415999999998</v>
      </c>
      <c r="Q94" s="3">
        <v>4.7510200999999999</v>
      </c>
      <c r="R94" s="3">
        <v>4.7043420999999999</v>
      </c>
      <c r="S94" s="3">
        <v>4.6626390000000004</v>
      </c>
      <c r="T94" s="3">
        <v>4.6250404999999999</v>
      </c>
      <c r="U94" s="3">
        <v>4.5901510999999999</v>
      </c>
      <c r="V94" s="3">
        <v>4.5553888000000002</v>
      </c>
      <c r="W94" s="3">
        <v>4.5200608000000004</v>
      </c>
      <c r="X94" s="3">
        <v>4.4840773</v>
      </c>
      <c r="Y94" s="3">
        <v>4.4473469999999997</v>
      </c>
      <c r="Z94" s="3">
        <v>4.4097784000000004</v>
      </c>
      <c r="AA94" s="3">
        <v>4.3712818000000002</v>
      </c>
      <c r="AB94" s="3">
        <v>4.3318487000000001</v>
      </c>
      <c r="AC94" s="3">
        <v>4.2918196999999996</v>
      </c>
      <c r="AD94" s="3">
        <v>4.2516283000000001</v>
      </c>
      <c r="AE94" s="3">
        <v>4.2117065</v>
      </c>
      <c r="AF94" s="3">
        <v>4.1724863000000001</v>
      </c>
      <c r="AG94" s="3">
        <v>4.1344013999999998</v>
      </c>
      <c r="AH94" s="3">
        <v>4.0978082000000002</v>
      </c>
      <c r="AI94" s="3">
        <v>4.0627611999999997</v>
      </c>
      <c r="AJ94" s="3">
        <v>4.0292408000000002</v>
      </c>
      <c r="AK94" s="3">
        <v>3.9972259000000001</v>
      </c>
      <c r="AL94" s="3">
        <v>3.9666956</v>
      </c>
      <c r="AM94" s="3">
        <v>3.93763</v>
      </c>
      <c r="AN94" s="3">
        <v>3.9100082999999999</v>
      </c>
      <c r="AO94" s="3">
        <v>3.8838094999999999</v>
      </c>
      <c r="AP94" s="3">
        <v>3.8590137000000002</v>
      </c>
      <c r="AQ94" s="3">
        <v>3.8355999000000001</v>
      </c>
      <c r="AR94" s="3">
        <v>3.8135474999999999</v>
      </c>
      <c r="AS94" s="3">
        <v>3.7928362</v>
      </c>
      <c r="AT94" s="3">
        <v>3.7734420000000002</v>
      </c>
      <c r="AU94" s="3">
        <v>3.7553279000000002</v>
      </c>
      <c r="AV94" s="3">
        <v>3.7384539999999999</v>
      </c>
      <c r="AW94" s="3">
        <v>3.7227798999999999</v>
      </c>
      <c r="AX94" s="3">
        <v>3.7082654000000002</v>
      </c>
      <c r="AY94" s="3">
        <v>3.6948705999999998</v>
      </c>
      <c r="AZ94" s="3">
        <v>3.6825551999999999</v>
      </c>
      <c r="BA94" s="3">
        <v>3.6712788999999999</v>
      </c>
      <c r="BB94" s="3">
        <v>3.6610016999999999</v>
      </c>
      <c r="BC94" s="3">
        <v>3.6516834</v>
      </c>
      <c r="BD94" s="3">
        <v>3.6432837</v>
      </c>
      <c r="BE94" s="3">
        <v>3.6357626000000001</v>
      </c>
      <c r="BF94" s="3">
        <v>3.6290817999999998</v>
      </c>
      <c r="BG94" s="3">
        <v>3.6232137999999998</v>
      </c>
      <c r="BH94" s="3">
        <v>3.6181355000000002</v>
      </c>
      <c r="BI94" s="3">
        <v>3.6138235999999999</v>
      </c>
      <c r="BJ94" s="3">
        <v>3.6102549000000002</v>
      </c>
      <c r="BK94" s="3">
        <v>3.6074060999999999</v>
      </c>
      <c r="BL94" s="3">
        <v>3.6052540999999998</v>
      </c>
      <c r="BM94" s="3">
        <v>3.6037754</v>
      </c>
      <c r="BN94" s="3">
        <v>3.6029469999999999</v>
      </c>
      <c r="BO94" s="3">
        <v>3.6027455000000002</v>
      </c>
      <c r="BP94" s="3">
        <v>3.6031477999999999</v>
      </c>
      <c r="BQ94" s="3">
        <v>3.6041305000000001</v>
      </c>
      <c r="BR94" s="3">
        <v>3.6208908000000002</v>
      </c>
      <c r="BS94" s="3">
        <v>3.6525416000000002</v>
      </c>
    </row>
    <row r="95" spans="1:71" x14ac:dyDescent="0.35">
      <c r="A95" s="6">
        <f t="shared" si="77"/>
        <v>45412</v>
      </c>
      <c r="B95">
        <f t="shared" si="72"/>
        <v>4</v>
      </c>
      <c r="C95">
        <f t="shared" si="73"/>
        <v>2024</v>
      </c>
      <c r="D95">
        <f t="shared" si="74"/>
        <v>202404</v>
      </c>
      <c r="E95">
        <f t="shared" si="75"/>
        <v>2</v>
      </c>
      <c r="F95">
        <f t="shared" si="76"/>
        <v>202402</v>
      </c>
      <c r="G95" t="s">
        <v>228</v>
      </c>
      <c r="H95" s="2">
        <v>5.25</v>
      </c>
      <c r="I95" s="2">
        <v>5.1997999999999998</v>
      </c>
      <c r="J95" s="3">
        <v>5.1851984</v>
      </c>
      <c r="K95" s="3">
        <v>5.1353901000000004</v>
      </c>
      <c r="L95" s="3">
        <v>5.0750351</v>
      </c>
      <c r="M95" s="3">
        <v>5.0131968999999996</v>
      </c>
      <c r="N95" s="3">
        <v>4.9560019000000004</v>
      </c>
      <c r="O95" s="3">
        <v>4.9029444</v>
      </c>
      <c r="P95" s="3">
        <v>4.8531221000000002</v>
      </c>
      <c r="Q95" s="3">
        <v>4.8068704000000002</v>
      </c>
      <c r="R95" s="3">
        <v>4.7649857000000004</v>
      </c>
      <c r="S95" s="3">
        <v>4.7277091000000002</v>
      </c>
      <c r="T95" s="3">
        <v>4.6945418999999999</v>
      </c>
      <c r="U95" s="3">
        <v>4.6642637000000002</v>
      </c>
      <c r="V95" s="3">
        <v>4.6347699999999996</v>
      </c>
      <c r="W95" s="3">
        <v>4.6051972000000001</v>
      </c>
      <c r="X95" s="3">
        <v>4.5750715</v>
      </c>
      <c r="Y95" s="3">
        <v>4.5439182999999996</v>
      </c>
      <c r="Z95" s="3">
        <v>4.5112626000000002</v>
      </c>
      <c r="AA95" s="3">
        <v>4.4766309</v>
      </c>
      <c r="AB95" s="3">
        <v>4.4397057999999996</v>
      </c>
      <c r="AC95" s="3">
        <v>4.4009004999999997</v>
      </c>
      <c r="AD95" s="3">
        <v>4.3608415000000003</v>
      </c>
      <c r="AE95" s="3">
        <v>4.3201536000000003</v>
      </c>
      <c r="AF95" s="3">
        <v>4.2794619000000003</v>
      </c>
      <c r="AG95" s="3">
        <v>4.2393928000000001</v>
      </c>
      <c r="AH95" s="3">
        <v>4.2004720999999998</v>
      </c>
      <c r="AI95" s="3">
        <v>4.1628303000000004</v>
      </c>
      <c r="AJ95" s="3">
        <v>4.1264998000000004</v>
      </c>
      <c r="AK95" s="3">
        <v>4.0915122000000004</v>
      </c>
      <c r="AL95" s="3">
        <v>4.0578985999999997</v>
      </c>
      <c r="AM95" s="3">
        <v>4.0256917000000003</v>
      </c>
      <c r="AN95" s="3">
        <v>3.9949227</v>
      </c>
      <c r="AO95" s="3">
        <v>3.9656232</v>
      </c>
      <c r="AP95" s="3">
        <v>3.9378256</v>
      </c>
      <c r="AQ95" s="3">
        <v>3.9115612</v>
      </c>
      <c r="AR95" s="3">
        <v>3.8868615000000002</v>
      </c>
      <c r="AS95" s="3">
        <v>3.8637589999999999</v>
      </c>
      <c r="AT95" s="3">
        <v>3.8422691000000002</v>
      </c>
      <c r="AU95" s="3">
        <v>3.8223444999999998</v>
      </c>
      <c r="AV95" s="3">
        <v>3.8039223999999998</v>
      </c>
      <c r="AW95" s="3">
        <v>3.7869397</v>
      </c>
      <c r="AX95" s="3">
        <v>3.7713331000000001</v>
      </c>
      <c r="AY95" s="3">
        <v>3.7570397999999998</v>
      </c>
      <c r="AZ95" s="3">
        <v>3.7439966999999998</v>
      </c>
      <c r="BA95" s="3">
        <v>3.7321404</v>
      </c>
      <c r="BB95" s="3">
        <v>3.7214082999999998</v>
      </c>
      <c r="BC95" s="3">
        <v>3.7117369999999998</v>
      </c>
      <c r="BD95" s="3">
        <v>3.7030634999999998</v>
      </c>
      <c r="BE95" s="3">
        <v>3.6953247999999999</v>
      </c>
      <c r="BF95" s="3">
        <v>3.6884621000000002</v>
      </c>
      <c r="BG95" s="3">
        <v>3.6824393999999998</v>
      </c>
      <c r="BH95" s="3">
        <v>3.6772285999999998</v>
      </c>
      <c r="BI95" s="3">
        <v>3.6728014</v>
      </c>
      <c r="BJ95" s="3">
        <v>3.6691297</v>
      </c>
      <c r="BK95" s="3">
        <v>3.6661853</v>
      </c>
      <c r="BL95" s="3">
        <v>3.6639398999999999</v>
      </c>
      <c r="BM95" s="3">
        <v>3.6623654000000001</v>
      </c>
      <c r="BN95" s="3">
        <v>3.6614336000000001</v>
      </c>
      <c r="BO95" s="3">
        <v>3.6611163000000002</v>
      </c>
      <c r="BP95" s="3">
        <v>3.6613851999999998</v>
      </c>
      <c r="BQ95" s="3">
        <v>3.6622123000000002</v>
      </c>
      <c r="BR95" s="3">
        <v>3.6775546000000001</v>
      </c>
      <c r="BS95" s="3">
        <v>3.707335</v>
      </c>
    </row>
    <row r="96" spans="1:71" x14ac:dyDescent="0.35">
      <c r="A96" s="6">
        <f t="shared" si="77"/>
        <v>45413</v>
      </c>
      <c r="B96">
        <f t="shared" si="72"/>
        <v>5</v>
      </c>
      <c r="C96">
        <f t="shared" si="73"/>
        <v>2024</v>
      </c>
      <c r="D96">
        <f t="shared" si="74"/>
        <v>202405</v>
      </c>
      <c r="E96">
        <f t="shared" si="75"/>
        <v>2</v>
      </c>
      <c r="F96">
        <f t="shared" si="76"/>
        <v>202402</v>
      </c>
      <c r="G96" t="s">
        <v>229</v>
      </c>
      <c r="H96" s="2">
        <v>5.25</v>
      </c>
      <c r="I96" s="2">
        <v>5.2</v>
      </c>
      <c r="J96" s="3">
        <v>5.1827866</v>
      </c>
      <c r="K96" s="3">
        <v>5.1287642</v>
      </c>
      <c r="L96" s="3">
        <v>5.0675024000000004</v>
      </c>
      <c r="M96" s="3">
        <v>5.0072866999999999</v>
      </c>
      <c r="N96" s="3">
        <v>4.9530056</v>
      </c>
      <c r="O96" s="3">
        <v>4.9038240999999996</v>
      </c>
      <c r="P96" s="3">
        <v>4.8592301000000004</v>
      </c>
      <c r="Q96" s="3">
        <v>4.8197239999999999</v>
      </c>
      <c r="R96" s="3">
        <v>4.7856904</v>
      </c>
      <c r="S96" s="3">
        <v>4.7568691999999997</v>
      </c>
      <c r="T96" s="3">
        <v>4.7318106000000002</v>
      </c>
      <c r="U96" s="3">
        <v>4.7086454</v>
      </c>
      <c r="V96" s="3">
        <v>4.6842318000000001</v>
      </c>
      <c r="W96" s="3">
        <v>4.6576072999999996</v>
      </c>
      <c r="X96" s="3">
        <v>4.6284926999999998</v>
      </c>
      <c r="Y96" s="3">
        <v>4.5966079999999998</v>
      </c>
      <c r="Z96" s="3">
        <v>4.5616732000000004</v>
      </c>
      <c r="AA96" s="3">
        <v>4.5234093</v>
      </c>
      <c r="AB96" s="3">
        <v>4.4816766000000001</v>
      </c>
      <c r="AC96" s="3">
        <v>4.4371305000000003</v>
      </c>
      <c r="AD96" s="3">
        <v>4.3907074000000001</v>
      </c>
      <c r="AE96" s="3">
        <v>4.3433425000000003</v>
      </c>
      <c r="AF96" s="3">
        <v>4.2959711</v>
      </c>
      <c r="AG96" s="3">
        <v>4.2495301000000003</v>
      </c>
      <c r="AH96" s="3">
        <v>4.2048014</v>
      </c>
      <c r="AI96" s="3">
        <v>4.1619542000000003</v>
      </c>
      <c r="AJ96" s="3">
        <v>4.1210057999999998</v>
      </c>
      <c r="AK96" s="3">
        <v>4.0819723000000003</v>
      </c>
      <c r="AL96" s="3">
        <v>4.0448696000000002</v>
      </c>
      <c r="AM96" s="3">
        <v>4.0097149999999999</v>
      </c>
      <c r="AN96" s="3">
        <v>3.9765245</v>
      </c>
      <c r="AO96" s="3">
        <v>3.9453141</v>
      </c>
      <c r="AP96" s="3">
        <v>3.9161011000000001</v>
      </c>
      <c r="AQ96" s="3">
        <v>3.8889014</v>
      </c>
      <c r="AR96" s="3">
        <v>3.8637310999999999</v>
      </c>
      <c r="AS96" s="3">
        <v>3.8406074000000001</v>
      </c>
      <c r="AT96" s="3">
        <v>3.8195309000000002</v>
      </c>
      <c r="AU96" s="3">
        <v>3.8004196000000001</v>
      </c>
      <c r="AV96" s="3">
        <v>3.7831643000000001</v>
      </c>
      <c r="AW96" s="3">
        <v>3.7676552000000001</v>
      </c>
      <c r="AX96" s="3">
        <v>3.7537824</v>
      </c>
      <c r="AY96" s="3">
        <v>3.7414366999999999</v>
      </c>
      <c r="AZ96" s="3">
        <v>3.7305082999999999</v>
      </c>
      <c r="BA96" s="3">
        <v>3.7208874000000001</v>
      </c>
      <c r="BB96" s="3">
        <v>3.7124647</v>
      </c>
      <c r="BC96" s="3">
        <v>3.7051303</v>
      </c>
      <c r="BD96" s="3">
        <v>3.6987746000000001</v>
      </c>
      <c r="BE96" s="3">
        <v>3.6932879999999999</v>
      </c>
      <c r="BF96" s="3">
        <v>3.6885716</v>
      </c>
      <c r="BG96" s="3">
        <v>3.6845773999999998</v>
      </c>
      <c r="BH96" s="3">
        <v>3.6812735999999999</v>
      </c>
      <c r="BI96" s="3">
        <v>3.6786281000000001</v>
      </c>
      <c r="BJ96" s="3">
        <v>3.6766087999999999</v>
      </c>
      <c r="BK96" s="3">
        <v>3.6751838000000001</v>
      </c>
      <c r="BL96" s="3">
        <v>3.6743209999999999</v>
      </c>
      <c r="BM96" s="3">
        <v>3.6739883999999998</v>
      </c>
      <c r="BN96" s="3">
        <v>3.6741538999999999</v>
      </c>
      <c r="BO96" s="3">
        <v>3.6747855</v>
      </c>
      <c r="BP96" s="3">
        <v>3.6758511999999999</v>
      </c>
      <c r="BQ96" s="3">
        <v>3.6773189999999998</v>
      </c>
      <c r="BR96" s="3">
        <v>3.6934513</v>
      </c>
      <c r="BS96" s="3">
        <v>3.7200886999999998</v>
      </c>
    </row>
    <row r="97" spans="1:71" x14ac:dyDescent="0.35">
      <c r="A97" s="6">
        <f t="shared" si="77"/>
        <v>45414</v>
      </c>
      <c r="B97">
        <f t="shared" si="72"/>
        <v>5</v>
      </c>
      <c r="C97">
        <f t="shared" si="73"/>
        <v>2024</v>
      </c>
      <c r="D97">
        <f t="shared" si="74"/>
        <v>202405</v>
      </c>
      <c r="E97">
        <f t="shared" si="75"/>
        <v>2</v>
      </c>
      <c r="F97">
        <f t="shared" si="76"/>
        <v>202402</v>
      </c>
      <c r="G97" t="s">
        <v>230</v>
      </c>
      <c r="H97" s="2">
        <v>5.25</v>
      </c>
      <c r="I97" s="2">
        <v>5.2</v>
      </c>
      <c r="J97" s="3">
        <v>5.1741704999999998</v>
      </c>
      <c r="K97" s="3">
        <v>5.1119748999999999</v>
      </c>
      <c r="L97" s="3">
        <v>5.0426335</v>
      </c>
      <c r="M97" s="3">
        <v>4.9745910000000002</v>
      </c>
      <c r="N97" s="3">
        <v>4.9122592000000003</v>
      </c>
      <c r="O97" s="3">
        <v>4.8541115000000001</v>
      </c>
      <c r="P97" s="3">
        <v>4.7988716</v>
      </c>
      <c r="Q97" s="3">
        <v>4.7467104999999998</v>
      </c>
      <c r="R97" s="3">
        <v>4.6980158999999997</v>
      </c>
      <c r="S97" s="3">
        <v>4.6530750999999997</v>
      </c>
      <c r="T97" s="3">
        <v>4.6116254999999997</v>
      </c>
      <c r="U97" s="3">
        <v>4.5729799</v>
      </c>
      <c r="V97" s="3">
        <v>4.5358590999999997</v>
      </c>
      <c r="W97" s="3">
        <v>4.4995468000000001</v>
      </c>
      <c r="X97" s="3">
        <v>4.4635185000000002</v>
      </c>
      <c r="Y97" s="3">
        <v>4.4272486999999998</v>
      </c>
      <c r="Z97" s="3">
        <v>4.3902118999999997</v>
      </c>
      <c r="AA97" s="3">
        <v>4.3518838000000004</v>
      </c>
      <c r="AB97" s="3">
        <v>4.3118853000000001</v>
      </c>
      <c r="AC97" s="3">
        <v>4.2705883</v>
      </c>
      <c r="AD97" s="3">
        <v>4.2286057000000001</v>
      </c>
      <c r="AE97" s="3">
        <v>4.1865490999999997</v>
      </c>
      <c r="AF97" s="3">
        <v>4.1450303999999996</v>
      </c>
      <c r="AG97" s="3">
        <v>4.1046626000000002</v>
      </c>
      <c r="AH97" s="3">
        <v>4.0659808999999996</v>
      </c>
      <c r="AI97" s="3">
        <v>4.0291091999999997</v>
      </c>
      <c r="AJ97" s="3">
        <v>3.9940343</v>
      </c>
      <c r="AK97" s="3">
        <v>3.9607420000000002</v>
      </c>
      <c r="AL97" s="3">
        <v>3.9292180000000001</v>
      </c>
      <c r="AM97" s="3">
        <v>3.8994490000000002</v>
      </c>
      <c r="AN97" s="3">
        <v>3.8714208999999999</v>
      </c>
      <c r="AO97" s="3">
        <v>3.8451192999999999</v>
      </c>
      <c r="AP97" s="3">
        <v>3.8205309999999999</v>
      </c>
      <c r="AQ97" s="3">
        <v>3.7976416999999998</v>
      </c>
      <c r="AR97" s="3">
        <v>3.7764372000000002</v>
      </c>
      <c r="AS97" s="3">
        <v>3.7569042000000001</v>
      </c>
      <c r="AT97" s="3">
        <v>3.7390188000000002</v>
      </c>
      <c r="AU97" s="3">
        <v>3.7227104999999998</v>
      </c>
      <c r="AV97" s="3">
        <v>3.7078948999999999</v>
      </c>
      <c r="AW97" s="3">
        <v>3.6944870999999999</v>
      </c>
      <c r="AX97" s="3">
        <v>3.6824024</v>
      </c>
      <c r="AY97" s="3">
        <v>3.6715564000000001</v>
      </c>
      <c r="AZ97" s="3">
        <v>3.6618640999999998</v>
      </c>
      <c r="BA97" s="3">
        <v>3.6532409000000001</v>
      </c>
      <c r="BB97" s="3">
        <v>3.6456021999999999</v>
      </c>
      <c r="BC97" s="3">
        <v>3.6388633000000001</v>
      </c>
      <c r="BD97" s="3">
        <v>3.6329395</v>
      </c>
      <c r="BE97" s="3">
        <v>3.6277461</v>
      </c>
      <c r="BF97" s="3">
        <v>3.6232082000000001</v>
      </c>
      <c r="BG97" s="3">
        <v>3.6192940999999998</v>
      </c>
      <c r="BH97" s="3">
        <v>3.6159842000000002</v>
      </c>
      <c r="BI97" s="3">
        <v>3.6132585000000002</v>
      </c>
      <c r="BJ97" s="3">
        <v>3.6110975000000001</v>
      </c>
      <c r="BK97" s="3">
        <v>3.6094814</v>
      </c>
      <c r="BL97" s="3">
        <v>3.6083902999999999</v>
      </c>
      <c r="BM97" s="3">
        <v>3.6078046000000001</v>
      </c>
      <c r="BN97" s="3">
        <v>3.6077045000000001</v>
      </c>
      <c r="BO97" s="3">
        <v>3.6080701999999998</v>
      </c>
      <c r="BP97" s="3">
        <v>3.6088821000000002</v>
      </c>
      <c r="BQ97" s="3">
        <v>3.6101204</v>
      </c>
      <c r="BR97" s="3">
        <v>3.6256550000000001</v>
      </c>
      <c r="BS97" s="3">
        <v>3.6531242000000002</v>
      </c>
    </row>
    <row r="98" spans="1:71" x14ac:dyDescent="0.35">
      <c r="A98" s="6">
        <f t="shared" si="77"/>
        <v>45415</v>
      </c>
      <c r="B98">
        <f t="shared" si="72"/>
        <v>5</v>
      </c>
      <c r="C98">
        <f t="shared" si="73"/>
        <v>2024</v>
      </c>
      <c r="D98">
        <f t="shared" si="74"/>
        <v>202405</v>
      </c>
      <c r="E98">
        <f t="shared" si="75"/>
        <v>2</v>
      </c>
      <c r="F98">
        <f t="shared" si="76"/>
        <v>202402</v>
      </c>
      <c r="G98" t="s">
        <v>231</v>
      </c>
      <c r="H98" s="2">
        <v>5.25</v>
      </c>
      <c r="I98" s="2">
        <v>5.2000999999999999</v>
      </c>
      <c r="J98" s="3">
        <v>5.1712702000000004</v>
      </c>
      <c r="K98" s="3">
        <v>5.1003635000000003</v>
      </c>
      <c r="L98" s="3">
        <v>5.0239675999999998</v>
      </c>
      <c r="M98" s="3">
        <v>4.9492633000000001</v>
      </c>
      <c r="N98" s="3">
        <v>4.8792355000000001</v>
      </c>
      <c r="O98" s="3">
        <v>4.8124830999999997</v>
      </c>
      <c r="P98" s="3">
        <v>4.7483960999999999</v>
      </c>
      <c r="Q98" s="3">
        <v>4.6876537999999996</v>
      </c>
      <c r="R98" s="3">
        <v>4.6308990999999997</v>
      </c>
      <c r="S98" s="3">
        <v>4.5782889999999998</v>
      </c>
      <c r="T98" s="3">
        <v>4.5293833000000001</v>
      </c>
      <c r="U98" s="3">
        <v>4.4832177</v>
      </c>
      <c r="V98" s="3">
        <v>4.4378251000000004</v>
      </c>
      <c r="W98" s="3">
        <v>4.3926939999999997</v>
      </c>
      <c r="X98" s="3">
        <v>4.3479185999999999</v>
      </c>
      <c r="Y98" s="3">
        <v>4.3035917000000001</v>
      </c>
      <c r="Z98" s="3">
        <v>4.2598064999999998</v>
      </c>
      <c r="AA98" s="3">
        <v>4.2166573999999999</v>
      </c>
      <c r="AB98" s="3">
        <v>4.1742531999999999</v>
      </c>
      <c r="AC98" s="3">
        <v>4.1327758000000001</v>
      </c>
      <c r="AD98" s="3">
        <v>4.0924297000000003</v>
      </c>
      <c r="AE98" s="3">
        <v>4.0534181</v>
      </c>
      <c r="AF98" s="3">
        <v>4.0159440000000002</v>
      </c>
      <c r="AG98" s="3">
        <v>3.9802119</v>
      </c>
      <c r="AH98" s="3">
        <v>3.9463881999999999</v>
      </c>
      <c r="AI98" s="3">
        <v>3.9144595</v>
      </c>
      <c r="AJ98" s="3">
        <v>3.8843591000000002</v>
      </c>
      <c r="AK98" s="3">
        <v>3.8560189999999999</v>
      </c>
      <c r="AL98" s="3">
        <v>3.8293713</v>
      </c>
      <c r="AM98" s="3">
        <v>3.8043490000000002</v>
      </c>
      <c r="AN98" s="3">
        <v>3.7808842999999999</v>
      </c>
      <c r="AO98" s="3">
        <v>3.7589093999999998</v>
      </c>
      <c r="AP98" s="3">
        <v>3.7383571999999998</v>
      </c>
      <c r="AQ98" s="3">
        <v>3.7191599000000002</v>
      </c>
      <c r="AR98" s="3">
        <v>3.7012497</v>
      </c>
      <c r="AS98" s="3">
        <v>3.6845593999999999</v>
      </c>
      <c r="AT98" s="3">
        <v>3.669025</v>
      </c>
      <c r="AU98" s="3">
        <v>3.6545988999999999</v>
      </c>
      <c r="AV98" s="3">
        <v>3.6412384000000002</v>
      </c>
      <c r="AW98" s="3">
        <v>3.6289004</v>
      </c>
      <c r="AX98" s="3">
        <v>3.6175419</v>
      </c>
      <c r="AY98" s="3">
        <v>3.6071200999999999</v>
      </c>
      <c r="AZ98" s="3">
        <v>3.5975920000000001</v>
      </c>
      <c r="BA98" s="3">
        <v>3.5889145999999998</v>
      </c>
      <c r="BB98" s="3">
        <v>3.5810450999999999</v>
      </c>
      <c r="BC98" s="3">
        <v>3.5739404000000001</v>
      </c>
      <c r="BD98" s="3">
        <v>3.5675576000000002</v>
      </c>
      <c r="BE98" s="3">
        <v>3.5618538000000002</v>
      </c>
      <c r="BF98" s="3">
        <v>3.5567901000000002</v>
      </c>
      <c r="BG98" s="3">
        <v>3.5523454000000001</v>
      </c>
      <c r="BH98" s="3">
        <v>3.5485036999999999</v>
      </c>
      <c r="BI98" s="3">
        <v>3.5452488999999998</v>
      </c>
      <c r="BJ98" s="3">
        <v>3.5425648000000001</v>
      </c>
      <c r="BK98" s="3">
        <v>3.5404353</v>
      </c>
      <c r="BL98" s="3">
        <v>3.5388445000000002</v>
      </c>
      <c r="BM98" s="3">
        <v>3.5377760999999999</v>
      </c>
      <c r="BN98" s="3">
        <v>3.5372140999999999</v>
      </c>
      <c r="BO98" s="3">
        <v>3.5371424999999999</v>
      </c>
      <c r="BP98" s="3">
        <v>3.5375450000000002</v>
      </c>
      <c r="BQ98" s="3">
        <v>3.5384055999999999</v>
      </c>
      <c r="BR98" s="3">
        <v>3.5524607000000001</v>
      </c>
      <c r="BS98" s="3">
        <v>3.5799984999999999</v>
      </c>
    </row>
    <row r="99" spans="1:71" x14ac:dyDescent="0.35">
      <c r="A99" s="6">
        <f t="shared" si="77"/>
        <v>45418</v>
      </c>
      <c r="B99">
        <f t="shared" si="72"/>
        <v>5</v>
      </c>
      <c r="C99">
        <f t="shared" si="73"/>
        <v>2024</v>
      </c>
      <c r="D99">
        <f t="shared" si="74"/>
        <v>202405</v>
      </c>
      <c r="E99">
        <f t="shared" si="75"/>
        <v>2</v>
      </c>
      <c r="F99">
        <f t="shared" si="76"/>
        <v>202402</v>
      </c>
      <c r="G99" t="s">
        <v>232</v>
      </c>
      <c r="H99" s="2">
        <v>5.25</v>
      </c>
      <c r="I99" s="2" t="e">
        <v>#N/A</v>
      </c>
      <c r="J99" s="3" t="e">
        <v>#N/A</v>
      </c>
      <c r="K99" s="3" t="e">
        <v>#N/A</v>
      </c>
      <c r="L99" s="3" t="e">
        <v>#N/A</v>
      </c>
      <c r="M99" s="3" t="e">
        <v>#N/A</v>
      </c>
      <c r="N99" s="3" t="e">
        <v>#N/A</v>
      </c>
      <c r="O99" s="3" t="e">
        <v>#N/A</v>
      </c>
      <c r="P99" s="3" t="e">
        <v>#N/A</v>
      </c>
      <c r="Q99" s="3" t="e">
        <v>#N/A</v>
      </c>
      <c r="R99" s="3" t="e">
        <v>#N/A</v>
      </c>
      <c r="S99" s="3" t="e">
        <v>#N/A</v>
      </c>
      <c r="T99" s="3" t="e">
        <v>#N/A</v>
      </c>
      <c r="U99" s="3" t="e">
        <v>#N/A</v>
      </c>
      <c r="V99" s="3" t="e">
        <v>#N/A</v>
      </c>
      <c r="W99" s="3" t="e">
        <v>#N/A</v>
      </c>
      <c r="X99" s="3" t="e">
        <v>#N/A</v>
      </c>
      <c r="Y99" s="3" t="e">
        <v>#N/A</v>
      </c>
      <c r="Z99" s="3" t="e">
        <v>#N/A</v>
      </c>
      <c r="AA99" s="3" t="e">
        <v>#N/A</v>
      </c>
      <c r="AB99" s="3" t="e">
        <v>#N/A</v>
      </c>
      <c r="AC99" s="3" t="e">
        <v>#N/A</v>
      </c>
      <c r="AD99" s="3" t="e">
        <v>#N/A</v>
      </c>
      <c r="AE99" s="3" t="e">
        <v>#N/A</v>
      </c>
      <c r="AF99" s="3" t="e">
        <v>#N/A</v>
      </c>
      <c r="AG99" s="3" t="e">
        <v>#N/A</v>
      </c>
      <c r="AH99" s="3" t="e">
        <v>#N/A</v>
      </c>
      <c r="AI99" s="3" t="e">
        <v>#N/A</v>
      </c>
      <c r="AJ99" s="3" t="e">
        <v>#N/A</v>
      </c>
      <c r="AK99" s="3" t="e">
        <v>#N/A</v>
      </c>
      <c r="AL99" s="3" t="e">
        <v>#N/A</v>
      </c>
      <c r="AM99" s="3" t="e">
        <v>#N/A</v>
      </c>
      <c r="AN99" s="3" t="e">
        <v>#N/A</v>
      </c>
      <c r="AO99" s="3" t="e">
        <v>#N/A</v>
      </c>
      <c r="AP99" s="3" t="e">
        <v>#N/A</v>
      </c>
      <c r="AQ99" s="3" t="e">
        <v>#N/A</v>
      </c>
      <c r="AR99" s="3" t="e">
        <v>#N/A</v>
      </c>
      <c r="AS99" s="3" t="e">
        <v>#N/A</v>
      </c>
      <c r="AT99" s="3" t="e">
        <v>#N/A</v>
      </c>
      <c r="AU99" s="3" t="e">
        <v>#N/A</v>
      </c>
      <c r="AV99" s="3" t="e">
        <v>#N/A</v>
      </c>
      <c r="AW99" s="3" t="e">
        <v>#N/A</v>
      </c>
      <c r="AX99" s="3" t="e">
        <v>#N/A</v>
      </c>
      <c r="AY99" s="3" t="e">
        <v>#N/A</v>
      </c>
      <c r="AZ99" s="3" t="e">
        <v>#N/A</v>
      </c>
      <c r="BA99" s="3" t="e">
        <v>#N/A</v>
      </c>
      <c r="BB99" s="3" t="e">
        <v>#N/A</v>
      </c>
      <c r="BC99" s="3" t="e">
        <v>#N/A</v>
      </c>
      <c r="BD99" s="3" t="e">
        <v>#N/A</v>
      </c>
      <c r="BE99" s="3" t="e">
        <v>#N/A</v>
      </c>
      <c r="BF99" s="3" t="e">
        <v>#N/A</v>
      </c>
      <c r="BG99" s="3" t="e">
        <v>#N/A</v>
      </c>
      <c r="BH99" s="3" t="e">
        <v>#N/A</v>
      </c>
      <c r="BI99" s="3" t="e">
        <v>#N/A</v>
      </c>
      <c r="BJ99" s="3" t="e">
        <v>#N/A</v>
      </c>
      <c r="BK99" s="3" t="e">
        <v>#N/A</v>
      </c>
      <c r="BL99" s="3" t="e">
        <v>#N/A</v>
      </c>
      <c r="BM99" s="3" t="e">
        <v>#N/A</v>
      </c>
      <c r="BN99" s="3" t="e">
        <v>#N/A</v>
      </c>
      <c r="BO99" s="3" t="e">
        <v>#N/A</v>
      </c>
      <c r="BP99" s="3" t="e">
        <v>#N/A</v>
      </c>
      <c r="BQ99" s="3" t="e">
        <v>#N/A</v>
      </c>
      <c r="BR99" s="3" t="e">
        <v>#N/A</v>
      </c>
      <c r="BS99" s="3" t="e">
        <v>#N/A</v>
      </c>
    </row>
    <row r="100" spans="1:71" x14ac:dyDescent="0.35">
      <c r="A100" s="6">
        <f t="shared" si="77"/>
        <v>45419</v>
      </c>
      <c r="B100">
        <f t="shared" si="72"/>
        <v>5</v>
      </c>
      <c r="C100">
        <f t="shared" si="73"/>
        <v>2024</v>
      </c>
      <c r="D100">
        <f t="shared" si="74"/>
        <v>202405</v>
      </c>
      <c r="E100">
        <f t="shared" si="75"/>
        <v>2</v>
      </c>
      <c r="F100">
        <f t="shared" si="76"/>
        <v>202402</v>
      </c>
      <c r="G100" t="s">
        <v>233</v>
      </c>
      <c r="H100" s="2">
        <v>5.25</v>
      </c>
      <c r="I100" s="2">
        <v>5.2</v>
      </c>
      <c r="J100" s="3">
        <v>5.1658607999999999</v>
      </c>
      <c r="K100" s="3">
        <v>5.0926656000000001</v>
      </c>
      <c r="L100" s="3">
        <v>5.0167811999999996</v>
      </c>
      <c r="M100" s="3">
        <v>4.9418597999999996</v>
      </c>
      <c r="N100" s="3">
        <v>4.8687040000000001</v>
      </c>
      <c r="O100" s="3">
        <v>4.7956925000000004</v>
      </c>
      <c r="P100" s="3">
        <v>4.7232078</v>
      </c>
      <c r="Q100" s="3">
        <v>4.6533796000000001</v>
      </c>
      <c r="R100" s="3">
        <v>4.5881558</v>
      </c>
      <c r="S100" s="3">
        <v>4.5286464000000004</v>
      </c>
      <c r="T100" s="3">
        <v>4.4751232999999999</v>
      </c>
      <c r="U100" s="3">
        <v>4.4268951999999997</v>
      </c>
      <c r="V100" s="3">
        <v>4.3825152000000003</v>
      </c>
      <c r="W100" s="3">
        <v>4.3410095000000002</v>
      </c>
      <c r="X100" s="3">
        <v>4.3015751</v>
      </c>
      <c r="Y100" s="3">
        <v>4.2634071000000002</v>
      </c>
      <c r="Z100" s="3">
        <v>4.2257011000000002</v>
      </c>
      <c r="AA100" s="3">
        <v>4.1876536</v>
      </c>
      <c r="AB100" s="3">
        <v>4.1486330999999996</v>
      </c>
      <c r="AC100" s="3">
        <v>4.1088110999999996</v>
      </c>
      <c r="AD100" s="3">
        <v>4.0685929999999999</v>
      </c>
      <c r="AE100" s="3">
        <v>4.0283828000000002</v>
      </c>
      <c r="AF100" s="3">
        <v>3.9885845999999998</v>
      </c>
      <c r="AG100" s="3">
        <v>3.9496039000000001</v>
      </c>
      <c r="AH100" s="3">
        <v>3.9117837</v>
      </c>
      <c r="AI100" s="3">
        <v>3.8752230999999999</v>
      </c>
      <c r="AJ100" s="3">
        <v>3.8399614</v>
      </c>
      <c r="AK100" s="3">
        <v>3.8060366000000001</v>
      </c>
      <c r="AL100" s="3">
        <v>3.7734869999999998</v>
      </c>
      <c r="AM100" s="3">
        <v>3.7423516000000001</v>
      </c>
      <c r="AN100" s="3">
        <v>3.7126687</v>
      </c>
      <c r="AO100" s="3">
        <v>3.6844763</v>
      </c>
      <c r="AP100" s="3">
        <v>3.6578135999999999</v>
      </c>
      <c r="AQ100" s="3">
        <v>3.6327188000000001</v>
      </c>
      <c r="AR100" s="3">
        <v>3.6092300000000002</v>
      </c>
      <c r="AS100" s="3">
        <v>3.5873862999999999</v>
      </c>
      <c r="AT100" s="3">
        <v>3.5672085</v>
      </c>
      <c r="AU100" s="3">
        <v>3.5486485000000001</v>
      </c>
      <c r="AV100" s="3">
        <v>3.5316413</v>
      </c>
      <c r="AW100" s="3">
        <v>3.5161215000000001</v>
      </c>
      <c r="AX100" s="3">
        <v>3.5020234000000001</v>
      </c>
      <c r="AY100" s="3">
        <v>3.4892821000000001</v>
      </c>
      <c r="AZ100" s="3">
        <v>3.4778321000000001</v>
      </c>
      <c r="BA100" s="3">
        <v>3.4676079</v>
      </c>
      <c r="BB100" s="3">
        <v>3.4585444999999999</v>
      </c>
      <c r="BC100" s="3">
        <v>3.4505764000000001</v>
      </c>
      <c r="BD100" s="3">
        <v>3.4436382999999999</v>
      </c>
      <c r="BE100" s="3">
        <v>3.4376647999999999</v>
      </c>
      <c r="BF100" s="3">
        <v>3.4325950000000001</v>
      </c>
      <c r="BG100" s="3">
        <v>3.4283888999999999</v>
      </c>
      <c r="BH100" s="3">
        <v>3.4250132999999998</v>
      </c>
      <c r="BI100" s="3">
        <v>3.4224345999999999</v>
      </c>
      <c r="BJ100" s="3">
        <v>3.4206194000000001</v>
      </c>
      <c r="BK100" s="3">
        <v>3.4195343999999999</v>
      </c>
      <c r="BL100" s="3">
        <v>3.4191460999999999</v>
      </c>
      <c r="BM100" s="3">
        <v>3.4194209999999998</v>
      </c>
      <c r="BN100" s="3">
        <v>3.4203258000000001</v>
      </c>
      <c r="BO100" s="3">
        <v>3.421827</v>
      </c>
      <c r="BP100" s="3">
        <v>3.4238911999999999</v>
      </c>
      <c r="BQ100" s="3">
        <v>3.426485</v>
      </c>
      <c r="BR100" s="3">
        <v>3.4516748000000002</v>
      </c>
      <c r="BS100" s="3">
        <v>3.4898220000000002</v>
      </c>
    </row>
    <row r="101" spans="1:71" x14ac:dyDescent="0.35">
      <c r="A101" s="6">
        <f t="shared" si="77"/>
        <v>45420</v>
      </c>
      <c r="B101">
        <f t="shared" si="72"/>
        <v>5</v>
      </c>
      <c r="C101">
        <f t="shared" si="73"/>
        <v>2024</v>
      </c>
      <c r="D101">
        <f t="shared" si="74"/>
        <v>202405</v>
      </c>
      <c r="E101">
        <f t="shared" si="75"/>
        <v>2</v>
      </c>
      <c r="F101">
        <f t="shared" si="76"/>
        <v>202402</v>
      </c>
      <c r="G101" t="s">
        <v>234</v>
      </c>
      <c r="H101" s="2">
        <v>5.25</v>
      </c>
      <c r="I101" s="2">
        <v>5.2</v>
      </c>
      <c r="J101" s="3">
        <v>5.1566669000000003</v>
      </c>
      <c r="K101" s="3">
        <v>5.0761636000000001</v>
      </c>
      <c r="L101" s="3">
        <v>4.9978420000000003</v>
      </c>
      <c r="M101" s="3">
        <v>4.9231594000000003</v>
      </c>
      <c r="N101" s="3">
        <v>4.8509447999999997</v>
      </c>
      <c r="O101" s="3">
        <v>4.7793498000000003</v>
      </c>
      <c r="P101" s="3">
        <v>4.7094934999999998</v>
      </c>
      <c r="Q101" s="3">
        <v>4.6441851999999999</v>
      </c>
      <c r="R101" s="3">
        <v>4.5851154999999997</v>
      </c>
      <c r="S101" s="3">
        <v>4.5327786000000003</v>
      </c>
      <c r="T101" s="3">
        <v>4.4861275000000003</v>
      </c>
      <c r="U101" s="3">
        <v>4.4436754000000001</v>
      </c>
      <c r="V101" s="3">
        <v>4.4026642999999996</v>
      </c>
      <c r="W101" s="3">
        <v>4.3621283000000002</v>
      </c>
      <c r="X101" s="3">
        <v>4.3216843999999996</v>
      </c>
      <c r="Y101" s="3">
        <v>4.2809480000000004</v>
      </c>
      <c r="Z101" s="3">
        <v>4.2395345000000004</v>
      </c>
      <c r="AA101" s="3">
        <v>4.1970609000000003</v>
      </c>
      <c r="AB101" s="3">
        <v>4.1532546000000004</v>
      </c>
      <c r="AC101" s="3">
        <v>4.1084778999999996</v>
      </c>
      <c r="AD101" s="3">
        <v>4.0633179999999998</v>
      </c>
      <c r="AE101" s="3">
        <v>4.0183606000000003</v>
      </c>
      <c r="AF101" s="3">
        <v>3.9741917</v>
      </c>
      <c r="AG101" s="3">
        <v>3.9313984999999998</v>
      </c>
      <c r="AH101" s="3">
        <v>3.8904668</v>
      </c>
      <c r="AI101" s="3">
        <v>3.8514819999999999</v>
      </c>
      <c r="AJ101" s="3">
        <v>3.8144311000000002</v>
      </c>
      <c r="AK101" s="3">
        <v>3.7792992999999999</v>
      </c>
      <c r="AL101" s="3">
        <v>3.7460722</v>
      </c>
      <c r="AM101" s="3">
        <v>3.7147364</v>
      </c>
      <c r="AN101" s="3">
        <v>3.6852775000000002</v>
      </c>
      <c r="AO101" s="3">
        <v>3.6576808000000001</v>
      </c>
      <c r="AP101" s="3">
        <v>3.6319330000000001</v>
      </c>
      <c r="AQ101" s="3">
        <v>3.6080196999999998</v>
      </c>
      <c r="AR101" s="3">
        <v>3.5859263000000001</v>
      </c>
      <c r="AS101" s="3">
        <v>3.5656393999999998</v>
      </c>
      <c r="AT101" s="3">
        <v>3.5471347</v>
      </c>
      <c r="AU101" s="3">
        <v>3.5303398000000001</v>
      </c>
      <c r="AV101" s="3">
        <v>3.5151686999999998</v>
      </c>
      <c r="AW101" s="3">
        <v>3.5015344000000002</v>
      </c>
      <c r="AX101" s="3">
        <v>3.4893500999999998</v>
      </c>
      <c r="AY101" s="3">
        <v>3.4785295000000001</v>
      </c>
      <c r="AZ101" s="3">
        <v>3.4689857000000002</v>
      </c>
      <c r="BA101" s="3">
        <v>3.4606319999999999</v>
      </c>
      <c r="BB101" s="3">
        <v>3.4533819000000001</v>
      </c>
      <c r="BC101" s="3">
        <v>3.4471487999999999</v>
      </c>
      <c r="BD101" s="3">
        <v>3.4418457</v>
      </c>
      <c r="BE101" s="3">
        <v>3.4373863999999998</v>
      </c>
      <c r="BF101" s="3">
        <v>3.4336924</v>
      </c>
      <c r="BG101" s="3">
        <v>3.4307235</v>
      </c>
      <c r="BH101" s="3">
        <v>3.4284496</v>
      </c>
      <c r="BI101" s="3">
        <v>3.4268407000000001</v>
      </c>
      <c r="BJ101" s="3">
        <v>3.4258666999999998</v>
      </c>
      <c r="BK101" s="3">
        <v>3.4254977000000002</v>
      </c>
      <c r="BL101" s="3">
        <v>3.4257035</v>
      </c>
      <c r="BM101" s="3">
        <v>3.4264543000000001</v>
      </c>
      <c r="BN101" s="3">
        <v>3.4277199999999999</v>
      </c>
      <c r="BO101" s="3">
        <v>3.4294704999999999</v>
      </c>
      <c r="BP101" s="3">
        <v>3.4316757999999998</v>
      </c>
      <c r="BQ101" s="3">
        <v>3.4343059</v>
      </c>
      <c r="BR101" s="3">
        <v>3.4578475000000002</v>
      </c>
      <c r="BS101" s="3">
        <v>3.4922789999999999</v>
      </c>
    </row>
    <row r="102" spans="1:71" x14ac:dyDescent="0.35">
      <c r="A102" s="6">
        <f t="shared" si="77"/>
        <v>45421</v>
      </c>
      <c r="B102">
        <f t="shared" si="72"/>
        <v>5</v>
      </c>
      <c r="C102">
        <f t="shared" si="73"/>
        <v>2024</v>
      </c>
      <c r="D102">
        <f t="shared" si="74"/>
        <v>202405</v>
      </c>
      <c r="E102">
        <f t="shared" si="75"/>
        <v>2</v>
      </c>
      <c r="F102">
        <f t="shared" si="76"/>
        <v>202402</v>
      </c>
      <c r="G102" t="s">
        <v>235</v>
      </c>
      <c r="H102" s="2">
        <v>5.25</v>
      </c>
      <c r="I102" s="2">
        <v>5.2</v>
      </c>
      <c r="J102" s="3">
        <v>5.1626161000000002</v>
      </c>
      <c r="K102" s="3">
        <v>5.0646918999999997</v>
      </c>
      <c r="L102" s="3">
        <v>4.9759418000000002</v>
      </c>
      <c r="M102" s="3">
        <v>4.8958560999999996</v>
      </c>
      <c r="N102" s="3">
        <v>4.8203430999999997</v>
      </c>
      <c r="O102" s="3">
        <v>4.7453181999999998</v>
      </c>
      <c r="P102" s="3">
        <v>4.6697515000000003</v>
      </c>
      <c r="Q102" s="3">
        <v>4.5951484000000002</v>
      </c>
      <c r="R102" s="3">
        <v>4.5236859000000003</v>
      </c>
      <c r="S102" s="3">
        <v>4.4571984000000002</v>
      </c>
      <c r="T102" s="3">
        <v>4.3965870000000002</v>
      </c>
      <c r="U102" s="3">
        <v>4.3419604999999999</v>
      </c>
      <c r="V102" s="3">
        <v>4.2924698000000001</v>
      </c>
      <c r="W102" s="3">
        <v>4.2470984999999999</v>
      </c>
      <c r="X102" s="3">
        <v>4.2048483000000001</v>
      </c>
      <c r="Y102" s="3">
        <v>4.1647192999999998</v>
      </c>
      <c r="Z102" s="3">
        <v>4.1257118000000004</v>
      </c>
      <c r="AA102" s="3">
        <v>4.0868272000000001</v>
      </c>
      <c r="AB102" s="3">
        <v>4.0472549000000004</v>
      </c>
      <c r="AC102" s="3">
        <v>4.0071516999999997</v>
      </c>
      <c r="AD102" s="3">
        <v>3.9669854</v>
      </c>
      <c r="AE102" s="3">
        <v>3.9272223999999998</v>
      </c>
      <c r="AF102" s="3">
        <v>3.8883290000000001</v>
      </c>
      <c r="AG102" s="3">
        <v>3.8507729999999998</v>
      </c>
      <c r="AH102" s="3">
        <v>3.8149552999999998</v>
      </c>
      <c r="AI102" s="3">
        <v>3.7809580999999999</v>
      </c>
      <c r="AJ102" s="3">
        <v>3.7487675</v>
      </c>
      <c r="AK102" s="3">
        <v>3.7183684000000001</v>
      </c>
      <c r="AL102" s="3">
        <v>3.689746</v>
      </c>
      <c r="AM102" s="3">
        <v>3.6628862999999998</v>
      </c>
      <c r="AN102" s="3">
        <v>3.6377742</v>
      </c>
      <c r="AO102" s="3">
        <v>3.614395</v>
      </c>
      <c r="AP102" s="3">
        <v>3.5927346</v>
      </c>
      <c r="AQ102" s="3">
        <v>3.572778</v>
      </c>
      <c r="AR102" s="3">
        <v>3.5545103999999998</v>
      </c>
      <c r="AS102" s="3">
        <v>3.5379176999999999</v>
      </c>
      <c r="AT102" s="3">
        <v>3.522974</v>
      </c>
      <c r="AU102" s="3">
        <v>3.5096053</v>
      </c>
      <c r="AV102" s="3">
        <v>3.497725</v>
      </c>
      <c r="AW102" s="3">
        <v>3.4872455000000002</v>
      </c>
      <c r="AX102" s="3">
        <v>3.4780798000000002</v>
      </c>
      <c r="AY102" s="3">
        <v>3.4701407999999998</v>
      </c>
      <c r="AZ102" s="3">
        <v>3.4633413000000002</v>
      </c>
      <c r="BA102" s="3">
        <v>3.4575941000000001</v>
      </c>
      <c r="BB102" s="3">
        <v>3.4528121000000001</v>
      </c>
      <c r="BC102" s="3">
        <v>3.4489082999999998</v>
      </c>
      <c r="BD102" s="3">
        <v>3.4457952999999999</v>
      </c>
      <c r="BE102" s="3">
        <v>3.4433861000000001</v>
      </c>
      <c r="BF102" s="3">
        <v>3.4416034</v>
      </c>
      <c r="BG102" s="3">
        <v>3.4404130999999998</v>
      </c>
      <c r="BH102" s="3">
        <v>3.4397932</v>
      </c>
      <c r="BI102" s="3">
        <v>3.4397215000000001</v>
      </c>
      <c r="BJ102" s="3">
        <v>3.4401758999999998</v>
      </c>
      <c r="BK102" s="3">
        <v>3.4411345</v>
      </c>
      <c r="BL102" s="3">
        <v>3.4425751</v>
      </c>
      <c r="BM102" s="3">
        <v>3.4444756999999999</v>
      </c>
      <c r="BN102" s="3">
        <v>3.4468141000000001</v>
      </c>
      <c r="BO102" s="3">
        <v>3.4495683000000001</v>
      </c>
      <c r="BP102" s="3">
        <v>3.4527163000000001</v>
      </c>
      <c r="BQ102" s="3">
        <v>3.4562358</v>
      </c>
      <c r="BR102" s="3">
        <v>3.4842411000000002</v>
      </c>
      <c r="BS102" s="3">
        <v>3.5220022000000002</v>
      </c>
    </row>
    <row r="103" spans="1:71" x14ac:dyDescent="0.35">
      <c r="A103" s="6">
        <f t="shared" si="77"/>
        <v>45422</v>
      </c>
      <c r="B103">
        <f t="shared" si="72"/>
        <v>5</v>
      </c>
      <c r="C103">
        <f t="shared" si="73"/>
        <v>2024</v>
      </c>
      <c r="D103">
        <f t="shared" si="74"/>
        <v>202405</v>
      </c>
      <c r="E103">
        <f t="shared" si="75"/>
        <v>2</v>
      </c>
      <c r="F103">
        <f t="shared" si="76"/>
        <v>202402</v>
      </c>
      <c r="G103" t="s">
        <v>236</v>
      </c>
      <c r="H103" s="2">
        <v>5.25</v>
      </c>
      <c r="I103" s="2">
        <v>5.2</v>
      </c>
      <c r="J103" s="3">
        <v>5.1592682999999999</v>
      </c>
      <c r="K103" s="3">
        <v>5.0635548000000004</v>
      </c>
      <c r="L103" s="3">
        <v>4.9799090000000001</v>
      </c>
      <c r="M103" s="3">
        <v>4.9063663999999996</v>
      </c>
      <c r="N103" s="3">
        <v>4.8371351000000002</v>
      </c>
      <c r="O103" s="3">
        <v>4.7684670999999996</v>
      </c>
      <c r="P103" s="3">
        <v>4.7001131999999997</v>
      </c>
      <c r="Q103" s="3">
        <v>4.6339370999999998</v>
      </c>
      <c r="R103" s="3">
        <v>4.5717752999999997</v>
      </c>
      <c r="S103" s="3">
        <v>4.5145216000000001</v>
      </c>
      <c r="T103" s="3">
        <v>4.4621250999999997</v>
      </c>
      <c r="U103" s="3">
        <v>4.4136820999999999</v>
      </c>
      <c r="V103" s="3">
        <v>4.3673675999999997</v>
      </c>
      <c r="W103" s="3">
        <v>4.3224751000000001</v>
      </c>
      <c r="X103" s="3">
        <v>4.2787290000000002</v>
      </c>
      <c r="Y103" s="3">
        <v>4.2358525</v>
      </c>
      <c r="Z103" s="3">
        <v>4.1935682999999999</v>
      </c>
      <c r="AA103" s="3">
        <v>4.1516010000000003</v>
      </c>
      <c r="AB103" s="3">
        <v>4.1097573000000001</v>
      </c>
      <c r="AC103" s="3">
        <v>4.0682314000000002</v>
      </c>
      <c r="AD103" s="3">
        <v>4.0273316000000001</v>
      </c>
      <c r="AE103" s="3">
        <v>3.9873645999999998</v>
      </c>
      <c r="AF103" s="3">
        <v>3.9486371999999998</v>
      </c>
      <c r="AG103" s="3">
        <v>3.9114575999999999</v>
      </c>
      <c r="AH103" s="3">
        <v>3.8760802000000001</v>
      </c>
      <c r="AI103" s="3">
        <v>3.8425284</v>
      </c>
      <c r="AJ103" s="3">
        <v>3.8107628</v>
      </c>
      <c r="AK103" s="3">
        <v>3.7807430000000002</v>
      </c>
      <c r="AL103" s="3">
        <v>3.7524285000000002</v>
      </c>
      <c r="AM103" s="3">
        <v>3.7257801000000002</v>
      </c>
      <c r="AN103" s="3">
        <v>3.7007572999999998</v>
      </c>
      <c r="AO103" s="3">
        <v>3.6773197999999998</v>
      </c>
      <c r="AP103" s="3">
        <v>3.6554281</v>
      </c>
      <c r="AQ103" s="3">
        <v>3.6350416999999999</v>
      </c>
      <c r="AR103" s="3">
        <v>3.6161205999999999</v>
      </c>
      <c r="AS103" s="3">
        <v>3.5986248999999999</v>
      </c>
      <c r="AT103" s="3">
        <v>3.5825116000000001</v>
      </c>
      <c r="AU103" s="3">
        <v>3.5677257</v>
      </c>
      <c r="AV103" s="3">
        <v>3.5542099999999999</v>
      </c>
      <c r="AW103" s="3">
        <v>3.5419067000000002</v>
      </c>
      <c r="AX103" s="3">
        <v>3.5307580000000001</v>
      </c>
      <c r="AY103" s="3">
        <v>3.5207066999999999</v>
      </c>
      <c r="AZ103" s="3">
        <v>3.5116947999999999</v>
      </c>
      <c r="BA103" s="3">
        <v>3.5036649</v>
      </c>
      <c r="BB103" s="3">
        <v>3.4965592999999999</v>
      </c>
      <c r="BC103" s="3">
        <v>3.4903205000000002</v>
      </c>
      <c r="BD103" s="3">
        <v>3.4848905999999999</v>
      </c>
      <c r="BE103" s="3">
        <v>3.4802124000000001</v>
      </c>
      <c r="BF103" s="3">
        <v>3.4762333999999999</v>
      </c>
      <c r="BG103" s="3">
        <v>3.4729260000000002</v>
      </c>
      <c r="BH103" s="3">
        <v>3.470269</v>
      </c>
      <c r="BI103" s="3">
        <v>3.4682412999999999</v>
      </c>
      <c r="BJ103" s="3">
        <v>3.4668218</v>
      </c>
      <c r="BK103" s="3">
        <v>3.4659892999999999</v>
      </c>
      <c r="BL103" s="3">
        <v>3.4657227000000002</v>
      </c>
      <c r="BM103" s="3">
        <v>3.4660009000000001</v>
      </c>
      <c r="BN103" s="3">
        <v>3.4668028</v>
      </c>
      <c r="BO103" s="3">
        <v>3.4681072999999998</v>
      </c>
      <c r="BP103" s="3">
        <v>3.4698931000000002</v>
      </c>
      <c r="BQ103" s="3">
        <v>3.4721392999999998</v>
      </c>
      <c r="BR103" s="3">
        <v>3.4943368000000001</v>
      </c>
      <c r="BS103" s="3">
        <v>3.5292218000000002</v>
      </c>
    </row>
    <row r="104" spans="1:71" x14ac:dyDescent="0.35">
      <c r="A104" s="6">
        <f t="shared" si="77"/>
        <v>45425</v>
      </c>
      <c r="B104">
        <f t="shared" si="72"/>
        <v>5</v>
      </c>
      <c r="C104">
        <f t="shared" si="73"/>
        <v>2024</v>
      </c>
      <c r="D104">
        <f t="shared" si="74"/>
        <v>202405</v>
      </c>
      <c r="E104">
        <f t="shared" si="75"/>
        <v>2</v>
      </c>
      <c r="F104">
        <f t="shared" si="76"/>
        <v>202402</v>
      </c>
      <c r="G104" t="s">
        <v>237</v>
      </c>
      <c r="H104" s="2">
        <v>5.25</v>
      </c>
      <c r="I104" s="2">
        <v>5.2</v>
      </c>
      <c r="J104" s="3">
        <v>5.1597454999999997</v>
      </c>
      <c r="K104" s="3">
        <v>5.0635190000000003</v>
      </c>
      <c r="L104" s="3">
        <v>4.9821352000000001</v>
      </c>
      <c r="M104" s="3">
        <v>4.9109913000000001</v>
      </c>
      <c r="N104" s="3">
        <v>4.8429709000000001</v>
      </c>
      <c r="O104" s="3">
        <v>4.7749746000000002</v>
      </c>
      <c r="P104" s="3">
        <v>4.7077900000000001</v>
      </c>
      <c r="Q104" s="3">
        <v>4.6442508</v>
      </c>
      <c r="R104" s="3">
        <v>4.5867095999999998</v>
      </c>
      <c r="S104" s="3">
        <v>4.5358374000000001</v>
      </c>
      <c r="T104" s="3">
        <v>4.4909188999999996</v>
      </c>
      <c r="U104" s="3">
        <v>4.4502711000000001</v>
      </c>
      <c r="V104" s="3">
        <v>4.4110851999999996</v>
      </c>
      <c r="W104" s="3">
        <v>4.3724189999999998</v>
      </c>
      <c r="X104" s="3">
        <v>4.3339156000000001</v>
      </c>
      <c r="Y104" s="3">
        <v>4.2952165000000004</v>
      </c>
      <c r="Z104" s="3">
        <v>4.2559635</v>
      </c>
      <c r="AA104" s="3">
        <v>4.2157993999999999</v>
      </c>
      <c r="AB104" s="3">
        <v>4.1744892</v>
      </c>
      <c r="AC104" s="3">
        <v>4.1323685000000001</v>
      </c>
      <c r="AD104" s="3">
        <v>4.0899399000000001</v>
      </c>
      <c r="AE104" s="3">
        <v>4.0477046999999997</v>
      </c>
      <c r="AF104" s="3">
        <v>4.0061640000000001</v>
      </c>
      <c r="AG104" s="3">
        <v>3.9658205999999998</v>
      </c>
      <c r="AH104" s="3">
        <v>3.9270900000000002</v>
      </c>
      <c r="AI104" s="3">
        <v>3.8900458000000002</v>
      </c>
      <c r="AJ104" s="3">
        <v>3.8546770000000001</v>
      </c>
      <c r="AK104" s="3">
        <v>3.8209716999999999</v>
      </c>
      <c r="AL104" s="3">
        <v>3.7889176999999998</v>
      </c>
      <c r="AM104" s="3">
        <v>3.7585041000000001</v>
      </c>
      <c r="AN104" s="3">
        <v>3.7297188999999999</v>
      </c>
      <c r="AO104" s="3">
        <v>3.70255</v>
      </c>
      <c r="AP104" s="3">
        <v>3.6769864999999999</v>
      </c>
      <c r="AQ104" s="3">
        <v>3.6530163</v>
      </c>
      <c r="AR104" s="3">
        <v>3.6306275000000001</v>
      </c>
      <c r="AS104" s="3">
        <v>3.6098089999999998</v>
      </c>
      <c r="AT104" s="3">
        <v>3.5905412000000001</v>
      </c>
      <c r="AU104" s="3">
        <v>3.5727745999999998</v>
      </c>
      <c r="AV104" s="3">
        <v>3.5564526000000001</v>
      </c>
      <c r="AW104" s="3">
        <v>3.5415182000000001</v>
      </c>
      <c r="AX104" s="3">
        <v>3.5279140999999998</v>
      </c>
      <c r="AY104" s="3">
        <v>3.5155837999999999</v>
      </c>
      <c r="AZ104" s="3">
        <v>3.5044702000000001</v>
      </c>
      <c r="BA104" s="3">
        <v>3.4945162000000001</v>
      </c>
      <c r="BB104" s="3">
        <v>3.4856652000000001</v>
      </c>
      <c r="BC104" s="3">
        <v>3.4778600000000002</v>
      </c>
      <c r="BD104" s="3">
        <v>3.4710437999999999</v>
      </c>
      <c r="BE104" s="3">
        <v>3.4651595999999998</v>
      </c>
      <c r="BF104" s="3">
        <v>3.4601538000000001</v>
      </c>
      <c r="BG104" s="3">
        <v>3.4559910999999999</v>
      </c>
      <c r="BH104" s="3">
        <v>3.4526422000000001</v>
      </c>
      <c r="BI104" s="3">
        <v>3.4500777999999999</v>
      </c>
      <c r="BJ104" s="3">
        <v>3.4482686</v>
      </c>
      <c r="BK104" s="3">
        <v>3.4471854999999998</v>
      </c>
      <c r="BL104" s="3">
        <v>3.4467989999999999</v>
      </c>
      <c r="BM104" s="3">
        <v>3.4470798999999999</v>
      </c>
      <c r="BN104" s="3">
        <v>3.4479989</v>
      </c>
      <c r="BO104" s="3">
        <v>3.4495266999999998</v>
      </c>
      <c r="BP104" s="3">
        <v>3.4516342</v>
      </c>
      <c r="BQ104" s="3">
        <v>3.4542918999999999</v>
      </c>
      <c r="BR104" s="3">
        <v>3.4803464000000002</v>
      </c>
      <c r="BS104" s="3">
        <v>3.5200075000000002</v>
      </c>
    </row>
    <row r="105" spans="1:71" x14ac:dyDescent="0.35">
      <c r="A105" s="6">
        <f t="shared" si="77"/>
        <v>45426</v>
      </c>
      <c r="B105">
        <f t="shared" si="72"/>
        <v>5</v>
      </c>
      <c r="C105">
        <f t="shared" si="73"/>
        <v>2024</v>
      </c>
      <c r="D105">
        <f t="shared" si="74"/>
        <v>202405</v>
      </c>
      <c r="E105">
        <f t="shared" si="75"/>
        <v>2</v>
      </c>
      <c r="F105">
        <f t="shared" si="76"/>
        <v>202402</v>
      </c>
      <c r="G105" t="s">
        <v>238</v>
      </c>
      <c r="H105" s="2">
        <v>5.25</v>
      </c>
      <c r="I105" s="2">
        <v>5.2</v>
      </c>
      <c r="J105" s="3">
        <v>5.1570657000000004</v>
      </c>
      <c r="K105" s="3">
        <v>5.0577854000000002</v>
      </c>
      <c r="L105" s="3">
        <v>4.9745816999999999</v>
      </c>
      <c r="M105" s="3">
        <v>4.9018867999999998</v>
      </c>
      <c r="N105" s="3">
        <v>4.8328847000000001</v>
      </c>
      <c r="O105" s="3">
        <v>4.7645375000000003</v>
      </c>
      <c r="P105" s="3">
        <v>4.6973956000000001</v>
      </c>
      <c r="Q105" s="3">
        <v>4.6338220000000003</v>
      </c>
      <c r="R105" s="3">
        <v>4.5758666999999997</v>
      </c>
      <c r="S105" s="3">
        <v>4.5241403</v>
      </c>
      <c r="T105" s="3">
        <v>4.4780784999999996</v>
      </c>
      <c r="U105" s="3">
        <v>4.4361706999999999</v>
      </c>
      <c r="V105" s="3">
        <v>4.3956175000000002</v>
      </c>
      <c r="W105" s="3">
        <v>4.3555107</v>
      </c>
      <c r="X105" s="3">
        <v>4.3155349999999997</v>
      </c>
      <c r="Y105" s="3">
        <v>4.2753733</v>
      </c>
      <c r="Z105" s="3">
        <v>4.2347086999999997</v>
      </c>
      <c r="AA105" s="3">
        <v>4.1932257999999996</v>
      </c>
      <c r="AB105" s="3">
        <v>4.1507255000000001</v>
      </c>
      <c r="AC105" s="3">
        <v>4.1075549999999996</v>
      </c>
      <c r="AD105" s="3">
        <v>4.0642215000000004</v>
      </c>
      <c r="AE105" s="3">
        <v>4.0212307000000003</v>
      </c>
      <c r="AF105" s="3">
        <v>3.9790882999999999</v>
      </c>
      <c r="AG105" s="3">
        <v>3.9383013999999998</v>
      </c>
      <c r="AH105" s="3">
        <v>3.8992882999999998</v>
      </c>
      <c r="AI105" s="3">
        <v>3.8621181</v>
      </c>
      <c r="AJ105" s="3">
        <v>3.8267737999999998</v>
      </c>
      <c r="AK105" s="3">
        <v>3.793237</v>
      </c>
      <c r="AL105" s="3">
        <v>3.7614896</v>
      </c>
      <c r="AM105" s="3">
        <v>3.7315144</v>
      </c>
      <c r="AN105" s="3">
        <v>3.7032930999999998</v>
      </c>
      <c r="AO105" s="3">
        <v>3.6768076000000001</v>
      </c>
      <c r="AP105" s="3">
        <v>3.6520405999999999</v>
      </c>
      <c r="AQ105" s="3">
        <v>3.6289739999999999</v>
      </c>
      <c r="AR105" s="3">
        <v>3.6075895999999998</v>
      </c>
      <c r="AS105" s="3">
        <v>3.5878700000000001</v>
      </c>
      <c r="AT105" s="3">
        <v>3.5697882000000001</v>
      </c>
      <c r="AU105" s="3">
        <v>3.5532813000000001</v>
      </c>
      <c r="AV105" s="3">
        <v>3.5382779000000002</v>
      </c>
      <c r="AW105" s="3">
        <v>3.5247061999999998</v>
      </c>
      <c r="AX105" s="3">
        <v>3.5124944</v>
      </c>
      <c r="AY105" s="3">
        <v>3.5015710000000002</v>
      </c>
      <c r="AZ105" s="3">
        <v>3.4918643</v>
      </c>
      <c r="BA105" s="3">
        <v>3.4833025000000002</v>
      </c>
      <c r="BB105" s="3">
        <v>3.4758141</v>
      </c>
      <c r="BC105" s="3">
        <v>3.4693272999999998</v>
      </c>
      <c r="BD105" s="3">
        <v>3.4637703000000002</v>
      </c>
      <c r="BE105" s="3">
        <v>3.4590717</v>
      </c>
      <c r="BF105" s="3">
        <v>3.4551653999999998</v>
      </c>
      <c r="BG105" s="3">
        <v>3.4520137000000002</v>
      </c>
      <c r="BH105" s="3">
        <v>3.4495874</v>
      </c>
      <c r="BI105" s="3">
        <v>3.4478572000000001</v>
      </c>
      <c r="BJ105" s="3">
        <v>3.4467940000000001</v>
      </c>
      <c r="BK105" s="3">
        <v>3.4463685000000002</v>
      </c>
      <c r="BL105" s="3">
        <v>3.4465515</v>
      </c>
      <c r="BM105" s="3">
        <v>3.4473139000000002</v>
      </c>
      <c r="BN105" s="3">
        <v>3.4486262999999999</v>
      </c>
      <c r="BO105" s="3">
        <v>3.4504595999999998</v>
      </c>
      <c r="BP105" s="3">
        <v>3.4527846000000002</v>
      </c>
      <c r="BQ105" s="3">
        <v>3.4555720999999999</v>
      </c>
      <c r="BR105" s="3">
        <v>3.4807717</v>
      </c>
      <c r="BS105" s="3">
        <v>3.5176793000000002</v>
      </c>
    </row>
    <row r="106" spans="1:71" x14ac:dyDescent="0.35">
      <c r="A106" s="6">
        <f t="shared" si="77"/>
        <v>45427</v>
      </c>
      <c r="B106">
        <f t="shared" si="72"/>
        <v>5</v>
      </c>
      <c r="C106">
        <f t="shared" si="73"/>
        <v>2024</v>
      </c>
      <c r="D106">
        <f t="shared" si="74"/>
        <v>202405</v>
      </c>
      <c r="E106">
        <f t="shared" si="75"/>
        <v>2</v>
      </c>
      <c r="F106">
        <f t="shared" si="76"/>
        <v>202402</v>
      </c>
      <c r="G106" t="s">
        <v>239</v>
      </c>
      <c r="H106" s="2">
        <v>5.25</v>
      </c>
      <c r="I106" s="2">
        <v>5.2</v>
      </c>
      <c r="J106" s="3">
        <v>5.1536761000000002</v>
      </c>
      <c r="K106" s="3">
        <v>5.0425642000000002</v>
      </c>
      <c r="L106" s="3">
        <v>4.9530835</v>
      </c>
      <c r="M106" s="3">
        <v>4.8765878999999996</v>
      </c>
      <c r="N106" s="3">
        <v>4.8037872000000004</v>
      </c>
      <c r="O106" s="3">
        <v>4.7307556999999996</v>
      </c>
      <c r="P106" s="3">
        <v>4.6574133</v>
      </c>
      <c r="Q106" s="3">
        <v>4.5859727000000001</v>
      </c>
      <c r="R106" s="3">
        <v>4.5187778999999999</v>
      </c>
      <c r="S106" s="3">
        <v>4.4572718</v>
      </c>
      <c r="T106" s="3">
        <v>4.4013475</v>
      </c>
      <c r="U106" s="3">
        <v>4.3502609000000003</v>
      </c>
      <c r="V106" s="3">
        <v>4.3016154999999996</v>
      </c>
      <c r="W106" s="3">
        <v>4.2544778000000001</v>
      </c>
      <c r="X106" s="3">
        <v>4.2084324000000004</v>
      </c>
      <c r="Y106" s="3">
        <v>4.1630623</v>
      </c>
      <c r="Z106" s="3">
        <v>4.1179505000000001</v>
      </c>
      <c r="AA106" s="3">
        <v>4.0726816000000001</v>
      </c>
      <c r="AB106" s="3">
        <v>4.0269436000000001</v>
      </c>
      <c r="AC106" s="3">
        <v>3.9810199000000002</v>
      </c>
      <c r="AD106" s="3">
        <v>3.9354043000000001</v>
      </c>
      <c r="AE106" s="3">
        <v>3.8905896000000002</v>
      </c>
      <c r="AF106" s="3">
        <v>3.8470684999999998</v>
      </c>
      <c r="AG106" s="3">
        <v>3.8053352</v>
      </c>
      <c r="AH106" s="3">
        <v>3.7657919999999998</v>
      </c>
      <c r="AI106" s="3">
        <v>3.7284796999999998</v>
      </c>
      <c r="AJ106" s="3">
        <v>3.6933500000000001</v>
      </c>
      <c r="AK106" s="3">
        <v>3.6603531</v>
      </c>
      <c r="AL106" s="3">
        <v>3.6294393999999999</v>
      </c>
      <c r="AM106" s="3">
        <v>3.6005606999999999</v>
      </c>
      <c r="AN106" s="3">
        <v>3.5736671000000002</v>
      </c>
      <c r="AO106" s="3">
        <v>3.5487093000000001</v>
      </c>
      <c r="AP106" s="3">
        <v>3.5256386000000002</v>
      </c>
      <c r="AQ106" s="3">
        <v>3.5044054999999998</v>
      </c>
      <c r="AR106" s="3">
        <v>3.4849605000000001</v>
      </c>
      <c r="AS106" s="3">
        <v>3.4672550000000002</v>
      </c>
      <c r="AT106" s="3">
        <v>3.4512341000000002</v>
      </c>
      <c r="AU106" s="3">
        <v>3.4368175999999999</v>
      </c>
      <c r="AV106" s="3">
        <v>3.4239175999999998</v>
      </c>
      <c r="AW106" s="3">
        <v>3.4124458999999998</v>
      </c>
      <c r="AX106" s="3">
        <v>3.4023143999999998</v>
      </c>
      <c r="AY106" s="3">
        <v>3.3934351999999999</v>
      </c>
      <c r="AZ106" s="3">
        <v>3.3857200999999999</v>
      </c>
      <c r="BA106" s="3">
        <v>3.3790811000000001</v>
      </c>
      <c r="BB106" s="3">
        <v>3.3734302</v>
      </c>
      <c r="BC106" s="3">
        <v>3.3686791999999999</v>
      </c>
      <c r="BD106" s="3">
        <v>3.3647402</v>
      </c>
      <c r="BE106" s="3">
        <v>3.3615249999999999</v>
      </c>
      <c r="BF106" s="3">
        <v>3.3589552</v>
      </c>
      <c r="BG106" s="3">
        <v>3.356995</v>
      </c>
      <c r="BH106" s="3">
        <v>3.3556203999999998</v>
      </c>
      <c r="BI106" s="3">
        <v>3.3548072000000002</v>
      </c>
      <c r="BJ106" s="3">
        <v>3.3545313999999999</v>
      </c>
      <c r="BK106" s="3">
        <v>3.3547688</v>
      </c>
      <c r="BL106" s="3">
        <v>3.3554954000000001</v>
      </c>
      <c r="BM106" s="3">
        <v>3.3566870999999998</v>
      </c>
      <c r="BN106" s="3">
        <v>3.3583197999999999</v>
      </c>
      <c r="BO106" s="3">
        <v>3.3603695</v>
      </c>
      <c r="BP106" s="3">
        <v>3.3628119999999999</v>
      </c>
      <c r="BQ106" s="3">
        <v>3.3656233000000002</v>
      </c>
      <c r="BR106" s="3">
        <v>3.3893309999999999</v>
      </c>
      <c r="BS106" s="3">
        <v>3.4229422</v>
      </c>
    </row>
    <row r="107" spans="1:71" x14ac:dyDescent="0.35">
      <c r="A107" s="6">
        <f t="shared" si="77"/>
        <v>45428</v>
      </c>
      <c r="B107">
        <f t="shared" si="72"/>
        <v>5</v>
      </c>
      <c r="C107">
        <f t="shared" si="73"/>
        <v>2024</v>
      </c>
      <c r="D107">
        <f t="shared" si="74"/>
        <v>202405</v>
      </c>
      <c r="E107">
        <f t="shared" si="75"/>
        <v>2</v>
      </c>
      <c r="F107">
        <f t="shared" si="76"/>
        <v>202402</v>
      </c>
      <c r="G107" t="s">
        <v>240</v>
      </c>
      <c r="H107" s="2">
        <v>5.25</v>
      </c>
      <c r="I107" s="2">
        <v>5.2</v>
      </c>
      <c r="J107" s="3">
        <v>5.1477798999999997</v>
      </c>
      <c r="K107" s="3">
        <v>5.0364009999999997</v>
      </c>
      <c r="L107" s="3">
        <v>4.9501748000000001</v>
      </c>
      <c r="M107" s="3">
        <v>4.8789411999999999</v>
      </c>
      <c r="N107" s="3">
        <v>4.8117739999999998</v>
      </c>
      <c r="O107" s="3">
        <v>4.7436211000000004</v>
      </c>
      <c r="P107" s="3">
        <v>4.6737739999999999</v>
      </c>
      <c r="Q107" s="3">
        <v>4.6038291999999998</v>
      </c>
      <c r="R107" s="3">
        <v>4.5358026000000002</v>
      </c>
      <c r="S107" s="3">
        <v>4.4711083</v>
      </c>
      <c r="T107" s="3">
        <v>4.4103960999999998</v>
      </c>
      <c r="U107" s="3">
        <v>4.3538116000000002</v>
      </c>
      <c r="V107" s="3">
        <v>4.3012296000000001</v>
      </c>
      <c r="W107" s="3">
        <v>4.2520515000000003</v>
      </c>
      <c r="X107" s="3">
        <v>4.2055673000000002</v>
      </c>
      <c r="Y107" s="3">
        <v>4.1610654</v>
      </c>
      <c r="Z107" s="3">
        <v>4.1178341999999999</v>
      </c>
      <c r="AA107" s="3">
        <v>4.0751638000000003</v>
      </c>
      <c r="AB107" s="3">
        <v>4.0324795</v>
      </c>
      <c r="AC107" s="3">
        <v>3.9899091000000002</v>
      </c>
      <c r="AD107" s="3">
        <v>3.9478061000000002</v>
      </c>
      <c r="AE107" s="3">
        <v>3.9065224999999999</v>
      </c>
      <c r="AF107" s="3">
        <v>3.8664105000000002</v>
      </c>
      <c r="AG107" s="3">
        <v>3.8278235999999999</v>
      </c>
      <c r="AH107" s="3">
        <v>3.7910623999999999</v>
      </c>
      <c r="AI107" s="3">
        <v>3.7561765999999999</v>
      </c>
      <c r="AJ107" s="3">
        <v>3.7231409000000002</v>
      </c>
      <c r="AK107" s="3">
        <v>3.6919284999999999</v>
      </c>
      <c r="AL107" s="3">
        <v>3.6625128</v>
      </c>
      <c r="AM107" s="3">
        <v>3.6348682999999999</v>
      </c>
      <c r="AN107" s="3">
        <v>3.6089682999999999</v>
      </c>
      <c r="AO107" s="3">
        <v>3.5847863000000002</v>
      </c>
      <c r="AP107" s="3">
        <v>3.5622965</v>
      </c>
      <c r="AQ107" s="3">
        <v>3.5414724999999998</v>
      </c>
      <c r="AR107" s="3">
        <v>3.5222877000000001</v>
      </c>
      <c r="AS107" s="3">
        <v>3.5047163000000001</v>
      </c>
      <c r="AT107" s="3">
        <v>3.4887239000000001</v>
      </c>
      <c r="AU107" s="3">
        <v>3.4742411</v>
      </c>
      <c r="AV107" s="3">
        <v>3.4611890999999999</v>
      </c>
      <c r="AW107" s="3">
        <v>3.4494889</v>
      </c>
      <c r="AX107" s="3">
        <v>3.4390613999999999</v>
      </c>
      <c r="AY107" s="3">
        <v>3.4298278999999998</v>
      </c>
      <c r="AZ107" s="3">
        <v>3.4217092999999998</v>
      </c>
      <c r="BA107" s="3">
        <v>3.4146264999999998</v>
      </c>
      <c r="BB107" s="3">
        <v>3.4085006999999998</v>
      </c>
      <c r="BC107" s="3">
        <v>3.4032529999999999</v>
      </c>
      <c r="BD107" s="3">
        <v>3.3988043000000001</v>
      </c>
      <c r="BE107" s="3">
        <v>3.3950757</v>
      </c>
      <c r="BF107" s="3">
        <v>3.3919969000000001</v>
      </c>
      <c r="BG107" s="3">
        <v>3.3895366</v>
      </c>
      <c r="BH107" s="3">
        <v>3.3876740000000001</v>
      </c>
      <c r="BI107" s="3">
        <v>3.3863881999999998</v>
      </c>
      <c r="BJ107" s="3">
        <v>3.3856584000000001</v>
      </c>
      <c r="BK107" s="3">
        <v>3.3854639</v>
      </c>
      <c r="BL107" s="3">
        <v>3.3857838999999998</v>
      </c>
      <c r="BM107" s="3">
        <v>3.3865976999999998</v>
      </c>
      <c r="BN107" s="3">
        <v>3.3878843000000001</v>
      </c>
      <c r="BO107" s="3">
        <v>3.3896229999999998</v>
      </c>
      <c r="BP107" s="3">
        <v>3.3917931000000001</v>
      </c>
      <c r="BQ107" s="3">
        <v>3.3943737999999999</v>
      </c>
      <c r="BR107" s="3">
        <v>3.4175819999999999</v>
      </c>
      <c r="BS107" s="3">
        <v>3.4519508000000001</v>
      </c>
    </row>
    <row r="108" spans="1:71" x14ac:dyDescent="0.35">
      <c r="A108" s="6">
        <f t="shared" si="77"/>
        <v>45429</v>
      </c>
      <c r="B108">
        <f t="shared" si="72"/>
        <v>5</v>
      </c>
      <c r="C108">
        <f t="shared" si="73"/>
        <v>2024</v>
      </c>
      <c r="D108">
        <f t="shared" si="74"/>
        <v>202405</v>
      </c>
      <c r="E108">
        <f t="shared" si="75"/>
        <v>2</v>
      </c>
      <c r="F108">
        <f t="shared" si="76"/>
        <v>202402</v>
      </c>
      <c r="G108" t="s">
        <v>241</v>
      </c>
      <c r="H108" s="2">
        <v>5.25</v>
      </c>
      <c r="I108" s="2">
        <v>5.2</v>
      </c>
      <c r="J108" s="3">
        <v>5.1480381</v>
      </c>
      <c r="K108" s="3">
        <v>5.0431695999999997</v>
      </c>
      <c r="L108" s="3">
        <v>4.9609866</v>
      </c>
      <c r="M108" s="3">
        <v>4.8918343999999996</v>
      </c>
      <c r="N108" s="3">
        <v>4.8259088999999999</v>
      </c>
      <c r="O108" s="3">
        <v>4.7593500999999998</v>
      </c>
      <c r="P108" s="3">
        <v>4.6921448000000003</v>
      </c>
      <c r="Q108" s="3">
        <v>4.6263300000000003</v>
      </c>
      <c r="R108" s="3">
        <v>4.5639810000000001</v>
      </c>
      <c r="S108" s="3">
        <v>4.5060874999999996</v>
      </c>
      <c r="T108" s="3">
        <v>4.4526572</v>
      </c>
      <c r="U108" s="3">
        <v>4.4029029</v>
      </c>
      <c r="V108" s="3">
        <v>4.3549837</v>
      </c>
      <c r="W108" s="3">
        <v>4.3082671000000001</v>
      </c>
      <c r="X108" s="3">
        <v>4.2625932999999998</v>
      </c>
      <c r="Y108" s="3">
        <v>4.2178012000000003</v>
      </c>
      <c r="Z108" s="3">
        <v>4.1737297</v>
      </c>
      <c r="AA108" s="3">
        <v>4.1302190000000003</v>
      </c>
      <c r="AB108" s="3">
        <v>4.0871700999999998</v>
      </c>
      <c r="AC108" s="3">
        <v>4.0447718000000004</v>
      </c>
      <c r="AD108" s="3">
        <v>4.003298</v>
      </c>
      <c r="AE108" s="3">
        <v>3.9630207</v>
      </c>
      <c r="AF108" s="3">
        <v>3.9242124999999999</v>
      </c>
      <c r="AG108" s="3">
        <v>3.8871470000000001</v>
      </c>
      <c r="AH108" s="3">
        <v>3.8520460999999999</v>
      </c>
      <c r="AI108" s="3">
        <v>3.8189101000000001</v>
      </c>
      <c r="AJ108" s="3">
        <v>3.7876786999999998</v>
      </c>
      <c r="AK108" s="3">
        <v>3.7582909</v>
      </c>
      <c r="AL108" s="3">
        <v>3.7306854999999999</v>
      </c>
      <c r="AM108" s="3">
        <v>3.7048022999999999</v>
      </c>
      <c r="AN108" s="3">
        <v>3.6805802000000001</v>
      </c>
      <c r="AO108" s="3">
        <v>3.6579581999999999</v>
      </c>
      <c r="AP108" s="3">
        <v>3.6368759000000002</v>
      </c>
      <c r="AQ108" s="3">
        <v>3.6172721999999999</v>
      </c>
      <c r="AR108" s="3">
        <v>3.5990861999999999</v>
      </c>
      <c r="AS108" s="3">
        <v>3.5822574</v>
      </c>
      <c r="AT108" s="3">
        <v>3.5667257999999999</v>
      </c>
      <c r="AU108" s="3">
        <v>3.5524355000000001</v>
      </c>
      <c r="AV108" s="3">
        <v>3.5393317999999998</v>
      </c>
      <c r="AW108" s="3">
        <v>3.5273598000000002</v>
      </c>
      <c r="AX108" s="3">
        <v>3.5164645000000001</v>
      </c>
      <c r="AY108" s="3">
        <v>3.5065913000000002</v>
      </c>
      <c r="AZ108" s="3">
        <v>3.4976851999999998</v>
      </c>
      <c r="BA108" s="3">
        <v>3.4896912000000002</v>
      </c>
      <c r="BB108" s="3">
        <v>3.4825548</v>
      </c>
      <c r="BC108" s="3">
        <v>3.4762208999999999</v>
      </c>
      <c r="BD108" s="3">
        <v>3.4706347000000002</v>
      </c>
      <c r="BE108" s="3">
        <v>3.4657414000000002</v>
      </c>
      <c r="BF108" s="3">
        <v>3.4614916999999998</v>
      </c>
      <c r="BG108" s="3">
        <v>3.4578614000000001</v>
      </c>
      <c r="BH108" s="3">
        <v>3.4548331999999999</v>
      </c>
      <c r="BI108" s="3">
        <v>3.4523898000000002</v>
      </c>
      <c r="BJ108" s="3">
        <v>3.4505137000000001</v>
      </c>
      <c r="BK108" s="3">
        <v>3.4491877</v>
      </c>
      <c r="BL108" s="3">
        <v>3.4483945</v>
      </c>
      <c r="BM108" s="3">
        <v>3.4481164999999998</v>
      </c>
      <c r="BN108" s="3">
        <v>3.4483366000000002</v>
      </c>
      <c r="BO108" s="3">
        <v>3.4490373999999999</v>
      </c>
      <c r="BP108" s="3">
        <v>3.4502014999999999</v>
      </c>
      <c r="BQ108" s="3">
        <v>3.4518116000000001</v>
      </c>
      <c r="BR108" s="3">
        <v>3.4700334000000002</v>
      </c>
      <c r="BS108" s="3">
        <v>3.5009502000000001</v>
      </c>
    </row>
    <row r="109" spans="1:71" x14ac:dyDescent="0.35">
      <c r="A109" s="6">
        <f t="shared" si="77"/>
        <v>45432</v>
      </c>
      <c r="B109">
        <f t="shared" si="72"/>
        <v>5</v>
      </c>
      <c r="C109">
        <f t="shared" si="73"/>
        <v>2024</v>
      </c>
      <c r="D109">
        <f t="shared" si="74"/>
        <v>202405</v>
      </c>
      <c r="E109">
        <f t="shared" si="75"/>
        <v>2</v>
      </c>
      <c r="F109">
        <f t="shared" si="76"/>
        <v>202402</v>
      </c>
      <c r="G109" t="s">
        <v>242</v>
      </c>
      <c r="H109" s="2">
        <v>5.25</v>
      </c>
      <c r="I109" s="2">
        <v>5.2</v>
      </c>
      <c r="J109" s="3">
        <v>5.1458316999999996</v>
      </c>
      <c r="K109" s="3">
        <v>5.0407188999999999</v>
      </c>
      <c r="L109" s="3">
        <v>4.9615555999999996</v>
      </c>
      <c r="M109" s="3">
        <v>4.8962773000000004</v>
      </c>
      <c r="N109" s="3">
        <v>4.8333933</v>
      </c>
      <c r="O109" s="3">
        <v>4.7694833000000001</v>
      </c>
      <c r="P109" s="3">
        <v>4.7053931999999996</v>
      </c>
      <c r="Q109" s="3">
        <v>4.6437869000000003</v>
      </c>
      <c r="R109" s="3">
        <v>4.5868799999999998</v>
      </c>
      <c r="S109" s="3">
        <v>4.5354488000000002</v>
      </c>
      <c r="T109" s="3">
        <v>4.4891519000000004</v>
      </c>
      <c r="U109" s="3">
        <v>4.4466964000000004</v>
      </c>
      <c r="V109" s="3">
        <v>4.4056141999999996</v>
      </c>
      <c r="W109" s="3">
        <v>4.3650798999999996</v>
      </c>
      <c r="X109" s="3">
        <v>4.3248078000000003</v>
      </c>
      <c r="Y109" s="3">
        <v>4.2845107999999996</v>
      </c>
      <c r="Z109" s="3">
        <v>4.2439017000000003</v>
      </c>
      <c r="AA109" s="3">
        <v>4.2026947999999997</v>
      </c>
      <c r="AB109" s="3">
        <v>4.1607124999999998</v>
      </c>
      <c r="AC109" s="3">
        <v>4.1182859000000001</v>
      </c>
      <c r="AD109" s="3">
        <v>4.0758948000000004</v>
      </c>
      <c r="AE109" s="3">
        <v>4.0340175</v>
      </c>
      <c r="AF109" s="3">
        <v>3.9931323999999999</v>
      </c>
      <c r="AG109" s="3">
        <v>3.9537192999999999</v>
      </c>
      <c r="AH109" s="3">
        <v>3.9161698</v>
      </c>
      <c r="AI109" s="3">
        <v>3.8805293000000001</v>
      </c>
      <c r="AJ109" s="3">
        <v>3.8467573000000002</v>
      </c>
      <c r="AK109" s="3">
        <v>3.8148124000000001</v>
      </c>
      <c r="AL109" s="3">
        <v>3.7846532000000002</v>
      </c>
      <c r="AM109" s="3">
        <v>3.7562392999999998</v>
      </c>
      <c r="AN109" s="3">
        <v>3.7295292999999998</v>
      </c>
      <c r="AO109" s="3">
        <v>3.7044817000000001</v>
      </c>
      <c r="AP109" s="3">
        <v>3.6810559999999999</v>
      </c>
      <c r="AQ109" s="3">
        <v>3.659211</v>
      </c>
      <c r="AR109" s="3">
        <v>3.6389052</v>
      </c>
      <c r="AS109" s="3">
        <v>3.6200980999999999</v>
      </c>
      <c r="AT109" s="3">
        <v>3.6027456999999998</v>
      </c>
      <c r="AU109" s="3">
        <v>3.5867931999999998</v>
      </c>
      <c r="AV109" s="3">
        <v>3.5721837999999999</v>
      </c>
      <c r="AW109" s="3">
        <v>3.5588601</v>
      </c>
      <c r="AX109" s="3">
        <v>3.5467648000000001</v>
      </c>
      <c r="AY109" s="3">
        <v>3.5358409000000002</v>
      </c>
      <c r="AZ109" s="3">
        <v>3.5260311999999998</v>
      </c>
      <c r="BA109" s="3">
        <v>3.5172781999999998</v>
      </c>
      <c r="BB109" s="3">
        <v>3.509525</v>
      </c>
      <c r="BC109" s="3">
        <v>3.5027143000000001</v>
      </c>
      <c r="BD109" s="3">
        <v>3.4967887000000002</v>
      </c>
      <c r="BE109" s="3">
        <v>3.4916912999999998</v>
      </c>
      <c r="BF109" s="3">
        <v>3.4873690000000002</v>
      </c>
      <c r="BG109" s="3">
        <v>3.4837912000000002</v>
      </c>
      <c r="BH109" s="3">
        <v>3.4809351999999998</v>
      </c>
      <c r="BI109" s="3">
        <v>3.4787781</v>
      </c>
      <c r="BJ109" s="3">
        <v>3.4772970999999999</v>
      </c>
      <c r="BK109" s="3">
        <v>3.4764691999999999</v>
      </c>
      <c r="BL109" s="3">
        <v>3.4762718000000001</v>
      </c>
      <c r="BM109" s="3">
        <v>3.4766818000000002</v>
      </c>
      <c r="BN109" s="3">
        <v>3.4776764</v>
      </c>
      <c r="BO109" s="3">
        <v>3.4792329</v>
      </c>
      <c r="BP109" s="3">
        <v>3.4813282999999999</v>
      </c>
      <c r="BQ109" s="3">
        <v>3.4839397000000001</v>
      </c>
      <c r="BR109" s="3">
        <v>3.5091961</v>
      </c>
      <c r="BS109" s="3">
        <v>3.5474530999999998</v>
      </c>
    </row>
    <row r="110" spans="1:71" x14ac:dyDescent="0.35">
      <c r="A110" s="6">
        <f t="shared" si="77"/>
        <v>45433</v>
      </c>
      <c r="B110">
        <f t="shared" si="72"/>
        <v>5</v>
      </c>
      <c r="C110">
        <f t="shared" si="73"/>
        <v>2024</v>
      </c>
      <c r="D110">
        <f t="shared" si="74"/>
        <v>202405</v>
      </c>
      <c r="E110">
        <f t="shared" si="75"/>
        <v>2</v>
      </c>
      <c r="F110">
        <f t="shared" si="76"/>
        <v>202402</v>
      </c>
      <c r="G110" t="s">
        <v>243</v>
      </c>
      <c r="H110" s="2">
        <v>5.25</v>
      </c>
      <c r="I110" s="2">
        <v>5.2</v>
      </c>
      <c r="J110" s="3">
        <v>5.1435703000000004</v>
      </c>
      <c r="K110" s="3">
        <v>5.0432978999999998</v>
      </c>
      <c r="L110" s="3">
        <v>4.9648542000000004</v>
      </c>
      <c r="M110" s="3">
        <v>4.8972071000000001</v>
      </c>
      <c r="N110" s="3">
        <v>4.8305889999999998</v>
      </c>
      <c r="O110" s="3">
        <v>4.7622112999999997</v>
      </c>
      <c r="P110" s="3">
        <v>4.6931747000000001</v>
      </c>
      <c r="Q110" s="3">
        <v>4.6262302999999996</v>
      </c>
      <c r="R110" s="3">
        <v>4.5639472000000003</v>
      </c>
      <c r="S110" s="3">
        <v>4.5075422999999999</v>
      </c>
      <c r="T110" s="3">
        <v>4.4570337000000002</v>
      </c>
      <c r="U110" s="3">
        <v>4.4113217000000002</v>
      </c>
      <c r="V110" s="3">
        <v>4.3676577999999999</v>
      </c>
      <c r="W110" s="3">
        <v>4.3250259</v>
      </c>
      <c r="X110" s="3">
        <v>4.2829981999999998</v>
      </c>
      <c r="Y110" s="3">
        <v>4.2411453000000003</v>
      </c>
      <c r="Z110" s="3">
        <v>4.1990379000000004</v>
      </c>
      <c r="AA110" s="3">
        <v>4.1562479999999997</v>
      </c>
      <c r="AB110" s="3">
        <v>4.1124901999999999</v>
      </c>
      <c r="AC110" s="3">
        <v>4.0681460999999999</v>
      </c>
      <c r="AD110" s="3">
        <v>4.0237920999999996</v>
      </c>
      <c r="AE110" s="3">
        <v>3.9800030999999998</v>
      </c>
      <c r="AF110" s="3">
        <v>3.9373540999999999</v>
      </c>
      <c r="AG110" s="3">
        <v>3.8964215000000002</v>
      </c>
      <c r="AH110" s="3">
        <v>3.8576736999999999</v>
      </c>
      <c r="AI110" s="3">
        <v>3.8211525000000002</v>
      </c>
      <c r="AJ110" s="3">
        <v>3.7867942999999999</v>
      </c>
      <c r="AK110" s="3">
        <v>3.7545345999999999</v>
      </c>
      <c r="AL110" s="3">
        <v>3.7243084</v>
      </c>
      <c r="AM110" s="3">
        <v>3.6960524000000001</v>
      </c>
      <c r="AN110" s="3">
        <v>3.6697015999999998</v>
      </c>
      <c r="AO110" s="3">
        <v>3.6451915000000001</v>
      </c>
      <c r="AP110" s="3">
        <v>3.6224584000000002</v>
      </c>
      <c r="AQ110" s="3">
        <v>3.6014376000000001</v>
      </c>
      <c r="AR110" s="3">
        <v>3.5820645999999998</v>
      </c>
      <c r="AS110" s="3">
        <v>3.5642754000000001</v>
      </c>
      <c r="AT110" s="3">
        <v>3.5480043000000001</v>
      </c>
      <c r="AU110" s="3">
        <v>3.5331807999999998</v>
      </c>
      <c r="AV110" s="3">
        <v>3.5197335999999999</v>
      </c>
      <c r="AW110" s="3">
        <v>3.5075908999999998</v>
      </c>
      <c r="AX110" s="3">
        <v>3.4966811</v>
      </c>
      <c r="AY110" s="3">
        <v>3.4869328999999998</v>
      </c>
      <c r="AZ110" s="3">
        <v>3.4782744000000001</v>
      </c>
      <c r="BA110" s="3">
        <v>3.4706342000000001</v>
      </c>
      <c r="BB110" s="3">
        <v>3.4639407000000002</v>
      </c>
      <c r="BC110" s="3">
        <v>3.4581222</v>
      </c>
      <c r="BD110" s="3">
        <v>3.4531073000000001</v>
      </c>
      <c r="BE110" s="3">
        <v>3.4488243000000001</v>
      </c>
      <c r="BF110" s="3">
        <v>3.4452090000000002</v>
      </c>
      <c r="BG110" s="3">
        <v>3.4422324999999998</v>
      </c>
      <c r="BH110" s="3">
        <v>3.4398770000000001</v>
      </c>
      <c r="BI110" s="3">
        <v>3.4381244</v>
      </c>
      <c r="BJ110" s="3">
        <v>3.4369569000000002</v>
      </c>
      <c r="BK110" s="3">
        <v>3.4363564000000002</v>
      </c>
      <c r="BL110" s="3">
        <v>3.4363050999999998</v>
      </c>
      <c r="BM110" s="3">
        <v>3.4367849000000001</v>
      </c>
      <c r="BN110" s="3">
        <v>3.4377778999999999</v>
      </c>
      <c r="BO110" s="3">
        <v>3.4392662000000001</v>
      </c>
      <c r="BP110" s="3">
        <v>3.4412319</v>
      </c>
      <c r="BQ110" s="3">
        <v>3.4436567999999999</v>
      </c>
      <c r="BR110" s="3">
        <v>3.4668714999999999</v>
      </c>
      <c r="BS110" s="3">
        <v>3.5022427</v>
      </c>
    </row>
    <row r="111" spans="1:71" x14ac:dyDescent="0.35">
      <c r="A111" s="6">
        <f t="shared" si="77"/>
        <v>45434</v>
      </c>
      <c r="B111">
        <f t="shared" si="72"/>
        <v>5</v>
      </c>
      <c r="C111">
        <f t="shared" si="73"/>
        <v>2024</v>
      </c>
      <c r="D111">
        <f t="shared" si="74"/>
        <v>202405</v>
      </c>
      <c r="E111">
        <f t="shared" si="75"/>
        <v>2</v>
      </c>
      <c r="F111">
        <f t="shared" si="76"/>
        <v>202402</v>
      </c>
      <c r="G111" t="s">
        <v>244</v>
      </c>
      <c r="H111" s="2">
        <v>5.25</v>
      </c>
      <c r="I111" s="2">
        <v>5.2</v>
      </c>
      <c r="J111" s="3">
        <v>5.1884426000000001</v>
      </c>
      <c r="K111" s="3">
        <v>5.1484831</v>
      </c>
      <c r="L111" s="3">
        <v>5.0960044</v>
      </c>
      <c r="M111" s="3">
        <v>5.0258805000000004</v>
      </c>
      <c r="N111" s="3">
        <v>4.9405669999999997</v>
      </c>
      <c r="O111" s="3">
        <v>4.8514404000000004</v>
      </c>
      <c r="P111" s="3">
        <v>4.7719342999999999</v>
      </c>
      <c r="Q111" s="3">
        <v>4.7101937999999999</v>
      </c>
      <c r="R111" s="3">
        <v>4.6608672999999996</v>
      </c>
      <c r="S111" s="3">
        <v>4.6198458999999996</v>
      </c>
      <c r="T111" s="3">
        <v>4.590465</v>
      </c>
      <c r="U111" s="3">
        <v>4.5755412</v>
      </c>
      <c r="V111" s="3">
        <v>4.5617168000000001</v>
      </c>
      <c r="W111" s="3">
        <v>4.5445678999999997</v>
      </c>
      <c r="X111" s="3">
        <v>4.5232343999999998</v>
      </c>
      <c r="Y111" s="3">
        <v>4.4968556</v>
      </c>
      <c r="Z111" s="3">
        <v>4.4645703000000001</v>
      </c>
      <c r="AA111" s="3">
        <v>4.4255187999999999</v>
      </c>
      <c r="AB111" s="3">
        <v>4.3791576000000001</v>
      </c>
      <c r="AC111" s="3">
        <v>4.3267420999999997</v>
      </c>
      <c r="AD111" s="3">
        <v>4.2701621000000003</v>
      </c>
      <c r="AE111" s="3">
        <v>4.2113063000000004</v>
      </c>
      <c r="AF111" s="3">
        <v>4.1520633</v>
      </c>
      <c r="AG111" s="3">
        <v>4.0943236000000001</v>
      </c>
      <c r="AH111" s="3">
        <v>4.0396473000000004</v>
      </c>
      <c r="AI111" s="3">
        <v>3.9882797000000001</v>
      </c>
      <c r="AJ111" s="3">
        <v>3.9401392</v>
      </c>
      <c r="AK111" s="3">
        <v>3.8951427000000001</v>
      </c>
      <c r="AL111" s="3">
        <v>3.8532066999999999</v>
      </c>
      <c r="AM111" s="3">
        <v>3.8142497999999998</v>
      </c>
      <c r="AN111" s="3">
        <v>3.7781885000000002</v>
      </c>
      <c r="AO111" s="3">
        <v>3.7449398</v>
      </c>
      <c r="AP111" s="3">
        <v>3.7144219000000001</v>
      </c>
      <c r="AQ111" s="3">
        <v>3.6865515000000002</v>
      </c>
      <c r="AR111" s="3">
        <v>3.6612456999999998</v>
      </c>
      <c r="AS111" s="3">
        <v>3.6384224000000001</v>
      </c>
      <c r="AT111" s="3">
        <v>3.6179904999999999</v>
      </c>
      <c r="AU111" s="3">
        <v>3.5998204</v>
      </c>
      <c r="AV111" s="3">
        <v>3.5837712000000002</v>
      </c>
      <c r="AW111" s="3">
        <v>3.5697013000000002</v>
      </c>
      <c r="AX111" s="3">
        <v>3.5574693000000002</v>
      </c>
      <c r="AY111" s="3">
        <v>3.5469341999999999</v>
      </c>
      <c r="AZ111" s="3">
        <v>3.5379545000000001</v>
      </c>
      <c r="BA111" s="3">
        <v>3.5303887</v>
      </c>
      <c r="BB111" s="3">
        <v>3.5240958</v>
      </c>
      <c r="BC111" s="3">
        <v>3.5189344</v>
      </c>
      <c r="BD111" s="3">
        <v>3.5147629999999999</v>
      </c>
      <c r="BE111" s="3">
        <v>3.5114404000000001</v>
      </c>
      <c r="BF111" s="3">
        <v>3.5088419000000002</v>
      </c>
      <c r="BG111" s="3">
        <v>3.5069151000000001</v>
      </c>
      <c r="BH111" s="3">
        <v>3.5056281999999999</v>
      </c>
      <c r="BI111" s="3">
        <v>3.5049489999999999</v>
      </c>
      <c r="BJ111" s="3">
        <v>3.5048455999999999</v>
      </c>
      <c r="BK111" s="3">
        <v>3.5052857999999998</v>
      </c>
      <c r="BL111" s="3">
        <v>3.5062376999999998</v>
      </c>
      <c r="BM111" s="3">
        <v>3.5076692</v>
      </c>
      <c r="BN111" s="3">
        <v>3.5095481999999998</v>
      </c>
      <c r="BO111" s="3">
        <v>3.5118426999999999</v>
      </c>
      <c r="BP111" s="3">
        <v>3.5145206999999998</v>
      </c>
      <c r="BQ111" s="3">
        <v>3.51755</v>
      </c>
      <c r="BR111" s="3">
        <v>3.5420273999999998</v>
      </c>
      <c r="BS111" s="3">
        <v>3.5754234999999999</v>
      </c>
    </row>
    <row r="112" spans="1:71" x14ac:dyDescent="0.35">
      <c r="A112" s="6">
        <f t="shared" si="77"/>
        <v>45435</v>
      </c>
      <c r="B112">
        <f t="shared" si="72"/>
        <v>5</v>
      </c>
      <c r="C112">
        <f t="shared" si="73"/>
        <v>2024</v>
      </c>
      <c r="D112">
        <f t="shared" si="74"/>
        <v>202405</v>
      </c>
      <c r="E112">
        <f t="shared" si="75"/>
        <v>2</v>
      </c>
      <c r="F112">
        <f t="shared" si="76"/>
        <v>202402</v>
      </c>
      <c r="G112" t="s">
        <v>245</v>
      </c>
      <c r="H112" s="2">
        <v>5.25</v>
      </c>
      <c r="I112" s="2">
        <v>5.2</v>
      </c>
      <c r="J112" s="3">
        <v>5.1919297999999996</v>
      </c>
      <c r="K112" s="3">
        <v>5.1553902999999996</v>
      </c>
      <c r="L112" s="3">
        <v>5.1130293</v>
      </c>
      <c r="M112" s="3">
        <v>5.0658738999999997</v>
      </c>
      <c r="N112" s="3">
        <v>5.0140570999999996</v>
      </c>
      <c r="O112" s="3">
        <v>4.9587180000000002</v>
      </c>
      <c r="P112" s="3">
        <v>4.9017738</v>
      </c>
      <c r="Q112" s="3">
        <v>4.8453343000000002</v>
      </c>
      <c r="R112" s="3">
        <v>4.7909978000000004</v>
      </c>
      <c r="S112" s="3">
        <v>4.7395003000000004</v>
      </c>
      <c r="T112" s="3">
        <v>4.6907427999999998</v>
      </c>
      <c r="U112" s="3">
        <v>4.6441420000000004</v>
      </c>
      <c r="V112" s="3">
        <v>4.5986377999999997</v>
      </c>
      <c r="W112" s="3">
        <v>4.5536329000000002</v>
      </c>
      <c r="X112" s="3">
        <v>4.5086864999999996</v>
      </c>
      <c r="Y112" s="3">
        <v>4.4633564000000003</v>
      </c>
      <c r="Z112" s="3">
        <v>4.4172003000000002</v>
      </c>
      <c r="AA112" s="3">
        <v>4.3697774999999996</v>
      </c>
      <c r="AB112" s="3">
        <v>4.3207917</v>
      </c>
      <c r="AC112" s="3">
        <v>4.2706951000000002</v>
      </c>
      <c r="AD112" s="3">
        <v>4.2201804000000003</v>
      </c>
      <c r="AE112" s="3">
        <v>4.1699389</v>
      </c>
      <c r="AF112" s="3">
        <v>4.1206619</v>
      </c>
      <c r="AG112" s="3">
        <v>4.0730421999999997</v>
      </c>
      <c r="AH112" s="3">
        <v>4.0276809</v>
      </c>
      <c r="AI112" s="3">
        <v>3.9846941</v>
      </c>
      <c r="AJ112" s="3">
        <v>3.9440363999999999</v>
      </c>
      <c r="AK112" s="3">
        <v>3.9056609</v>
      </c>
      <c r="AL112" s="3">
        <v>3.8695210000000002</v>
      </c>
      <c r="AM112" s="3">
        <v>3.8355709999999998</v>
      </c>
      <c r="AN112" s="3">
        <v>3.8037641999999998</v>
      </c>
      <c r="AO112" s="3">
        <v>3.7740537999999999</v>
      </c>
      <c r="AP112" s="3">
        <v>3.7463943</v>
      </c>
      <c r="AQ112" s="3">
        <v>3.7207387000000001</v>
      </c>
      <c r="AR112" s="3">
        <v>3.6970405999999998</v>
      </c>
      <c r="AS112" s="3">
        <v>3.6752541000000001</v>
      </c>
      <c r="AT112" s="3">
        <v>3.6553252000000001</v>
      </c>
      <c r="AU112" s="3">
        <v>3.6371671999999999</v>
      </c>
      <c r="AV112" s="3">
        <v>3.6206852999999999</v>
      </c>
      <c r="AW112" s="3">
        <v>3.6057838000000002</v>
      </c>
      <c r="AX112" s="3">
        <v>3.5923671000000001</v>
      </c>
      <c r="AY112" s="3">
        <v>3.5803402000000002</v>
      </c>
      <c r="AZ112" s="3">
        <v>3.5696075999999999</v>
      </c>
      <c r="BA112" s="3">
        <v>3.5600736999999998</v>
      </c>
      <c r="BB112" s="3">
        <v>3.5516435</v>
      </c>
      <c r="BC112" s="3">
        <v>3.5442212999999998</v>
      </c>
      <c r="BD112" s="3">
        <v>3.5377117</v>
      </c>
      <c r="BE112" s="3">
        <v>3.5320195000000001</v>
      </c>
      <c r="BF112" s="3">
        <v>3.5270603</v>
      </c>
      <c r="BG112" s="3">
        <v>3.5227982999999998</v>
      </c>
      <c r="BH112" s="3">
        <v>3.5192112</v>
      </c>
      <c r="BI112" s="3">
        <v>3.5162767000000001</v>
      </c>
      <c r="BJ112" s="3">
        <v>3.5139724999999999</v>
      </c>
      <c r="BK112" s="3">
        <v>3.5122764000000002</v>
      </c>
      <c r="BL112" s="3">
        <v>3.5111659999999998</v>
      </c>
      <c r="BM112" s="3">
        <v>3.5106188999999999</v>
      </c>
      <c r="BN112" s="3">
        <v>3.5106130000000002</v>
      </c>
      <c r="BO112" s="3">
        <v>3.5111257999999999</v>
      </c>
      <c r="BP112" s="3">
        <v>3.5121351000000001</v>
      </c>
      <c r="BQ112" s="3">
        <v>3.5136186</v>
      </c>
      <c r="BR112" s="3">
        <v>3.5314220000000001</v>
      </c>
      <c r="BS112" s="3">
        <v>3.561849</v>
      </c>
    </row>
    <row r="113" spans="1:71" x14ac:dyDescent="0.35">
      <c r="A113" s="6">
        <f t="shared" si="77"/>
        <v>45436</v>
      </c>
      <c r="B113">
        <f t="shared" si="72"/>
        <v>5</v>
      </c>
      <c r="C113">
        <f t="shared" si="73"/>
        <v>2024</v>
      </c>
      <c r="D113">
        <f t="shared" si="74"/>
        <v>202405</v>
      </c>
      <c r="E113">
        <f t="shared" si="75"/>
        <v>2</v>
      </c>
      <c r="F113">
        <f t="shared" si="76"/>
        <v>202402</v>
      </c>
      <c r="G113" t="s">
        <v>246</v>
      </c>
      <c r="H113" s="2">
        <v>5.25</v>
      </c>
      <c r="I113" s="2">
        <v>5.2</v>
      </c>
      <c r="J113" s="3">
        <v>5.1918996999999996</v>
      </c>
      <c r="K113" s="3">
        <v>5.1544352</v>
      </c>
      <c r="L113" s="3">
        <v>5.1109739999999997</v>
      </c>
      <c r="M113" s="3">
        <v>5.0623054999999999</v>
      </c>
      <c r="N113" s="3">
        <v>5.0089364999999999</v>
      </c>
      <c r="O113" s="3">
        <v>4.9529316000000003</v>
      </c>
      <c r="P113" s="3">
        <v>4.8968826999999999</v>
      </c>
      <c r="Q113" s="3">
        <v>4.8430324000000002</v>
      </c>
      <c r="R113" s="3">
        <v>4.7925632</v>
      </c>
      <c r="S113" s="3">
        <v>4.7454649</v>
      </c>
      <c r="T113" s="3">
        <v>4.7008909000000001</v>
      </c>
      <c r="U113" s="3">
        <v>4.6575196999999999</v>
      </c>
      <c r="V113" s="3">
        <v>4.6130578</v>
      </c>
      <c r="W113" s="3">
        <v>4.5670032999999997</v>
      </c>
      <c r="X113" s="3">
        <v>4.5195777000000001</v>
      </c>
      <c r="Y113" s="3">
        <v>4.4710013000000002</v>
      </c>
      <c r="Z113" s="3">
        <v>4.4214945999999999</v>
      </c>
      <c r="AA113" s="3">
        <v>4.3712795</v>
      </c>
      <c r="AB113" s="3">
        <v>4.3206151999999998</v>
      </c>
      <c r="AC113" s="3">
        <v>4.2699407000000003</v>
      </c>
      <c r="AD113" s="3">
        <v>4.2197490999999996</v>
      </c>
      <c r="AE113" s="3">
        <v>4.1705313999999998</v>
      </c>
      <c r="AF113" s="3">
        <v>4.1227787999999999</v>
      </c>
      <c r="AG113" s="3">
        <v>4.0769843999999997</v>
      </c>
      <c r="AH113" s="3">
        <v>4.0335622000000004</v>
      </c>
      <c r="AI113" s="3">
        <v>3.9925510000000002</v>
      </c>
      <c r="AJ113" s="3">
        <v>3.9538769</v>
      </c>
      <c r="AK113" s="3">
        <v>3.9174641000000001</v>
      </c>
      <c r="AL113" s="3">
        <v>3.8832374999999999</v>
      </c>
      <c r="AM113" s="3">
        <v>3.8511226000000001</v>
      </c>
      <c r="AN113" s="3">
        <v>3.8210441999999998</v>
      </c>
      <c r="AO113" s="3">
        <v>3.7929268999999999</v>
      </c>
      <c r="AP113" s="3">
        <v>3.7666962000000002</v>
      </c>
      <c r="AQ113" s="3">
        <v>3.7422768999999998</v>
      </c>
      <c r="AR113" s="3">
        <v>3.7195936000000001</v>
      </c>
      <c r="AS113" s="3">
        <v>3.6985719000000001</v>
      </c>
      <c r="AT113" s="3">
        <v>3.6791372999999998</v>
      </c>
      <c r="AU113" s="3">
        <v>3.6612187999999999</v>
      </c>
      <c r="AV113" s="3">
        <v>3.6447471999999999</v>
      </c>
      <c r="AW113" s="3">
        <v>3.6296520999999999</v>
      </c>
      <c r="AX113" s="3">
        <v>3.6158636999999998</v>
      </c>
      <c r="AY113" s="3">
        <v>3.6033122999999998</v>
      </c>
      <c r="AZ113" s="3">
        <v>3.5919279</v>
      </c>
      <c r="BA113" s="3">
        <v>3.5816406000000001</v>
      </c>
      <c r="BB113" s="3">
        <v>3.5723807000000001</v>
      </c>
      <c r="BC113" s="3">
        <v>3.5640781000000001</v>
      </c>
      <c r="BD113" s="3">
        <v>3.5566629999999999</v>
      </c>
      <c r="BE113" s="3">
        <v>3.5500655999999999</v>
      </c>
      <c r="BF113" s="3">
        <v>3.5442230000000001</v>
      </c>
      <c r="BG113" s="3">
        <v>3.539104</v>
      </c>
      <c r="BH113" s="3">
        <v>3.5346858000000001</v>
      </c>
      <c r="BI113" s="3">
        <v>3.5309457000000002</v>
      </c>
      <c r="BJ113" s="3">
        <v>3.5278611</v>
      </c>
      <c r="BK113" s="3">
        <v>3.5254091999999999</v>
      </c>
      <c r="BL113" s="3">
        <v>3.5235672999999998</v>
      </c>
      <c r="BM113" s="3">
        <v>3.5223127999999999</v>
      </c>
      <c r="BN113" s="3">
        <v>3.5216229999999999</v>
      </c>
      <c r="BO113" s="3">
        <v>3.5214751</v>
      </c>
      <c r="BP113" s="3">
        <v>3.5218465000000001</v>
      </c>
      <c r="BQ113" s="3">
        <v>3.5227143999999999</v>
      </c>
      <c r="BR113" s="3">
        <v>3.5373486000000001</v>
      </c>
      <c r="BS113" s="3">
        <v>3.5657763</v>
      </c>
    </row>
    <row r="114" spans="1:71" x14ac:dyDescent="0.35">
      <c r="A114" s="6">
        <f t="shared" si="77"/>
        <v>45439</v>
      </c>
      <c r="B114">
        <f t="shared" si="72"/>
        <v>5</v>
      </c>
      <c r="C114">
        <f t="shared" si="73"/>
        <v>2024</v>
      </c>
      <c r="D114">
        <f t="shared" si="74"/>
        <v>202405</v>
      </c>
      <c r="E114">
        <f t="shared" si="75"/>
        <v>2</v>
      </c>
      <c r="F114">
        <f t="shared" si="76"/>
        <v>202402</v>
      </c>
      <c r="G114" t="s">
        <v>247</v>
      </c>
      <c r="H114" s="2">
        <v>5.25</v>
      </c>
      <c r="I114" s="2" t="e">
        <v>#N/A</v>
      </c>
      <c r="J114" s="3" t="e">
        <v>#N/A</v>
      </c>
      <c r="K114" s="3" t="e">
        <v>#N/A</v>
      </c>
      <c r="L114" s="3" t="e">
        <v>#N/A</v>
      </c>
      <c r="M114" s="3" t="e">
        <v>#N/A</v>
      </c>
      <c r="N114" s="3" t="e">
        <v>#N/A</v>
      </c>
      <c r="O114" s="3" t="e">
        <v>#N/A</v>
      </c>
      <c r="P114" s="3" t="e">
        <v>#N/A</v>
      </c>
      <c r="Q114" s="3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 t="e">
        <v>#N/A</v>
      </c>
      <c r="AE114" s="3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e">
        <v>#N/A</v>
      </c>
      <c r="AK114" s="3" t="e">
        <v>#N/A</v>
      </c>
      <c r="AL114" s="3" t="e">
        <v>#N/A</v>
      </c>
      <c r="AM114" s="3" t="e">
        <v>#N/A</v>
      </c>
      <c r="AN114" s="3" t="e">
        <v>#N/A</v>
      </c>
      <c r="AO114" s="3" t="e">
        <v>#N/A</v>
      </c>
      <c r="AP114" s="3" t="e">
        <v>#N/A</v>
      </c>
      <c r="AQ114" s="3" t="e">
        <v>#N/A</v>
      </c>
      <c r="AR114" s="3" t="e">
        <v>#N/A</v>
      </c>
      <c r="AS114" s="3" t="e">
        <v>#N/A</v>
      </c>
      <c r="AT114" s="3" t="e">
        <v>#N/A</v>
      </c>
      <c r="AU114" s="3" t="e">
        <v>#N/A</v>
      </c>
      <c r="AV114" s="3" t="e">
        <v>#N/A</v>
      </c>
      <c r="AW114" s="3" t="e">
        <v>#N/A</v>
      </c>
      <c r="AX114" s="3" t="e">
        <v>#N/A</v>
      </c>
      <c r="AY114" s="3" t="e">
        <v>#N/A</v>
      </c>
      <c r="AZ114" s="3" t="e">
        <v>#N/A</v>
      </c>
      <c r="BA114" s="3" t="e">
        <v>#N/A</v>
      </c>
      <c r="BB114" s="3" t="e">
        <v>#N/A</v>
      </c>
      <c r="BC114" s="3" t="e">
        <v>#N/A</v>
      </c>
      <c r="BD114" s="3" t="e">
        <v>#N/A</v>
      </c>
      <c r="BE114" s="3" t="e">
        <v>#N/A</v>
      </c>
      <c r="BF114" s="3" t="e">
        <v>#N/A</v>
      </c>
      <c r="BG114" s="3" t="e">
        <v>#N/A</v>
      </c>
      <c r="BH114" s="3" t="e">
        <v>#N/A</v>
      </c>
      <c r="BI114" s="3" t="e">
        <v>#N/A</v>
      </c>
      <c r="BJ114" s="3" t="e">
        <v>#N/A</v>
      </c>
      <c r="BK114" s="3" t="e">
        <v>#N/A</v>
      </c>
      <c r="BL114" s="3" t="e">
        <v>#N/A</v>
      </c>
      <c r="BM114" s="3" t="e">
        <v>#N/A</v>
      </c>
      <c r="BN114" s="3" t="e">
        <v>#N/A</v>
      </c>
      <c r="BO114" s="3" t="e">
        <v>#N/A</v>
      </c>
      <c r="BP114" s="3" t="e">
        <v>#N/A</v>
      </c>
      <c r="BQ114" s="3" t="e">
        <v>#N/A</v>
      </c>
      <c r="BR114" s="3" t="e">
        <v>#N/A</v>
      </c>
      <c r="BS114" s="3" t="e">
        <v>#N/A</v>
      </c>
    </row>
    <row r="115" spans="1:71" x14ac:dyDescent="0.35">
      <c r="A115" s="6">
        <f t="shared" si="77"/>
        <v>45440</v>
      </c>
      <c r="B115">
        <f t="shared" si="72"/>
        <v>5</v>
      </c>
      <c r="C115">
        <f t="shared" si="73"/>
        <v>2024</v>
      </c>
      <c r="D115">
        <f t="shared" si="74"/>
        <v>202405</v>
      </c>
      <c r="E115">
        <f t="shared" si="75"/>
        <v>2</v>
      </c>
      <c r="F115">
        <f t="shared" si="76"/>
        <v>202402</v>
      </c>
      <c r="G115" t="s">
        <v>248</v>
      </c>
      <c r="H115" s="2">
        <v>5.25</v>
      </c>
      <c r="I115" s="2">
        <v>5.2</v>
      </c>
      <c r="J115" s="3">
        <v>5.1907866</v>
      </c>
      <c r="K115" s="3">
        <v>5.1537904000000001</v>
      </c>
      <c r="L115" s="3">
        <v>5.1111076000000004</v>
      </c>
      <c r="M115" s="3">
        <v>5.0630185000000001</v>
      </c>
      <c r="N115" s="3">
        <v>5.0089531000000003</v>
      </c>
      <c r="O115" s="3">
        <v>4.9513151000000004</v>
      </c>
      <c r="P115" s="3">
        <v>4.8936897000000004</v>
      </c>
      <c r="Q115" s="3">
        <v>4.8390532999999998</v>
      </c>
      <c r="R115" s="3">
        <v>4.7892071999999999</v>
      </c>
      <c r="S115" s="3">
        <v>4.7444464999999996</v>
      </c>
      <c r="T115" s="3">
        <v>4.7039549999999997</v>
      </c>
      <c r="U115" s="3">
        <v>4.6661868999999996</v>
      </c>
      <c r="V115" s="3">
        <v>4.6285819000000004</v>
      </c>
      <c r="W115" s="3">
        <v>4.590306</v>
      </c>
      <c r="X115" s="3">
        <v>4.5510568999999998</v>
      </c>
      <c r="Y115" s="3">
        <v>4.5105310000000003</v>
      </c>
      <c r="Z115" s="3">
        <v>4.4684244</v>
      </c>
      <c r="AA115" s="3">
        <v>4.4244351000000002</v>
      </c>
      <c r="AB115" s="3">
        <v>4.3783985999999997</v>
      </c>
      <c r="AC115" s="3">
        <v>4.3307957000000004</v>
      </c>
      <c r="AD115" s="3">
        <v>4.2822962000000002</v>
      </c>
      <c r="AE115" s="3">
        <v>4.2335681000000003</v>
      </c>
      <c r="AF115" s="3">
        <v>4.1852795</v>
      </c>
      <c r="AG115" s="3">
        <v>4.1380999000000003</v>
      </c>
      <c r="AH115" s="3">
        <v>4.0925884000000003</v>
      </c>
      <c r="AI115" s="3">
        <v>4.0488672000000001</v>
      </c>
      <c r="AJ115" s="3">
        <v>4.0069508000000003</v>
      </c>
      <c r="AK115" s="3">
        <v>3.9668524000000001</v>
      </c>
      <c r="AL115" s="3">
        <v>3.9285850999999998</v>
      </c>
      <c r="AM115" s="3">
        <v>3.8921633999999998</v>
      </c>
      <c r="AN115" s="3">
        <v>3.8576005000000002</v>
      </c>
      <c r="AO115" s="3">
        <v>3.8249095</v>
      </c>
      <c r="AP115" s="3">
        <v>3.7941047999999999</v>
      </c>
      <c r="AQ115" s="3">
        <v>3.7651997000000001</v>
      </c>
      <c r="AR115" s="3">
        <v>3.7382073999999998</v>
      </c>
      <c r="AS115" s="3">
        <v>3.7131420999999998</v>
      </c>
      <c r="AT115" s="3">
        <v>3.6900013999999999</v>
      </c>
      <c r="AU115" s="3">
        <v>3.6687199000000001</v>
      </c>
      <c r="AV115" s="3">
        <v>3.6492173999999999</v>
      </c>
      <c r="AW115" s="3">
        <v>3.6314126999999998</v>
      </c>
      <c r="AX115" s="3">
        <v>3.6152248999999999</v>
      </c>
      <c r="AY115" s="3">
        <v>3.6005734999999999</v>
      </c>
      <c r="AZ115" s="3">
        <v>3.5873773999999998</v>
      </c>
      <c r="BA115" s="3">
        <v>3.5755558000000001</v>
      </c>
      <c r="BB115" s="3">
        <v>3.5650281000000001</v>
      </c>
      <c r="BC115" s="3">
        <v>3.5557132</v>
      </c>
      <c r="BD115" s="3">
        <v>3.5475303999999999</v>
      </c>
      <c r="BE115" s="3">
        <v>3.5403989</v>
      </c>
      <c r="BF115" s="3">
        <v>3.5342433999999998</v>
      </c>
      <c r="BG115" s="3">
        <v>3.5290173999999999</v>
      </c>
      <c r="BH115" s="3">
        <v>3.5246846999999999</v>
      </c>
      <c r="BI115" s="3">
        <v>3.5212086999999999</v>
      </c>
      <c r="BJ115" s="3">
        <v>3.5185531000000001</v>
      </c>
      <c r="BK115" s="3">
        <v>3.5166814999999998</v>
      </c>
      <c r="BL115" s="3">
        <v>3.5155573000000002</v>
      </c>
      <c r="BM115" s="3">
        <v>3.5151441999999999</v>
      </c>
      <c r="BN115" s="3">
        <v>3.5154057999999999</v>
      </c>
      <c r="BO115" s="3">
        <v>3.5163055000000001</v>
      </c>
      <c r="BP115" s="3">
        <v>3.5178071000000002</v>
      </c>
      <c r="BQ115" s="3">
        <v>3.5198738999999999</v>
      </c>
      <c r="BR115" s="3">
        <v>3.5425561999999999</v>
      </c>
      <c r="BS115" s="3">
        <v>3.5791634999999999</v>
      </c>
    </row>
    <row r="116" spans="1:71" x14ac:dyDescent="0.35">
      <c r="A116" s="6">
        <f t="shared" si="77"/>
        <v>45441</v>
      </c>
      <c r="B116">
        <f t="shared" si="72"/>
        <v>5</v>
      </c>
      <c r="C116">
        <f t="shared" si="73"/>
        <v>2024</v>
      </c>
      <c r="D116">
        <f t="shared" si="74"/>
        <v>202405</v>
      </c>
      <c r="E116">
        <f t="shared" si="75"/>
        <v>2</v>
      </c>
      <c r="F116">
        <f t="shared" si="76"/>
        <v>202402</v>
      </c>
      <c r="G116" t="s">
        <v>249</v>
      </c>
      <c r="H116" s="2">
        <v>5.25</v>
      </c>
      <c r="I116" s="2">
        <v>5.2</v>
      </c>
      <c r="J116" s="3">
        <v>5.1930598000000003</v>
      </c>
      <c r="K116" s="3">
        <v>5.1596666000000004</v>
      </c>
      <c r="L116" s="3">
        <v>5.1192513000000002</v>
      </c>
      <c r="M116" s="3">
        <v>5.0737430000000003</v>
      </c>
      <c r="N116" s="3">
        <v>5.0236947000000001</v>
      </c>
      <c r="O116" s="3">
        <v>4.9718467000000004</v>
      </c>
      <c r="P116" s="3">
        <v>4.9214158000000001</v>
      </c>
      <c r="Q116" s="3">
        <v>4.8746751000000001</v>
      </c>
      <c r="R116" s="3">
        <v>4.8326906999999997</v>
      </c>
      <c r="S116" s="3">
        <v>4.7954834999999996</v>
      </c>
      <c r="T116" s="3">
        <v>4.7617535999999996</v>
      </c>
      <c r="U116" s="3">
        <v>4.7297871999999996</v>
      </c>
      <c r="V116" s="3">
        <v>4.6964981999999997</v>
      </c>
      <c r="W116" s="3">
        <v>4.6611643000000003</v>
      </c>
      <c r="X116" s="3">
        <v>4.6238048000000003</v>
      </c>
      <c r="Y116" s="3">
        <v>4.5844380999999998</v>
      </c>
      <c r="Z116" s="3">
        <v>4.5430824000000003</v>
      </c>
      <c r="AA116" s="3">
        <v>4.4997572999999997</v>
      </c>
      <c r="AB116" s="3">
        <v>4.4545561999999999</v>
      </c>
      <c r="AC116" s="3">
        <v>4.4079962999999998</v>
      </c>
      <c r="AD116" s="3">
        <v>4.3607464</v>
      </c>
      <c r="AE116" s="3">
        <v>4.3134733000000001</v>
      </c>
      <c r="AF116" s="3">
        <v>4.2668441000000001</v>
      </c>
      <c r="AG116" s="3">
        <v>4.2215273</v>
      </c>
      <c r="AH116" s="3">
        <v>4.178077</v>
      </c>
      <c r="AI116" s="3">
        <v>4.1365946999999998</v>
      </c>
      <c r="AJ116" s="3">
        <v>4.0970706999999997</v>
      </c>
      <c r="AK116" s="3">
        <v>4.0594935000000003</v>
      </c>
      <c r="AL116" s="3">
        <v>4.0238518000000001</v>
      </c>
      <c r="AM116" s="3">
        <v>3.9901357000000002</v>
      </c>
      <c r="AN116" s="3">
        <v>3.9583338000000001</v>
      </c>
      <c r="AO116" s="3">
        <v>3.9284347999999998</v>
      </c>
      <c r="AP116" s="3">
        <v>3.9004287</v>
      </c>
      <c r="AQ116" s="3">
        <v>3.8743040999999998</v>
      </c>
      <c r="AR116" s="3">
        <v>3.85005</v>
      </c>
      <c r="AS116" s="3">
        <v>3.8276560000000002</v>
      </c>
      <c r="AT116" s="3">
        <v>3.8071020999999998</v>
      </c>
      <c r="AU116" s="3">
        <v>3.7883201999999998</v>
      </c>
      <c r="AV116" s="3">
        <v>3.7712270999999999</v>
      </c>
      <c r="AW116" s="3">
        <v>3.7557385999999999</v>
      </c>
      <c r="AX116" s="3">
        <v>3.7417707999999998</v>
      </c>
      <c r="AY116" s="3">
        <v>3.7292402</v>
      </c>
      <c r="AZ116" s="3">
        <v>3.7180626999999999</v>
      </c>
      <c r="BA116" s="3">
        <v>3.7081545</v>
      </c>
      <c r="BB116" s="3">
        <v>3.6994319</v>
      </c>
      <c r="BC116" s="3">
        <v>3.691811</v>
      </c>
      <c r="BD116" s="3">
        <v>3.6852079</v>
      </c>
      <c r="BE116" s="3">
        <v>3.6795388999999998</v>
      </c>
      <c r="BF116" s="3">
        <v>3.6747269</v>
      </c>
      <c r="BG116" s="3">
        <v>3.6707279000000002</v>
      </c>
      <c r="BH116" s="3">
        <v>3.6675081999999999</v>
      </c>
      <c r="BI116" s="3">
        <v>3.6650337999999998</v>
      </c>
      <c r="BJ116" s="3">
        <v>3.6632709999999999</v>
      </c>
      <c r="BK116" s="3">
        <v>3.6621858999999999</v>
      </c>
      <c r="BL116" s="3">
        <v>3.6617446999999999</v>
      </c>
      <c r="BM116" s="3">
        <v>3.6619134</v>
      </c>
      <c r="BN116" s="3">
        <v>3.6626584000000002</v>
      </c>
      <c r="BO116" s="3">
        <v>3.6639455999999999</v>
      </c>
      <c r="BP116" s="3">
        <v>3.6657413999999999</v>
      </c>
      <c r="BQ116" s="3">
        <v>3.6680117999999999</v>
      </c>
      <c r="BR116" s="3">
        <v>3.6902642999999999</v>
      </c>
      <c r="BS116" s="3">
        <v>3.724459</v>
      </c>
    </row>
    <row r="117" spans="1:71" x14ac:dyDescent="0.35">
      <c r="A117" s="6">
        <f t="shared" si="77"/>
        <v>45442</v>
      </c>
      <c r="B117">
        <f t="shared" si="72"/>
        <v>5</v>
      </c>
      <c r="C117">
        <f t="shared" si="73"/>
        <v>2024</v>
      </c>
      <c r="D117">
        <f t="shared" si="74"/>
        <v>202405</v>
      </c>
      <c r="E117">
        <f t="shared" si="75"/>
        <v>2</v>
      </c>
      <c r="F117">
        <f t="shared" si="76"/>
        <v>202402</v>
      </c>
      <c r="G117" t="s">
        <v>250</v>
      </c>
      <c r="H117" s="2">
        <v>5.25</v>
      </c>
      <c r="I117" s="2">
        <v>5.2</v>
      </c>
      <c r="J117" s="3">
        <v>5.1906704000000001</v>
      </c>
      <c r="K117" s="3">
        <v>5.1519018000000001</v>
      </c>
      <c r="L117" s="3">
        <v>5.1072775999999998</v>
      </c>
      <c r="M117" s="3">
        <v>5.0587531999999999</v>
      </c>
      <c r="N117" s="3">
        <v>5.0059868999999999</v>
      </c>
      <c r="O117" s="3">
        <v>4.9506031000000004</v>
      </c>
      <c r="P117" s="3">
        <v>4.8952542000000001</v>
      </c>
      <c r="Q117" s="3">
        <v>4.8420041999999999</v>
      </c>
      <c r="R117" s="3">
        <v>4.7917629000000002</v>
      </c>
      <c r="S117" s="3">
        <v>4.7446814000000002</v>
      </c>
      <c r="T117" s="3">
        <v>4.7001742000000002</v>
      </c>
      <c r="U117" s="3">
        <v>4.6573225000000003</v>
      </c>
      <c r="V117" s="3">
        <v>4.6144859</v>
      </c>
      <c r="W117" s="3">
        <v>4.5712954999999997</v>
      </c>
      <c r="X117" s="3">
        <v>4.5277779000000002</v>
      </c>
      <c r="Y117" s="3">
        <v>4.4839580999999997</v>
      </c>
      <c r="Z117" s="3">
        <v>4.4398612999999996</v>
      </c>
      <c r="AA117" s="3">
        <v>4.3955140000000004</v>
      </c>
      <c r="AB117" s="3">
        <v>4.3509874000000002</v>
      </c>
      <c r="AC117" s="3">
        <v>4.3065883999999999</v>
      </c>
      <c r="AD117" s="3">
        <v>4.2627012999999998</v>
      </c>
      <c r="AE117" s="3">
        <v>4.2197084</v>
      </c>
      <c r="AF117" s="3">
        <v>4.1779923999999999</v>
      </c>
      <c r="AG117" s="3">
        <v>4.1379371999999996</v>
      </c>
      <c r="AH117" s="3">
        <v>4.0998659999999996</v>
      </c>
      <c r="AI117" s="3">
        <v>4.0638123999999998</v>
      </c>
      <c r="AJ117" s="3">
        <v>4.0297232000000003</v>
      </c>
      <c r="AK117" s="3">
        <v>3.9975437999999999</v>
      </c>
      <c r="AL117" s="3">
        <v>3.9672196999999998</v>
      </c>
      <c r="AM117" s="3">
        <v>3.9386975999999998</v>
      </c>
      <c r="AN117" s="3">
        <v>3.9119231000000001</v>
      </c>
      <c r="AO117" s="3">
        <v>3.8868415999999999</v>
      </c>
      <c r="AP117" s="3">
        <v>3.8633997</v>
      </c>
      <c r="AQ117" s="3">
        <v>3.8415431</v>
      </c>
      <c r="AR117" s="3">
        <v>3.8212172999999998</v>
      </c>
      <c r="AS117" s="3">
        <v>3.8023687000000002</v>
      </c>
      <c r="AT117" s="3">
        <v>3.7849412</v>
      </c>
      <c r="AU117" s="3">
        <v>3.7688698</v>
      </c>
      <c r="AV117" s="3">
        <v>3.7540873000000001</v>
      </c>
      <c r="AW117" s="3">
        <v>3.7405262000000001</v>
      </c>
      <c r="AX117" s="3">
        <v>3.7281186000000002</v>
      </c>
      <c r="AY117" s="3">
        <v>3.7167975000000002</v>
      </c>
      <c r="AZ117" s="3">
        <v>3.7064952</v>
      </c>
      <c r="BA117" s="3">
        <v>3.6971440000000002</v>
      </c>
      <c r="BB117" s="3">
        <v>3.6886768000000001</v>
      </c>
      <c r="BC117" s="3">
        <v>3.6810258</v>
      </c>
      <c r="BD117" s="3">
        <v>3.6741236000000002</v>
      </c>
      <c r="BE117" s="3">
        <v>3.6679027</v>
      </c>
      <c r="BF117" s="3">
        <v>3.6623036999999998</v>
      </c>
      <c r="BG117" s="3">
        <v>3.6573026</v>
      </c>
      <c r="BH117" s="3">
        <v>3.6528854000000002</v>
      </c>
      <c r="BI117" s="3">
        <v>3.649038</v>
      </c>
      <c r="BJ117" s="3">
        <v>3.6457461000000002</v>
      </c>
      <c r="BK117" s="3">
        <v>3.6429958999999998</v>
      </c>
      <c r="BL117" s="3">
        <v>3.6407731000000001</v>
      </c>
      <c r="BM117" s="3">
        <v>3.6390636999999999</v>
      </c>
      <c r="BN117" s="3">
        <v>3.6378536000000001</v>
      </c>
      <c r="BO117" s="3">
        <v>3.6371286</v>
      </c>
      <c r="BP117" s="3">
        <v>3.6368746999999999</v>
      </c>
      <c r="BQ117" s="3">
        <v>3.6370778000000001</v>
      </c>
      <c r="BR117" s="3">
        <v>3.6472413000000001</v>
      </c>
      <c r="BS117" s="3">
        <v>3.6711414000000002</v>
      </c>
    </row>
    <row r="118" spans="1:71" x14ac:dyDescent="0.35">
      <c r="A118" s="6">
        <f t="shared" si="77"/>
        <v>45443</v>
      </c>
      <c r="B118">
        <f t="shared" si="72"/>
        <v>5</v>
      </c>
      <c r="C118">
        <f t="shared" si="73"/>
        <v>2024</v>
      </c>
      <c r="D118">
        <f t="shared" si="74"/>
        <v>202405</v>
      </c>
      <c r="E118">
        <f t="shared" si="75"/>
        <v>2</v>
      </c>
      <c r="F118">
        <f t="shared" si="76"/>
        <v>202402</v>
      </c>
      <c r="G118" t="s">
        <v>251</v>
      </c>
      <c r="H118" s="2">
        <v>5.25</v>
      </c>
      <c r="I118" s="2">
        <v>5.2</v>
      </c>
      <c r="J118" s="3">
        <v>5.1914861999999999</v>
      </c>
      <c r="K118" s="3">
        <v>5.1532651999999999</v>
      </c>
      <c r="L118" s="3">
        <v>5.1085288000000002</v>
      </c>
      <c r="M118" s="3">
        <v>5.0601905</v>
      </c>
      <c r="N118" s="3">
        <v>5.0075459000000002</v>
      </c>
      <c r="O118" s="3">
        <v>4.9512707000000002</v>
      </c>
      <c r="P118" s="3">
        <v>4.8933999000000004</v>
      </c>
      <c r="Q118" s="3">
        <v>4.8355563999999998</v>
      </c>
      <c r="R118" s="3">
        <v>4.7787506000000004</v>
      </c>
      <c r="S118" s="3">
        <v>4.7235480000000001</v>
      </c>
      <c r="T118" s="3">
        <v>4.6702707999999999</v>
      </c>
      <c r="U118" s="3">
        <v>4.6189746999999999</v>
      </c>
      <c r="V118" s="3">
        <v>4.5698103999999997</v>
      </c>
      <c r="W118" s="3">
        <v>4.5225239999999998</v>
      </c>
      <c r="X118" s="3">
        <v>4.4767210000000004</v>
      </c>
      <c r="Y118" s="3">
        <v>4.4320051999999999</v>
      </c>
      <c r="Z118" s="3">
        <v>4.3879804</v>
      </c>
      <c r="AA118" s="3">
        <v>4.3442521000000003</v>
      </c>
      <c r="AB118" s="3">
        <v>4.3005317999999999</v>
      </c>
      <c r="AC118" s="3">
        <v>4.2570309000000002</v>
      </c>
      <c r="AD118" s="3">
        <v>4.2141070000000003</v>
      </c>
      <c r="AE118" s="3">
        <v>4.1721162999999999</v>
      </c>
      <c r="AF118" s="3">
        <v>4.1314150999999999</v>
      </c>
      <c r="AG118" s="3">
        <v>4.0923609000000001</v>
      </c>
      <c r="AH118" s="3">
        <v>4.0552489999999999</v>
      </c>
      <c r="AI118" s="3">
        <v>4.0201054000000003</v>
      </c>
      <c r="AJ118" s="3">
        <v>3.9868831</v>
      </c>
      <c r="AK118" s="3">
        <v>3.9555338999999998</v>
      </c>
      <c r="AL118" s="3">
        <v>3.9260095000000002</v>
      </c>
      <c r="AM118" s="3">
        <v>3.898263</v>
      </c>
      <c r="AN118" s="3">
        <v>3.8722460000000001</v>
      </c>
      <c r="AO118" s="3">
        <v>3.8479104999999998</v>
      </c>
      <c r="AP118" s="3">
        <v>3.8252092000000002</v>
      </c>
      <c r="AQ118" s="3">
        <v>3.8040940000000001</v>
      </c>
      <c r="AR118" s="3">
        <v>3.7845168</v>
      </c>
      <c r="AS118" s="3">
        <v>3.7664304</v>
      </c>
      <c r="AT118" s="3">
        <v>3.7497829</v>
      </c>
      <c r="AU118" s="3">
        <v>3.7345068000000001</v>
      </c>
      <c r="AV118" s="3">
        <v>3.7205306999999999</v>
      </c>
      <c r="AW118" s="3">
        <v>3.7077824000000001</v>
      </c>
      <c r="AX118" s="3">
        <v>3.6961902000000002</v>
      </c>
      <c r="AY118" s="3">
        <v>3.6856824000000001</v>
      </c>
      <c r="AZ118" s="3">
        <v>3.6761870000000001</v>
      </c>
      <c r="BA118" s="3">
        <v>3.6676321000000001</v>
      </c>
      <c r="BB118" s="3">
        <v>3.6599461</v>
      </c>
      <c r="BC118" s="3">
        <v>3.6530570999999998</v>
      </c>
      <c r="BD118" s="3">
        <v>3.6468931000000002</v>
      </c>
      <c r="BE118" s="3">
        <v>3.6413826</v>
      </c>
      <c r="BF118" s="3">
        <v>3.6364624000000001</v>
      </c>
      <c r="BG118" s="3">
        <v>3.6321089999999998</v>
      </c>
      <c r="BH118" s="3">
        <v>3.6283096000000001</v>
      </c>
      <c r="BI118" s="3">
        <v>3.6250515000000001</v>
      </c>
      <c r="BJ118" s="3">
        <v>3.6223217999999999</v>
      </c>
      <c r="BK118" s="3">
        <v>3.6201078999999998</v>
      </c>
      <c r="BL118" s="3">
        <v>3.6183969999999999</v>
      </c>
      <c r="BM118" s="3">
        <v>3.6171761999999998</v>
      </c>
      <c r="BN118" s="3">
        <v>3.6164329</v>
      </c>
      <c r="BO118" s="3">
        <v>3.6161542</v>
      </c>
      <c r="BP118" s="3">
        <v>3.6163275000000001</v>
      </c>
      <c r="BQ118" s="3">
        <v>3.6169397999999999</v>
      </c>
      <c r="BR118" s="3">
        <v>3.6291924999999998</v>
      </c>
      <c r="BS118" s="3">
        <v>3.6544702</v>
      </c>
    </row>
    <row r="119" spans="1:71" x14ac:dyDescent="0.35">
      <c r="A119" s="6">
        <f t="shared" si="77"/>
        <v>45446</v>
      </c>
      <c r="B119">
        <f t="shared" si="72"/>
        <v>6</v>
      </c>
      <c r="C119">
        <f t="shared" si="73"/>
        <v>2024</v>
      </c>
      <c r="D119">
        <f t="shared" si="74"/>
        <v>202406</v>
      </c>
      <c r="E119">
        <f t="shared" si="75"/>
        <v>2</v>
      </c>
      <c r="F119">
        <f t="shared" si="76"/>
        <v>202402</v>
      </c>
      <c r="G119" t="s">
        <v>252</v>
      </c>
      <c r="H119" s="2">
        <v>5.25</v>
      </c>
      <c r="I119" s="2">
        <v>5.2</v>
      </c>
      <c r="J119" s="3">
        <v>5.1837952999999999</v>
      </c>
      <c r="K119" s="3">
        <v>5.1408525999999997</v>
      </c>
      <c r="L119" s="3">
        <v>5.0905588000000002</v>
      </c>
      <c r="M119" s="3">
        <v>5.0343780999999996</v>
      </c>
      <c r="N119" s="3">
        <v>4.9724934000000003</v>
      </c>
      <c r="O119" s="3">
        <v>4.9076839999999997</v>
      </c>
      <c r="P119" s="3">
        <v>4.8437055000000004</v>
      </c>
      <c r="Q119" s="3">
        <v>4.7831393999999996</v>
      </c>
      <c r="R119" s="3">
        <v>4.7273848000000003</v>
      </c>
      <c r="S119" s="3">
        <v>4.6764945999999998</v>
      </c>
      <c r="T119" s="3">
        <v>4.6297622</v>
      </c>
      <c r="U119" s="3">
        <v>4.5858413000000002</v>
      </c>
      <c r="V119" s="3">
        <v>4.5426647000000004</v>
      </c>
      <c r="W119" s="3">
        <v>4.4996039000000003</v>
      </c>
      <c r="X119" s="3">
        <v>4.4564776999999998</v>
      </c>
      <c r="Y119" s="3">
        <v>4.4131032000000001</v>
      </c>
      <c r="Z119" s="3">
        <v>4.3692976000000003</v>
      </c>
      <c r="AA119" s="3">
        <v>4.3248794999999998</v>
      </c>
      <c r="AB119" s="3">
        <v>4.2797656999999996</v>
      </c>
      <c r="AC119" s="3">
        <v>4.2342903999999999</v>
      </c>
      <c r="AD119" s="3">
        <v>4.1888994999999998</v>
      </c>
      <c r="AE119" s="3">
        <v>4.144037</v>
      </c>
      <c r="AF119" s="3">
        <v>4.1001472000000003</v>
      </c>
      <c r="AG119" s="3">
        <v>4.0576758999999996</v>
      </c>
      <c r="AH119" s="3">
        <v>4.0169886999999997</v>
      </c>
      <c r="AI119" s="3">
        <v>3.9781387000000001</v>
      </c>
      <c r="AJ119" s="3">
        <v>3.9411018000000002</v>
      </c>
      <c r="AK119" s="3">
        <v>3.9058525999999998</v>
      </c>
      <c r="AL119" s="3">
        <v>3.8723656000000002</v>
      </c>
      <c r="AM119" s="3">
        <v>3.8406167999999998</v>
      </c>
      <c r="AN119" s="3">
        <v>3.8105807999999999</v>
      </c>
      <c r="AO119" s="3">
        <v>3.7822323</v>
      </c>
      <c r="AP119" s="3">
        <v>3.7555469000000001</v>
      </c>
      <c r="AQ119" s="3">
        <v>3.7304995000000001</v>
      </c>
      <c r="AR119" s="3">
        <v>3.7070647000000001</v>
      </c>
      <c r="AS119" s="3">
        <v>3.6852182</v>
      </c>
      <c r="AT119" s="3">
        <v>3.6649289</v>
      </c>
      <c r="AU119" s="3">
        <v>3.6461432</v>
      </c>
      <c r="AV119" s="3">
        <v>3.6288022</v>
      </c>
      <c r="AW119" s="3">
        <v>3.6128464</v>
      </c>
      <c r="AX119" s="3">
        <v>3.5982164999999999</v>
      </c>
      <c r="AY119" s="3">
        <v>3.5848532999999998</v>
      </c>
      <c r="AZ119" s="3">
        <v>3.5726976000000001</v>
      </c>
      <c r="BA119" s="3">
        <v>3.56169</v>
      </c>
      <c r="BB119" s="3">
        <v>3.5517713</v>
      </c>
      <c r="BC119" s="3">
        <v>3.5428823</v>
      </c>
      <c r="BD119" s="3">
        <v>3.5349636000000002</v>
      </c>
      <c r="BE119" s="3">
        <v>3.5279560999999999</v>
      </c>
      <c r="BF119" s="3">
        <v>3.5218044000000002</v>
      </c>
      <c r="BG119" s="3">
        <v>3.5164751999999999</v>
      </c>
      <c r="BH119" s="3">
        <v>3.5119422999999999</v>
      </c>
      <c r="BI119" s="3">
        <v>3.5081796000000001</v>
      </c>
      <c r="BJ119" s="3">
        <v>3.5051608999999999</v>
      </c>
      <c r="BK119" s="3">
        <v>3.5028600999999999</v>
      </c>
      <c r="BL119" s="3">
        <v>3.5012511000000002</v>
      </c>
      <c r="BM119" s="3">
        <v>3.5003077</v>
      </c>
      <c r="BN119" s="3">
        <v>3.5000038</v>
      </c>
      <c r="BO119" s="3">
        <v>3.5003131999999999</v>
      </c>
      <c r="BP119" s="3">
        <v>3.5012099000000001</v>
      </c>
      <c r="BQ119" s="3">
        <v>3.5026676999999999</v>
      </c>
      <c r="BR119" s="3">
        <v>3.5218950000000002</v>
      </c>
      <c r="BS119" s="3">
        <v>3.5557243000000001</v>
      </c>
    </row>
    <row r="120" spans="1:71" x14ac:dyDescent="0.35">
      <c r="A120" s="6">
        <f t="shared" si="77"/>
        <v>45447</v>
      </c>
      <c r="B120">
        <f t="shared" si="72"/>
        <v>6</v>
      </c>
      <c r="C120">
        <f t="shared" si="73"/>
        <v>2024</v>
      </c>
      <c r="D120">
        <f t="shared" si="74"/>
        <v>202406</v>
      </c>
      <c r="E120">
        <f t="shared" si="75"/>
        <v>2</v>
      </c>
      <c r="F120">
        <f t="shared" si="76"/>
        <v>202402</v>
      </c>
      <c r="G120" t="s">
        <v>253</v>
      </c>
      <c r="H120" s="2">
        <v>5.25</v>
      </c>
      <c r="I120" s="2">
        <v>5.2</v>
      </c>
      <c r="J120" s="3">
        <v>5.1849217000000003</v>
      </c>
      <c r="K120" s="3">
        <v>5.1420211</v>
      </c>
      <c r="L120" s="3">
        <v>5.0904666000000001</v>
      </c>
      <c r="M120" s="3">
        <v>5.0323023999999998</v>
      </c>
      <c r="N120" s="3">
        <v>4.9680967000000003</v>
      </c>
      <c r="O120" s="3">
        <v>4.9008148</v>
      </c>
      <c r="P120" s="3">
        <v>4.8344589999999998</v>
      </c>
      <c r="Q120" s="3">
        <v>4.7717549000000004</v>
      </c>
      <c r="R120" s="3">
        <v>4.7142724999999999</v>
      </c>
      <c r="S120" s="3">
        <v>4.6620264999999996</v>
      </c>
      <c r="T120" s="3">
        <v>4.6141402999999999</v>
      </c>
      <c r="U120" s="3">
        <v>4.5690584999999997</v>
      </c>
      <c r="V120" s="3">
        <v>4.5241911999999997</v>
      </c>
      <c r="W120" s="3">
        <v>4.4788812</v>
      </c>
      <c r="X120" s="3">
        <v>4.4330699999999998</v>
      </c>
      <c r="Y120" s="3">
        <v>4.3866969999999998</v>
      </c>
      <c r="Z120" s="3">
        <v>4.3397021000000002</v>
      </c>
      <c r="AA120" s="3">
        <v>4.2920264000000001</v>
      </c>
      <c r="AB120" s="3">
        <v>4.2436970000000001</v>
      </c>
      <c r="AC120" s="3">
        <v>4.1951077000000003</v>
      </c>
      <c r="AD120" s="3">
        <v>4.1467502999999999</v>
      </c>
      <c r="AE120" s="3">
        <v>4.0991149</v>
      </c>
      <c r="AF120" s="3">
        <v>4.0526917999999998</v>
      </c>
      <c r="AG120" s="3">
        <v>4.0079726000000004</v>
      </c>
      <c r="AH120" s="3">
        <v>3.9653577000000002</v>
      </c>
      <c r="AI120" s="3">
        <v>3.9248872000000001</v>
      </c>
      <c r="AJ120" s="3">
        <v>3.8865129999999999</v>
      </c>
      <c r="AK120" s="3">
        <v>3.8501851999999999</v>
      </c>
      <c r="AL120" s="3">
        <v>3.8158542</v>
      </c>
      <c r="AM120" s="3">
        <v>3.7834717000000002</v>
      </c>
      <c r="AN120" s="3">
        <v>3.7529878999999999</v>
      </c>
      <c r="AO120" s="3">
        <v>3.7243533000000002</v>
      </c>
      <c r="AP120" s="3">
        <v>3.6975193000000002</v>
      </c>
      <c r="AQ120" s="3">
        <v>3.6724364</v>
      </c>
      <c r="AR120" s="3">
        <v>3.6490548999999999</v>
      </c>
      <c r="AS120" s="3">
        <v>3.6273263999999998</v>
      </c>
      <c r="AT120" s="3">
        <v>3.6071987000000001</v>
      </c>
      <c r="AU120" s="3">
        <v>3.5886106999999998</v>
      </c>
      <c r="AV120" s="3">
        <v>3.5714991999999999</v>
      </c>
      <c r="AW120" s="3">
        <v>3.5558003999999999</v>
      </c>
      <c r="AX120" s="3">
        <v>3.5414507999999998</v>
      </c>
      <c r="AY120" s="3">
        <v>3.5283869999999999</v>
      </c>
      <c r="AZ120" s="3">
        <v>3.5165454999999999</v>
      </c>
      <c r="BA120" s="3">
        <v>3.5058625999999999</v>
      </c>
      <c r="BB120" s="3">
        <v>3.4962749999999998</v>
      </c>
      <c r="BC120" s="3">
        <v>3.4877191000000001</v>
      </c>
      <c r="BD120" s="3">
        <v>3.4801313</v>
      </c>
      <c r="BE120" s="3">
        <v>3.4734482</v>
      </c>
      <c r="BF120" s="3">
        <v>3.4676111000000001</v>
      </c>
      <c r="BG120" s="3">
        <v>3.4625854</v>
      </c>
      <c r="BH120" s="3">
        <v>3.4583438000000002</v>
      </c>
      <c r="BI120" s="3">
        <v>3.4548589000000001</v>
      </c>
      <c r="BJ120" s="3">
        <v>3.4521033000000001</v>
      </c>
      <c r="BK120" s="3">
        <v>3.4500497000000001</v>
      </c>
      <c r="BL120" s="3">
        <v>3.4486707999999999</v>
      </c>
      <c r="BM120" s="3">
        <v>3.4479391000000001</v>
      </c>
      <c r="BN120" s="3">
        <v>3.4478273000000002</v>
      </c>
      <c r="BO120" s="3">
        <v>3.4483081000000002</v>
      </c>
      <c r="BP120" s="3">
        <v>3.4493542000000001</v>
      </c>
      <c r="BQ120" s="3">
        <v>3.4509379999999998</v>
      </c>
      <c r="BR120" s="3">
        <v>3.4704155000000001</v>
      </c>
      <c r="BS120" s="3">
        <v>3.5036426999999999</v>
      </c>
    </row>
    <row r="121" spans="1:71" x14ac:dyDescent="0.35">
      <c r="A121" s="6">
        <f t="shared" si="77"/>
        <v>45448</v>
      </c>
      <c r="B121">
        <f t="shared" si="72"/>
        <v>6</v>
      </c>
      <c r="C121">
        <f t="shared" si="73"/>
        <v>2024</v>
      </c>
      <c r="D121">
        <f t="shared" si="74"/>
        <v>202406</v>
      </c>
      <c r="E121">
        <f t="shared" si="75"/>
        <v>2</v>
      </c>
      <c r="F121">
        <f t="shared" si="76"/>
        <v>202402</v>
      </c>
      <c r="G121" t="s">
        <v>254</v>
      </c>
      <c r="H121" s="2">
        <v>5.25</v>
      </c>
      <c r="I121" s="2">
        <v>5.2</v>
      </c>
      <c r="J121" s="3">
        <v>5.1868981999999999</v>
      </c>
      <c r="K121" s="3">
        <v>5.1455248999999998</v>
      </c>
      <c r="L121" s="3">
        <v>5.0955963999999998</v>
      </c>
      <c r="M121" s="3">
        <v>5.0384820000000001</v>
      </c>
      <c r="N121" s="3">
        <v>4.9747152999999997</v>
      </c>
      <c r="O121" s="3">
        <v>4.9076475999999998</v>
      </c>
      <c r="P121" s="3">
        <v>4.8412077</v>
      </c>
      <c r="Q121" s="3">
        <v>4.7779631</v>
      </c>
      <c r="R121" s="3">
        <v>4.7194608999999996</v>
      </c>
      <c r="S121" s="3">
        <v>4.6660152999999998</v>
      </c>
      <c r="T121" s="3">
        <v>4.6169117000000002</v>
      </c>
      <c r="U121" s="3">
        <v>4.5709154999999999</v>
      </c>
      <c r="V121" s="3">
        <v>4.5254839999999996</v>
      </c>
      <c r="W121" s="3">
        <v>4.4798958999999998</v>
      </c>
      <c r="X121" s="3">
        <v>4.4340134000000004</v>
      </c>
      <c r="Y121" s="3">
        <v>4.3876970000000002</v>
      </c>
      <c r="Z121" s="3">
        <v>4.3408069999999999</v>
      </c>
      <c r="AA121" s="3">
        <v>4.2932055</v>
      </c>
      <c r="AB121" s="3">
        <v>4.2448500999999998</v>
      </c>
      <c r="AC121" s="3">
        <v>4.1961060999999997</v>
      </c>
      <c r="AD121" s="3">
        <v>4.1474478000000001</v>
      </c>
      <c r="AE121" s="3">
        <v>4.0993478000000003</v>
      </c>
      <c r="AF121" s="3">
        <v>4.0522786000000002</v>
      </c>
      <c r="AG121" s="3">
        <v>4.0067145000000002</v>
      </c>
      <c r="AH121" s="3">
        <v>3.9630472999999999</v>
      </c>
      <c r="AI121" s="3">
        <v>3.9213461000000001</v>
      </c>
      <c r="AJ121" s="3">
        <v>3.8816008000000002</v>
      </c>
      <c r="AK121" s="3">
        <v>3.8437996999999999</v>
      </c>
      <c r="AL121" s="3">
        <v>3.8079312000000001</v>
      </c>
      <c r="AM121" s="3">
        <v>3.7739851</v>
      </c>
      <c r="AN121" s="3">
        <v>3.7419498999999998</v>
      </c>
      <c r="AO121" s="3">
        <v>3.7118139999999999</v>
      </c>
      <c r="AP121" s="3">
        <v>3.6835669000000002</v>
      </c>
      <c r="AQ121" s="3">
        <v>3.6571973</v>
      </c>
      <c r="AR121" s="3">
        <v>3.6326936999999999</v>
      </c>
      <c r="AS121" s="3">
        <v>3.6100455</v>
      </c>
      <c r="AT121" s="3">
        <v>3.5892317999999999</v>
      </c>
      <c r="AU121" s="3">
        <v>3.5701857000000001</v>
      </c>
      <c r="AV121" s="3">
        <v>3.5528265000000001</v>
      </c>
      <c r="AW121" s="3">
        <v>3.5370732999999999</v>
      </c>
      <c r="AX121" s="3">
        <v>3.5228449999999998</v>
      </c>
      <c r="AY121" s="3">
        <v>3.5100611000000002</v>
      </c>
      <c r="AZ121" s="3">
        <v>3.4986404000000002</v>
      </c>
      <c r="BA121" s="3">
        <v>3.4885020999999998</v>
      </c>
      <c r="BB121" s="3">
        <v>3.4795653999999998</v>
      </c>
      <c r="BC121" s="3">
        <v>3.4717494000000002</v>
      </c>
      <c r="BD121" s="3">
        <v>3.4649730000000001</v>
      </c>
      <c r="BE121" s="3">
        <v>3.4591557000000002</v>
      </c>
      <c r="BF121" s="3">
        <v>3.4542229</v>
      </c>
      <c r="BG121" s="3">
        <v>3.4501292000000001</v>
      </c>
      <c r="BH121" s="3">
        <v>3.4468374000000002</v>
      </c>
      <c r="BI121" s="3">
        <v>3.4443101</v>
      </c>
      <c r="BJ121" s="3">
        <v>3.4425097999999998</v>
      </c>
      <c r="BK121" s="3">
        <v>3.4413992000000002</v>
      </c>
      <c r="BL121" s="3">
        <v>3.4409409000000002</v>
      </c>
      <c r="BM121" s="3">
        <v>3.4410976</v>
      </c>
      <c r="BN121" s="3">
        <v>3.4418316999999998</v>
      </c>
      <c r="BO121" s="3">
        <v>3.4431061000000001</v>
      </c>
      <c r="BP121" s="3">
        <v>3.4448832</v>
      </c>
      <c r="BQ121" s="3">
        <v>3.4471257</v>
      </c>
      <c r="BR121" s="3">
        <v>3.4689866</v>
      </c>
      <c r="BS121" s="3">
        <v>3.5025835000000001</v>
      </c>
    </row>
    <row r="122" spans="1:71" x14ac:dyDescent="0.35">
      <c r="A122" s="6">
        <f t="shared" si="77"/>
        <v>45449</v>
      </c>
      <c r="B122">
        <f t="shared" si="72"/>
        <v>6</v>
      </c>
      <c r="C122">
        <f t="shared" si="73"/>
        <v>2024</v>
      </c>
      <c r="D122">
        <f t="shared" si="74"/>
        <v>202406</v>
      </c>
      <c r="E122">
        <f t="shared" si="75"/>
        <v>2</v>
      </c>
      <c r="F122">
        <f t="shared" si="76"/>
        <v>202402</v>
      </c>
      <c r="G122" t="s">
        <v>255</v>
      </c>
      <c r="H122" s="2">
        <v>5.25</v>
      </c>
      <c r="I122" s="2">
        <v>5.2</v>
      </c>
      <c r="J122" s="3">
        <v>5.1779003000000001</v>
      </c>
      <c r="K122" s="3">
        <v>5.1351230000000001</v>
      </c>
      <c r="L122" s="3">
        <v>5.0821582000000003</v>
      </c>
      <c r="M122" s="3">
        <v>5.0203309000000003</v>
      </c>
      <c r="N122" s="3">
        <v>4.9509381000000001</v>
      </c>
      <c r="O122" s="3">
        <v>4.8782303999999996</v>
      </c>
      <c r="P122" s="3">
        <v>4.8069991999999999</v>
      </c>
      <c r="Q122" s="3">
        <v>4.7402835999999997</v>
      </c>
      <c r="R122" s="3">
        <v>4.6796515000000003</v>
      </c>
      <c r="S122" s="3">
        <v>4.6251147000000001</v>
      </c>
      <c r="T122" s="3">
        <v>4.5756481000000004</v>
      </c>
      <c r="U122" s="3">
        <v>4.5295635000000001</v>
      </c>
      <c r="V122" s="3">
        <v>4.4839205</v>
      </c>
      <c r="W122" s="3">
        <v>4.4379189999999999</v>
      </c>
      <c r="X122" s="3">
        <v>4.3914083000000002</v>
      </c>
      <c r="Y122" s="3">
        <v>4.3442362000000001</v>
      </c>
      <c r="Z122" s="3">
        <v>4.2962502999999996</v>
      </c>
      <c r="AA122" s="3">
        <v>4.2472998000000004</v>
      </c>
      <c r="AB122" s="3">
        <v>4.1973343999999999</v>
      </c>
      <c r="AC122" s="3">
        <v>4.1468254</v>
      </c>
      <c r="AD122" s="3">
        <v>4.0964127000000001</v>
      </c>
      <c r="AE122" s="3">
        <v>4.0467342999999998</v>
      </c>
      <c r="AF122" s="3">
        <v>3.9984283999999999</v>
      </c>
      <c r="AG122" s="3">
        <v>3.9521350000000002</v>
      </c>
      <c r="AH122" s="3">
        <v>3.9083945</v>
      </c>
      <c r="AI122" s="3">
        <v>3.8672721000000001</v>
      </c>
      <c r="AJ122" s="3">
        <v>3.8286896000000001</v>
      </c>
      <c r="AK122" s="3">
        <v>3.7925673999999998</v>
      </c>
      <c r="AL122" s="3">
        <v>3.7588257999999999</v>
      </c>
      <c r="AM122" s="3">
        <v>3.7273865000000002</v>
      </c>
      <c r="AN122" s="3">
        <v>3.6981698999999999</v>
      </c>
      <c r="AO122" s="3">
        <v>3.6710965</v>
      </c>
      <c r="AP122" s="3">
        <v>3.6460878000000001</v>
      </c>
      <c r="AQ122" s="3">
        <v>3.6230642</v>
      </c>
      <c r="AR122" s="3">
        <v>3.6019464000000001</v>
      </c>
      <c r="AS122" s="3">
        <v>3.5826557000000001</v>
      </c>
      <c r="AT122" s="3">
        <v>3.5651107999999998</v>
      </c>
      <c r="AU122" s="3">
        <v>3.5492216000000001</v>
      </c>
      <c r="AV122" s="3">
        <v>3.5348967</v>
      </c>
      <c r="AW122" s="3">
        <v>3.5220438999999999</v>
      </c>
      <c r="AX122" s="3">
        <v>3.5105708999999998</v>
      </c>
      <c r="AY122" s="3">
        <v>3.5003861000000001</v>
      </c>
      <c r="AZ122" s="3">
        <v>3.4913972000000002</v>
      </c>
      <c r="BA122" s="3">
        <v>3.4835121999999998</v>
      </c>
      <c r="BB122" s="3">
        <v>3.4766393</v>
      </c>
      <c r="BC122" s="3">
        <v>3.4706863000000001</v>
      </c>
      <c r="BD122" s="3">
        <v>3.4655611999999998</v>
      </c>
      <c r="BE122" s="3">
        <v>3.4611719999999999</v>
      </c>
      <c r="BF122" s="3">
        <v>3.4574375000000002</v>
      </c>
      <c r="BG122" s="3">
        <v>3.4543238999999999</v>
      </c>
      <c r="BH122" s="3">
        <v>3.4518103999999998</v>
      </c>
      <c r="BI122" s="3">
        <v>3.4498764999999998</v>
      </c>
      <c r="BJ122" s="3">
        <v>3.4485014000000001</v>
      </c>
      <c r="BK122" s="3">
        <v>3.4476643999999999</v>
      </c>
      <c r="BL122" s="3">
        <v>3.4473449</v>
      </c>
      <c r="BM122" s="3">
        <v>3.4475221</v>
      </c>
      <c r="BN122" s="3">
        <v>3.4481755000000001</v>
      </c>
      <c r="BO122" s="3">
        <v>3.4492842000000001</v>
      </c>
      <c r="BP122" s="3">
        <v>3.4508276000000002</v>
      </c>
      <c r="BQ122" s="3">
        <v>3.4527850999999998</v>
      </c>
      <c r="BR122" s="3">
        <v>3.4723554000000001</v>
      </c>
      <c r="BS122" s="3">
        <v>3.5033721</v>
      </c>
    </row>
    <row r="123" spans="1:71" x14ac:dyDescent="0.35">
      <c r="A123" s="6">
        <f t="shared" si="77"/>
        <v>45450</v>
      </c>
      <c r="B123">
        <f t="shared" si="72"/>
        <v>6</v>
      </c>
      <c r="C123">
        <f t="shared" si="73"/>
        <v>2024</v>
      </c>
      <c r="D123">
        <f t="shared" si="74"/>
        <v>202406</v>
      </c>
      <c r="E123">
        <f t="shared" si="75"/>
        <v>2</v>
      </c>
      <c r="F123">
        <f t="shared" si="76"/>
        <v>202402</v>
      </c>
      <c r="G123" t="s">
        <v>256</v>
      </c>
      <c r="H123" s="2">
        <v>5.25</v>
      </c>
      <c r="I123" s="2">
        <v>5.2</v>
      </c>
      <c r="J123" s="3">
        <v>5.1782710999999999</v>
      </c>
      <c r="K123" s="3">
        <v>5.1375843999999997</v>
      </c>
      <c r="L123" s="3">
        <v>5.0895904999999999</v>
      </c>
      <c r="M123" s="3">
        <v>5.0355631000000001</v>
      </c>
      <c r="N123" s="3">
        <v>4.9763842</v>
      </c>
      <c r="O123" s="3">
        <v>4.9147388000000003</v>
      </c>
      <c r="P123" s="3">
        <v>4.8536951999999998</v>
      </c>
      <c r="Q123" s="3">
        <v>4.7950121000000001</v>
      </c>
      <c r="R123" s="3">
        <v>4.7394471999999999</v>
      </c>
      <c r="S123" s="3">
        <v>4.6869342999999999</v>
      </c>
      <c r="T123" s="3">
        <v>4.6369173000000004</v>
      </c>
      <c r="U123" s="3">
        <v>4.5885470000000002</v>
      </c>
      <c r="V123" s="3">
        <v>4.5405591999999997</v>
      </c>
      <c r="W123" s="3">
        <v>4.492661</v>
      </c>
      <c r="X123" s="3">
        <v>4.4449025999999998</v>
      </c>
      <c r="Y123" s="3">
        <v>4.3973326999999998</v>
      </c>
      <c r="Z123" s="3">
        <v>4.3499999999999996</v>
      </c>
      <c r="AA123" s="3">
        <v>4.3029548000000002</v>
      </c>
      <c r="AB123" s="3">
        <v>4.2562841000000002</v>
      </c>
      <c r="AC123" s="3">
        <v>4.2102535999999997</v>
      </c>
      <c r="AD123" s="3">
        <v>4.1651818</v>
      </c>
      <c r="AE123" s="3">
        <v>4.1213860000000002</v>
      </c>
      <c r="AF123" s="3">
        <v>4.0791833999999998</v>
      </c>
      <c r="AG123" s="3">
        <v>4.0388925000000002</v>
      </c>
      <c r="AH123" s="3">
        <v>4.0007716000000002</v>
      </c>
      <c r="AI123" s="3">
        <v>3.9648186999999999</v>
      </c>
      <c r="AJ123" s="3">
        <v>3.9309612999999999</v>
      </c>
      <c r="AK123" s="3">
        <v>3.8991256000000001</v>
      </c>
      <c r="AL123" s="3">
        <v>3.8692378999999999</v>
      </c>
      <c r="AM123" s="3">
        <v>3.8412255000000002</v>
      </c>
      <c r="AN123" s="3">
        <v>3.8150146</v>
      </c>
      <c r="AO123" s="3">
        <v>3.7905315000000002</v>
      </c>
      <c r="AP123" s="3">
        <v>3.7677035999999999</v>
      </c>
      <c r="AQ123" s="3">
        <v>3.7464571000000002</v>
      </c>
      <c r="AR123" s="3">
        <v>3.7267184000000002</v>
      </c>
      <c r="AS123" s="3">
        <v>3.7084145999999998</v>
      </c>
      <c r="AT123" s="3">
        <v>3.6914742999999999</v>
      </c>
      <c r="AU123" s="3">
        <v>3.6758348999999999</v>
      </c>
      <c r="AV123" s="3">
        <v>3.6614365000000002</v>
      </c>
      <c r="AW123" s="3">
        <v>3.6482187000000001</v>
      </c>
      <c r="AX123" s="3">
        <v>3.6361213000000001</v>
      </c>
      <c r="AY123" s="3">
        <v>3.6250841999999999</v>
      </c>
      <c r="AZ123" s="3">
        <v>3.6150471</v>
      </c>
      <c r="BA123" s="3">
        <v>3.6059497</v>
      </c>
      <c r="BB123" s="3">
        <v>3.5977320000000002</v>
      </c>
      <c r="BC123" s="3">
        <v>3.5903337</v>
      </c>
      <c r="BD123" s="3">
        <v>3.5836944000000002</v>
      </c>
      <c r="BE123" s="3">
        <v>3.5777542000000002</v>
      </c>
      <c r="BF123" s="3">
        <v>3.5724592999999998</v>
      </c>
      <c r="BG123" s="3">
        <v>3.5677853000000002</v>
      </c>
      <c r="BH123" s="3">
        <v>3.5637159999999999</v>
      </c>
      <c r="BI123" s="3">
        <v>3.5602350999999999</v>
      </c>
      <c r="BJ123" s="3">
        <v>3.5573261</v>
      </c>
      <c r="BK123" s="3">
        <v>3.5549729000000001</v>
      </c>
      <c r="BL123" s="3">
        <v>3.5531590999999998</v>
      </c>
      <c r="BM123" s="3">
        <v>3.5518683000000002</v>
      </c>
      <c r="BN123" s="3">
        <v>3.5510844000000001</v>
      </c>
      <c r="BO123" s="3">
        <v>3.5507908000000001</v>
      </c>
      <c r="BP123" s="3">
        <v>3.5509713999999999</v>
      </c>
      <c r="BQ123" s="3">
        <v>3.5516098</v>
      </c>
      <c r="BR123" s="3">
        <v>3.5642626000000002</v>
      </c>
      <c r="BS123" s="3">
        <v>3.5900259000000001</v>
      </c>
    </row>
    <row r="124" spans="1:71" x14ac:dyDescent="0.35">
      <c r="A124" s="6">
        <f t="shared" si="77"/>
        <v>45453</v>
      </c>
      <c r="B124">
        <f t="shared" si="72"/>
        <v>6</v>
      </c>
      <c r="C124">
        <f t="shared" si="73"/>
        <v>2024</v>
      </c>
      <c r="D124">
        <f t="shared" si="74"/>
        <v>202406</v>
      </c>
      <c r="E124">
        <f t="shared" si="75"/>
        <v>2</v>
      </c>
      <c r="F124">
        <f t="shared" si="76"/>
        <v>202402</v>
      </c>
      <c r="G124" t="s">
        <v>257</v>
      </c>
      <c r="H124" s="2">
        <v>5.25</v>
      </c>
      <c r="I124" s="2">
        <v>5.2</v>
      </c>
      <c r="J124" s="3">
        <v>5.1819705999999996</v>
      </c>
      <c r="K124" s="3">
        <v>5.1425089000000002</v>
      </c>
      <c r="L124" s="3">
        <v>5.0989250000000004</v>
      </c>
      <c r="M124" s="3">
        <v>5.0496074000000002</v>
      </c>
      <c r="N124" s="3">
        <v>4.9938681999999996</v>
      </c>
      <c r="O124" s="3">
        <v>4.9343500999999996</v>
      </c>
      <c r="P124" s="3">
        <v>4.8752344000000001</v>
      </c>
      <c r="Q124" s="3">
        <v>4.8198587000000002</v>
      </c>
      <c r="R124" s="3">
        <v>4.7701855000000002</v>
      </c>
      <c r="S124" s="3">
        <v>4.7263871000000002</v>
      </c>
      <c r="T124" s="3">
        <v>4.6874821999999998</v>
      </c>
      <c r="U124" s="3">
        <v>4.6515531000000001</v>
      </c>
      <c r="V124" s="3">
        <v>4.6153975000000003</v>
      </c>
      <c r="W124" s="3">
        <v>4.5782235</v>
      </c>
      <c r="X124" s="3">
        <v>4.5399823000000001</v>
      </c>
      <c r="Y124" s="3">
        <v>4.5006240000000002</v>
      </c>
      <c r="Z124" s="3">
        <v>4.4600982</v>
      </c>
      <c r="AA124" s="3">
        <v>4.4183564999999998</v>
      </c>
      <c r="AB124" s="3">
        <v>4.3754419000000002</v>
      </c>
      <c r="AC124" s="3">
        <v>4.3317892999999996</v>
      </c>
      <c r="AD124" s="3">
        <v>4.2879379000000002</v>
      </c>
      <c r="AE124" s="3">
        <v>4.2444255000000002</v>
      </c>
      <c r="AF124" s="3">
        <v>4.2017898000000002</v>
      </c>
      <c r="AG124" s="3">
        <v>4.1605701000000002</v>
      </c>
      <c r="AH124" s="3">
        <v>4.1212074999999997</v>
      </c>
      <c r="AI124" s="3">
        <v>4.0837574999999999</v>
      </c>
      <c r="AJ124" s="3">
        <v>4.0481802</v>
      </c>
      <c r="AK124" s="3">
        <v>4.0144343999999998</v>
      </c>
      <c r="AL124" s="3">
        <v>3.9824792000000002</v>
      </c>
      <c r="AM124" s="3">
        <v>3.9522745000000001</v>
      </c>
      <c r="AN124" s="3">
        <v>3.9237793000000001</v>
      </c>
      <c r="AO124" s="3">
        <v>3.8969526000000001</v>
      </c>
      <c r="AP124" s="3">
        <v>3.8717543000000001</v>
      </c>
      <c r="AQ124" s="3">
        <v>3.8481432999999998</v>
      </c>
      <c r="AR124" s="3">
        <v>3.8260787000000001</v>
      </c>
      <c r="AS124" s="3">
        <v>3.8055203</v>
      </c>
      <c r="AT124" s="3">
        <v>3.7864244999999999</v>
      </c>
      <c r="AU124" s="3">
        <v>3.7687363</v>
      </c>
      <c r="AV124" s="3">
        <v>3.7523989000000002</v>
      </c>
      <c r="AW124" s="3">
        <v>3.7373547</v>
      </c>
      <c r="AX124" s="3">
        <v>3.7235461000000001</v>
      </c>
      <c r="AY124" s="3">
        <v>3.7109162000000002</v>
      </c>
      <c r="AZ124" s="3">
        <v>3.6994074000000001</v>
      </c>
      <c r="BA124" s="3">
        <v>3.6889622000000002</v>
      </c>
      <c r="BB124" s="3">
        <v>3.6795235000000002</v>
      </c>
      <c r="BC124" s="3">
        <v>3.6710338</v>
      </c>
      <c r="BD124" s="3">
        <v>3.6634357999999998</v>
      </c>
      <c r="BE124" s="3">
        <v>3.6566721000000002</v>
      </c>
      <c r="BF124" s="3">
        <v>3.6506897999999999</v>
      </c>
      <c r="BG124" s="3">
        <v>3.6454594</v>
      </c>
      <c r="BH124" s="3">
        <v>3.6409596999999998</v>
      </c>
      <c r="BI124" s="3">
        <v>3.6371690999999999</v>
      </c>
      <c r="BJ124" s="3">
        <v>3.6340661999999999</v>
      </c>
      <c r="BK124" s="3">
        <v>3.6316296000000001</v>
      </c>
      <c r="BL124" s="3">
        <v>3.6298379999999999</v>
      </c>
      <c r="BM124" s="3">
        <v>3.6286697999999999</v>
      </c>
      <c r="BN124" s="3">
        <v>3.6281036000000002</v>
      </c>
      <c r="BO124" s="3">
        <v>3.6281181</v>
      </c>
      <c r="BP124" s="3">
        <v>3.6286917999999999</v>
      </c>
      <c r="BQ124" s="3">
        <v>3.6298032999999998</v>
      </c>
      <c r="BR124" s="3">
        <v>3.6466186999999999</v>
      </c>
      <c r="BS124" s="3">
        <v>3.6777185000000001</v>
      </c>
    </row>
    <row r="125" spans="1:71" x14ac:dyDescent="0.35">
      <c r="A125" s="6">
        <f t="shared" si="77"/>
        <v>45454</v>
      </c>
      <c r="B125">
        <f t="shared" si="72"/>
        <v>6</v>
      </c>
      <c r="C125">
        <f t="shared" si="73"/>
        <v>2024</v>
      </c>
      <c r="D125">
        <f t="shared" si="74"/>
        <v>202406</v>
      </c>
      <c r="E125">
        <f t="shared" si="75"/>
        <v>2</v>
      </c>
      <c r="F125">
        <f t="shared" si="76"/>
        <v>202402</v>
      </c>
      <c r="G125" t="s">
        <v>258</v>
      </c>
      <c r="H125" s="2">
        <v>5.25</v>
      </c>
      <c r="I125" s="2">
        <v>5.2</v>
      </c>
      <c r="J125" s="3">
        <v>5.1757966</v>
      </c>
      <c r="K125" s="3">
        <v>5.1287644999999999</v>
      </c>
      <c r="L125" s="3">
        <v>5.0786992</v>
      </c>
      <c r="M125" s="3">
        <v>5.0250579999999996</v>
      </c>
      <c r="N125" s="3">
        <v>4.9668390999999996</v>
      </c>
      <c r="O125" s="3">
        <v>4.9057687000000003</v>
      </c>
      <c r="P125" s="3">
        <v>4.8450249000000003</v>
      </c>
      <c r="Q125" s="3">
        <v>4.7871360000000003</v>
      </c>
      <c r="R125" s="3">
        <v>4.7338183999999996</v>
      </c>
      <c r="S125" s="3">
        <v>4.6854376999999996</v>
      </c>
      <c r="T125" s="3">
        <v>4.6414597999999998</v>
      </c>
      <c r="U125" s="3">
        <v>4.6005561999999998</v>
      </c>
      <c r="V125" s="3">
        <v>4.5601925999999997</v>
      </c>
      <c r="W125" s="3">
        <v>4.5196576000000004</v>
      </c>
      <c r="X125" s="3">
        <v>4.4788081000000002</v>
      </c>
      <c r="Y125" s="3">
        <v>4.4374998999999997</v>
      </c>
      <c r="Z125" s="3">
        <v>4.3955884000000003</v>
      </c>
      <c r="AA125" s="3">
        <v>4.3529309999999999</v>
      </c>
      <c r="AB125" s="3">
        <v>4.3094787999999999</v>
      </c>
      <c r="AC125" s="3">
        <v>4.2655849000000003</v>
      </c>
      <c r="AD125" s="3">
        <v>4.2217095000000002</v>
      </c>
      <c r="AE125" s="3">
        <v>4.1783112999999998</v>
      </c>
      <c r="AF125" s="3">
        <v>4.1358490000000003</v>
      </c>
      <c r="AG125" s="3">
        <v>4.0947826999999997</v>
      </c>
      <c r="AH125" s="3">
        <v>4.0554899999999998</v>
      </c>
      <c r="AI125" s="3">
        <v>4.0180243999999998</v>
      </c>
      <c r="AJ125" s="3">
        <v>3.9823594</v>
      </c>
      <c r="AK125" s="3">
        <v>3.9484674000000002</v>
      </c>
      <c r="AL125" s="3">
        <v>3.9163209000000001</v>
      </c>
      <c r="AM125" s="3">
        <v>3.8858931999999999</v>
      </c>
      <c r="AN125" s="3">
        <v>3.8571569999999999</v>
      </c>
      <c r="AO125" s="3">
        <v>3.8300844999999999</v>
      </c>
      <c r="AP125" s="3">
        <v>3.8046492000000001</v>
      </c>
      <c r="AQ125" s="3">
        <v>3.7808236000000002</v>
      </c>
      <c r="AR125" s="3">
        <v>3.7585801000000001</v>
      </c>
      <c r="AS125" s="3">
        <v>3.7378922000000001</v>
      </c>
      <c r="AT125" s="3">
        <v>3.7187271000000002</v>
      </c>
      <c r="AU125" s="3">
        <v>3.7010322000000002</v>
      </c>
      <c r="AV125" s="3">
        <v>3.6847501999999999</v>
      </c>
      <c r="AW125" s="3">
        <v>3.6698233</v>
      </c>
      <c r="AX125" s="3">
        <v>3.6561935999999999</v>
      </c>
      <c r="AY125" s="3">
        <v>3.6438039</v>
      </c>
      <c r="AZ125" s="3">
        <v>3.6325964000000002</v>
      </c>
      <c r="BA125" s="3">
        <v>3.6225133</v>
      </c>
      <c r="BB125" s="3">
        <v>3.6134971999999999</v>
      </c>
      <c r="BC125" s="3">
        <v>3.6054903999999999</v>
      </c>
      <c r="BD125" s="3">
        <v>3.5984351999999999</v>
      </c>
      <c r="BE125" s="3">
        <v>3.5922740000000002</v>
      </c>
      <c r="BF125" s="3">
        <v>3.5869531000000001</v>
      </c>
      <c r="BG125" s="3">
        <v>3.5824379</v>
      </c>
      <c r="BH125" s="3">
        <v>3.5787</v>
      </c>
      <c r="BI125" s="3">
        <v>3.5757105</v>
      </c>
      <c r="BJ125" s="3">
        <v>3.5734408000000002</v>
      </c>
      <c r="BK125" s="3">
        <v>3.5718624000000001</v>
      </c>
      <c r="BL125" s="3">
        <v>3.5709464999999998</v>
      </c>
      <c r="BM125" s="3">
        <v>3.5706644000000001</v>
      </c>
      <c r="BN125" s="3">
        <v>3.5709876</v>
      </c>
      <c r="BO125" s="3">
        <v>3.5718874</v>
      </c>
      <c r="BP125" s="3">
        <v>3.5733351</v>
      </c>
      <c r="BQ125" s="3">
        <v>3.5753020000000002</v>
      </c>
      <c r="BR125" s="3">
        <v>3.5966746000000001</v>
      </c>
      <c r="BS125" s="3">
        <v>3.6311632999999999</v>
      </c>
    </row>
    <row r="126" spans="1:71" x14ac:dyDescent="0.35">
      <c r="A126" s="6">
        <f t="shared" si="77"/>
        <v>45455</v>
      </c>
      <c r="B126">
        <f t="shared" si="72"/>
        <v>6</v>
      </c>
      <c r="C126">
        <f t="shared" si="73"/>
        <v>2024</v>
      </c>
      <c r="D126">
        <f t="shared" si="74"/>
        <v>202406</v>
      </c>
      <c r="E126">
        <f t="shared" si="75"/>
        <v>2</v>
      </c>
      <c r="F126">
        <f t="shared" si="76"/>
        <v>202402</v>
      </c>
      <c r="G126" t="s">
        <v>259</v>
      </c>
      <c r="H126" s="2">
        <v>5.25</v>
      </c>
      <c r="I126" s="2">
        <v>5.2</v>
      </c>
      <c r="J126" s="3">
        <v>5.1684716000000002</v>
      </c>
      <c r="K126" s="3">
        <v>5.1115349999999999</v>
      </c>
      <c r="L126" s="3">
        <v>5.0509285000000004</v>
      </c>
      <c r="M126" s="3">
        <v>4.9863635999999998</v>
      </c>
      <c r="N126" s="3">
        <v>4.9167901000000001</v>
      </c>
      <c r="O126" s="3">
        <v>4.8438631000000001</v>
      </c>
      <c r="P126" s="3">
        <v>4.7707455999999997</v>
      </c>
      <c r="Q126" s="3">
        <v>4.7002800000000002</v>
      </c>
      <c r="R126" s="3">
        <v>4.6345546999999998</v>
      </c>
      <c r="S126" s="3">
        <v>4.5742799999999999</v>
      </c>
      <c r="T126" s="3">
        <v>4.5189558999999999</v>
      </c>
      <c r="U126" s="3">
        <v>4.4675251999999999</v>
      </c>
      <c r="V126" s="3">
        <v>4.4178369000000002</v>
      </c>
      <c r="W126" s="3">
        <v>4.3691873000000001</v>
      </c>
      <c r="X126" s="3">
        <v>4.3213299000000003</v>
      </c>
      <c r="Y126" s="3">
        <v>4.2740163000000004</v>
      </c>
      <c r="Z126" s="3">
        <v>4.2269981000000003</v>
      </c>
      <c r="AA126" s="3">
        <v>4.1800286</v>
      </c>
      <c r="AB126" s="3">
        <v>4.1329582</v>
      </c>
      <c r="AC126" s="3">
        <v>4.0860516000000002</v>
      </c>
      <c r="AD126" s="3">
        <v>4.0396843999999996</v>
      </c>
      <c r="AE126" s="3">
        <v>3.9942302000000001</v>
      </c>
      <c r="AF126" s="3">
        <v>3.9500628999999998</v>
      </c>
      <c r="AG126" s="3">
        <v>3.9075578000000002</v>
      </c>
      <c r="AH126" s="3">
        <v>3.8670222000000001</v>
      </c>
      <c r="AI126" s="3">
        <v>3.8284973</v>
      </c>
      <c r="AJ126" s="3">
        <v>3.7919592</v>
      </c>
      <c r="AK126" s="3">
        <v>3.7573826000000001</v>
      </c>
      <c r="AL126" s="3">
        <v>3.7247423</v>
      </c>
      <c r="AM126" s="3">
        <v>3.6940143000000001</v>
      </c>
      <c r="AN126" s="3">
        <v>3.6651734</v>
      </c>
      <c r="AO126" s="3">
        <v>3.6381942999999999</v>
      </c>
      <c r="AP126" s="3">
        <v>3.6130529</v>
      </c>
      <c r="AQ126" s="3">
        <v>3.5897241000000002</v>
      </c>
      <c r="AR126" s="3">
        <v>3.5681828000000002</v>
      </c>
      <c r="AS126" s="3">
        <v>3.5484046</v>
      </c>
      <c r="AT126" s="3">
        <v>3.5303569000000001</v>
      </c>
      <c r="AU126" s="3">
        <v>3.5139703999999998</v>
      </c>
      <c r="AV126" s="3">
        <v>3.4991648999999998</v>
      </c>
      <c r="AW126" s="3">
        <v>3.4858598999999999</v>
      </c>
      <c r="AX126" s="3">
        <v>3.4739749</v>
      </c>
      <c r="AY126" s="3">
        <v>3.4634296999999998</v>
      </c>
      <c r="AZ126" s="3">
        <v>3.4541436999999999</v>
      </c>
      <c r="BA126" s="3">
        <v>3.4460364000000001</v>
      </c>
      <c r="BB126" s="3">
        <v>3.4390277</v>
      </c>
      <c r="BC126" s="3">
        <v>3.4330370000000001</v>
      </c>
      <c r="BD126" s="3">
        <v>3.4279837999999998</v>
      </c>
      <c r="BE126" s="3">
        <v>3.4237879000000002</v>
      </c>
      <c r="BF126" s="3">
        <v>3.4203758</v>
      </c>
      <c r="BG126" s="3">
        <v>3.4177051000000001</v>
      </c>
      <c r="BH126" s="3">
        <v>3.4157421000000001</v>
      </c>
      <c r="BI126" s="3">
        <v>3.414453</v>
      </c>
      <c r="BJ126" s="3">
        <v>3.4138039999999998</v>
      </c>
      <c r="BK126" s="3">
        <v>3.4137613999999998</v>
      </c>
      <c r="BL126" s="3">
        <v>3.4142914000000002</v>
      </c>
      <c r="BM126" s="3">
        <v>3.4153601</v>
      </c>
      <c r="BN126" s="3">
        <v>3.4169337999999998</v>
      </c>
      <c r="BO126" s="3">
        <v>3.4189788000000001</v>
      </c>
      <c r="BP126" s="3">
        <v>3.4214612</v>
      </c>
      <c r="BQ126" s="3">
        <v>3.4243472000000001</v>
      </c>
      <c r="BR126" s="3">
        <v>3.4489611999999998</v>
      </c>
      <c r="BS126" s="3">
        <v>3.4839155000000002</v>
      </c>
    </row>
    <row r="127" spans="1:71" x14ac:dyDescent="0.35">
      <c r="A127" s="6">
        <f t="shared" si="77"/>
        <v>45456</v>
      </c>
      <c r="B127">
        <f t="shared" si="72"/>
        <v>6</v>
      </c>
      <c r="C127">
        <f t="shared" si="73"/>
        <v>2024</v>
      </c>
      <c r="D127">
        <f t="shared" si="74"/>
        <v>202406</v>
      </c>
      <c r="E127">
        <f t="shared" si="75"/>
        <v>2</v>
      </c>
      <c r="F127">
        <f t="shared" si="76"/>
        <v>202402</v>
      </c>
      <c r="G127" t="s">
        <v>260</v>
      </c>
      <c r="H127" s="2">
        <v>5.25</v>
      </c>
      <c r="I127" s="2">
        <v>5.2</v>
      </c>
      <c r="J127" s="3">
        <v>5.1648788999999997</v>
      </c>
      <c r="K127" s="3">
        <v>5.1040184000000002</v>
      </c>
      <c r="L127" s="3">
        <v>5.0415160999999999</v>
      </c>
      <c r="M127" s="3">
        <v>4.9755322</v>
      </c>
      <c r="N127" s="3">
        <v>4.9045353</v>
      </c>
      <c r="O127" s="3">
        <v>4.8300710999999996</v>
      </c>
      <c r="P127" s="3">
        <v>4.7554347000000003</v>
      </c>
      <c r="Q127" s="3">
        <v>4.6837100999999999</v>
      </c>
      <c r="R127" s="3">
        <v>4.6169564000000003</v>
      </c>
      <c r="S127" s="3">
        <v>4.5557277999999997</v>
      </c>
      <c r="T127" s="3">
        <v>4.4994573999999998</v>
      </c>
      <c r="U127" s="3">
        <v>4.4468272999999998</v>
      </c>
      <c r="V127" s="3">
        <v>4.3953346</v>
      </c>
      <c r="W127" s="3">
        <v>4.3443104000000003</v>
      </c>
      <c r="X127" s="3">
        <v>4.2936478999999999</v>
      </c>
      <c r="Y127" s="3">
        <v>4.2432382999999998</v>
      </c>
      <c r="Z127" s="3">
        <v>4.1929729</v>
      </c>
      <c r="AA127" s="3">
        <v>4.1427446000000003</v>
      </c>
      <c r="AB127" s="3">
        <v>4.0925218000000001</v>
      </c>
      <c r="AC127" s="3">
        <v>4.0426669999999998</v>
      </c>
      <c r="AD127" s="3">
        <v>3.9936704000000001</v>
      </c>
      <c r="AE127" s="3">
        <v>3.9460204999999999</v>
      </c>
      <c r="AF127" s="3">
        <v>3.9002059999999998</v>
      </c>
      <c r="AG127" s="3">
        <v>3.8567168999999999</v>
      </c>
      <c r="AH127" s="3">
        <v>3.8159613000000001</v>
      </c>
      <c r="AI127" s="3">
        <v>3.7779539</v>
      </c>
      <c r="AJ127" s="3">
        <v>3.7425913999999998</v>
      </c>
      <c r="AK127" s="3">
        <v>3.7097690000000001</v>
      </c>
      <c r="AL127" s="3">
        <v>3.6793819000000001</v>
      </c>
      <c r="AM127" s="3">
        <v>3.6513266</v>
      </c>
      <c r="AN127" s="3">
        <v>3.6254982</v>
      </c>
      <c r="AO127" s="3">
        <v>3.6017923000000001</v>
      </c>
      <c r="AP127" s="3">
        <v>3.5801048999999998</v>
      </c>
      <c r="AQ127" s="3">
        <v>3.5603315000000002</v>
      </c>
      <c r="AR127" s="3">
        <v>3.5423675000000001</v>
      </c>
      <c r="AS127" s="3">
        <v>3.5261089999999999</v>
      </c>
      <c r="AT127" s="3">
        <v>3.5114543999999999</v>
      </c>
      <c r="AU127" s="3">
        <v>3.4983157</v>
      </c>
      <c r="AV127" s="3">
        <v>3.4866088999999998</v>
      </c>
      <c r="AW127" s="3">
        <v>3.4762496000000001</v>
      </c>
      <c r="AX127" s="3">
        <v>3.4671535000000002</v>
      </c>
      <c r="AY127" s="3">
        <v>3.4592364</v>
      </c>
      <c r="AZ127" s="3">
        <v>3.4524140999999999</v>
      </c>
      <c r="BA127" s="3">
        <v>3.4466022000000001</v>
      </c>
      <c r="BB127" s="3">
        <v>3.4417167000000002</v>
      </c>
      <c r="BC127" s="3">
        <v>3.4376731</v>
      </c>
      <c r="BD127" s="3">
        <v>3.4343872000000002</v>
      </c>
      <c r="BE127" s="3">
        <v>3.4317749000000002</v>
      </c>
      <c r="BF127" s="3">
        <v>3.4297616</v>
      </c>
      <c r="BG127" s="3">
        <v>3.4283166</v>
      </c>
      <c r="BH127" s="3">
        <v>3.4274209999999998</v>
      </c>
      <c r="BI127" s="3">
        <v>3.4270559</v>
      </c>
      <c r="BJ127" s="3">
        <v>3.4272024000000001</v>
      </c>
      <c r="BK127" s="3">
        <v>3.4278417999999999</v>
      </c>
      <c r="BL127" s="3">
        <v>3.4289551999999999</v>
      </c>
      <c r="BM127" s="3">
        <v>3.4305237000000002</v>
      </c>
      <c r="BN127" s="3">
        <v>3.4325283999999998</v>
      </c>
      <c r="BO127" s="3">
        <v>3.4349504999999998</v>
      </c>
      <c r="BP127" s="3">
        <v>3.4377711999999998</v>
      </c>
      <c r="BQ127" s="3">
        <v>3.4409716000000001</v>
      </c>
      <c r="BR127" s="3">
        <v>3.4673280000000002</v>
      </c>
      <c r="BS127" s="3">
        <v>3.5040342</v>
      </c>
    </row>
    <row r="128" spans="1:71" x14ac:dyDescent="0.35">
      <c r="A128" s="6">
        <f t="shared" si="77"/>
        <v>45457</v>
      </c>
      <c r="B128">
        <f t="shared" si="72"/>
        <v>6</v>
      </c>
      <c r="C128">
        <f t="shared" si="73"/>
        <v>2024</v>
      </c>
      <c r="D128">
        <f t="shared" si="74"/>
        <v>202406</v>
      </c>
      <c r="E128">
        <f t="shared" si="75"/>
        <v>2</v>
      </c>
      <c r="F128">
        <f t="shared" si="76"/>
        <v>202402</v>
      </c>
      <c r="G128" t="s">
        <v>261</v>
      </c>
      <c r="H128" s="2">
        <v>5.25</v>
      </c>
      <c r="I128" s="2">
        <v>5.2</v>
      </c>
      <c r="J128" s="3">
        <v>5.1745975</v>
      </c>
      <c r="K128" s="3">
        <v>5.1105308999999997</v>
      </c>
      <c r="L128" s="3">
        <v>5.0447573999999999</v>
      </c>
      <c r="M128" s="3">
        <v>4.9756359999999997</v>
      </c>
      <c r="N128" s="3">
        <v>4.9018158999999999</v>
      </c>
      <c r="O128" s="3">
        <v>4.8242120999999996</v>
      </c>
      <c r="P128" s="3">
        <v>4.7453956000000002</v>
      </c>
      <c r="Q128" s="3">
        <v>4.6676450000000003</v>
      </c>
      <c r="R128" s="3">
        <v>4.5923952000000003</v>
      </c>
      <c r="S128" s="3">
        <v>4.5202315000000004</v>
      </c>
      <c r="T128" s="3">
        <v>4.4511915999999996</v>
      </c>
      <c r="U128" s="3">
        <v>4.3848919000000004</v>
      </c>
      <c r="V128" s="3">
        <v>4.3207466999999999</v>
      </c>
      <c r="W128" s="3">
        <v>4.2585856</v>
      </c>
      <c r="X128" s="3">
        <v>4.1983835999999997</v>
      </c>
      <c r="Y128" s="3">
        <v>4.1401133999999997</v>
      </c>
      <c r="Z128" s="3">
        <v>4.0837481000000002</v>
      </c>
      <c r="AA128" s="3">
        <v>4.0292623000000001</v>
      </c>
      <c r="AB128" s="3">
        <v>3.9766631000000001</v>
      </c>
      <c r="AC128" s="3">
        <v>3.9261153000000002</v>
      </c>
      <c r="AD128" s="3">
        <v>3.8778313999999998</v>
      </c>
      <c r="AE128" s="3">
        <v>3.8320221000000001</v>
      </c>
      <c r="AF128" s="3">
        <v>3.7888980000000001</v>
      </c>
      <c r="AG128" s="3">
        <v>3.7486717000000001</v>
      </c>
      <c r="AH128" s="3">
        <v>3.711497</v>
      </c>
      <c r="AI128" s="3">
        <v>3.6772779999999998</v>
      </c>
      <c r="AJ128" s="3">
        <v>3.6458507999999998</v>
      </c>
      <c r="AK128" s="3">
        <v>3.6170504000000001</v>
      </c>
      <c r="AL128" s="3">
        <v>3.5907119000000001</v>
      </c>
      <c r="AM128" s="3">
        <v>3.5666711000000002</v>
      </c>
      <c r="AN128" s="3">
        <v>3.5447630999999999</v>
      </c>
      <c r="AO128" s="3">
        <v>3.5248230999999999</v>
      </c>
      <c r="AP128" s="3">
        <v>3.5066868000000002</v>
      </c>
      <c r="AQ128" s="3">
        <v>3.4901894000000002</v>
      </c>
      <c r="AR128" s="3">
        <v>3.4751660000000002</v>
      </c>
      <c r="AS128" s="3">
        <v>3.4614522999999999</v>
      </c>
      <c r="AT128" s="3">
        <v>3.4489013000000002</v>
      </c>
      <c r="AU128" s="3">
        <v>3.4374368</v>
      </c>
      <c r="AV128" s="3">
        <v>3.4270011999999999</v>
      </c>
      <c r="AW128" s="3">
        <v>3.4175358999999998</v>
      </c>
      <c r="AX128" s="3">
        <v>3.4089828</v>
      </c>
      <c r="AY128" s="3">
        <v>3.401284</v>
      </c>
      <c r="AZ128" s="3">
        <v>3.3943812000000002</v>
      </c>
      <c r="BA128" s="3">
        <v>3.3882159999999999</v>
      </c>
      <c r="BB128" s="3">
        <v>3.3827307000000002</v>
      </c>
      <c r="BC128" s="3">
        <v>3.3778668000000001</v>
      </c>
      <c r="BD128" s="3">
        <v>3.3735662999999998</v>
      </c>
      <c r="BE128" s="3">
        <v>3.3697710000000001</v>
      </c>
      <c r="BF128" s="3">
        <v>3.366431</v>
      </c>
      <c r="BG128" s="3">
        <v>3.3635326999999999</v>
      </c>
      <c r="BH128" s="3">
        <v>3.3610728000000001</v>
      </c>
      <c r="BI128" s="3">
        <v>3.3590475999999998</v>
      </c>
      <c r="BJ128" s="3">
        <v>3.3574535999999999</v>
      </c>
      <c r="BK128" s="3">
        <v>3.3562875000000001</v>
      </c>
      <c r="BL128" s="3">
        <v>3.3555457</v>
      </c>
      <c r="BM128" s="3">
        <v>3.3552246999999999</v>
      </c>
      <c r="BN128" s="3">
        <v>3.3553209000000002</v>
      </c>
      <c r="BO128" s="3">
        <v>3.3558309999999998</v>
      </c>
      <c r="BP128" s="3">
        <v>3.3567515000000001</v>
      </c>
      <c r="BQ128" s="3">
        <v>3.3580787000000001</v>
      </c>
      <c r="BR128" s="3">
        <v>3.374142</v>
      </c>
      <c r="BS128" s="3">
        <v>3.4024665999999999</v>
      </c>
    </row>
    <row r="129" spans="1:71" x14ac:dyDescent="0.35">
      <c r="A129" s="6">
        <f t="shared" si="77"/>
        <v>45460</v>
      </c>
      <c r="B129">
        <f t="shared" si="72"/>
        <v>6</v>
      </c>
      <c r="C129">
        <f t="shared" si="73"/>
        <v>2024</v>
      </c>
      <c r="D129">
        <f t="shared" si="74"/>
        <v>202406</v>
      </c>
      <c r="E129">
        <f t="shared" si="75"/>
        <v>2</v>
      </c>
      <c r="F129">
        <f t="shared" si="76"/>
        <v>202402</v>
      </c>
      <c r="G129" t="s">
        <v>262</v>
      </c>
      <c r="H129" s="2">
        <v>5.25</v>
      </c>
      <c r="I129" s="2">
        <v>5.2</v>
      </c>
      <c r="J129" s="3">
        <v>5.1661722000000001</v>
      </c>
      <c r="K129" s="3">
        <v>5.1066231000000002</v>
      </c>
      <c r="L129" s="3">
        <v>5.0467928000000004</v>
      </c>
      <c r="M129" s="3">
        <v>4.9821011999999998</v>
      </c>
      <c r="N129" s="3">
        <v>4.9109506999999999</v>
      </c>
      <c r="O129" s="3">
        <v>4.8349535000000001</v>
      </c>
      <c r="P129" s="3">
        <v>4.7575845000000001</v>
      </c>
      <c r="Q129" s="3">
        <v>4.6823059999999996</v>
      </c>
      <c r="R129" s="3">
        <v>4.6114649999999999</v>
      </c>
      <c r="S129" s="3">
        <v>4.5458712999999999</v>
      </c>
      <c r="T129" s="3">
        <v>4.4853035999999999</v>
      </c>
      <c r="U129" s="3">
        <v>4.4286241000000004</v>
      </c>
      <c r="V129" s="3">
        <v>4.3737287</v>
      </c>
      <c r="W129" s="3">
        <v>4.3200305999999999</v>
      </c>
      <c r="X129" s="3">
        <v>4.2674193999999996</v>
      </c>
      <c r="Y129" s="3">
        <v>4.2157827000000001</v>
      </c>
      <c r="Z129" s="3">
        <v>4.1650080000000003</v>
      </c>
      <c r="AA129" s="3">
        <v>4.1149849999999999</v>
      </c>
      <c r="AB129" s="3">
        <v>4.0656670999999998</v>
      </c>
      <c r="AC129" s="3">
        <v>4.0172848999999999</v>
      </c>
      <c r="AD129" s="3">
        <v>3.9701433000000002</v>
      </c>
      <c r="AE129" s="3">
        <v>3.9245456999999999</v>
      </c>
      <c r="AF129" s="3">
        <v>3.8807952999999999</v>
      </c>
      <c r="AG129" s="3">
        <v>3.839197</v>
      </c>
      <c r="AH129" s="3">
        <v>3.7999890999999999</v>
      </c>
      <c r="AI129" s="3">
        <v>3.7631492999999998</v>
      </c>
      <c r="AJ129" s="3">
        <v>3.7285916000000001</v>
      </c>
      <c r="AK129" s="3">
        <v>3.6962286999999998</v>
      </c>
      <c r="AL129" s="3">
        <v>3.6659731</v>
      </c>
      <c r="AM129" s="3">
        <v>3.6377389</v>
      </c>
      <c r="AN129" s="3">
        <v>3.6114386999999999</v>
      </c>
      <c r="AO129" s="3">
        <v>3.5869852999999998</v>
      </c>
      <c r="AP129" s="3">
        <v>3.5642923</v>
      </c>
      <c r="AQ129" s="3">
        <v>3.5432727000000002</v>
      </c>
      <c r="AR129" s="3">
        <v>3.5238391999999998</v>
      </c>
      <c r="AS129" s="3">
        <v>3.5059052999999998</v>
      </c>
      <c r="AT129" s="3">
        <v>3.4893888999999998</v>
      </c>
      <c r="AU129" s="3">
        <v>3.474227</v>
      </c>
      <c r="AV129" s="3">
        <v>3.4603622000000001</v>
      </c>
      <c r="AW129" s="3">
        <v>3.4477364000000001</v>
      </c>
      <c r="AX129" s="3">
        <v>3.4362917999999998</v>
      </c>
      <c r="AY129" s="3">
        <v>3.4259705999999999</v>
      </c>
      <c r="AZ129" s="3">
        <v>3.4167149999999999</v>
      </c>
      <c r="BA129" s="3">
        <v>3.4084669999999999</v>
      </c>
      <c r="BB129" s="3">
        <v>3.4011689999999999</v>
      </c>
      <c r="BC129" s="3">
        <v>3.3947631</v>
      </c>
      <c r="BD129" s="3">
        <v>3.3891912999999998</v>
      </c>
      <c r="BE129" s="3">
        <v>3.3843958999999999</v>
      </c>
      <c r="BF129" s="3">
        <v>3.3803236999999999</v>
      </c>
      <c r="BG129" s="3">
        <v>3.3769464</v>
      </c>
      <c r="BH129" s="3">
        <v>3.3742440999999999</v>
      </c>
      <c r="BI129" s="3">
        <v>3.3721969000000001</v>
      </c>
      <c r="BJ129" s="3">
        <v>3.3707848</v>
      </c>
      <c r="BK129" s="3">
        <v>3.3699880000000002</v>
      </c>
      <c r="BL129" s="3">
        <v>3.3697864000000002</v>
      </c>
      <c r="BM129" s="3">
        <v>3.3701603000000002</v>
      </c>
      <c r="BN129" s="3">
        <v>3.3710897000000002</v>
      </c>
      <c r="BO129" s="3">
        <v>3.3725546</v>
      </c>
      <c r="BP129" s="3">
        <v>3.3745352</v>
      </c>
      <c r="BQ129" s="3">
        <v>3.3770115000000001</v>
      </c>
      <c r="BR129" s="3">
        <v>3.4012093999999999</v>
      </c>
      <c r="BS129" s="3">
        <v>3.4385089999999998</v>
      </c>
    </row>
    <row r="130" spans="1:71" x14ac:dyDescent="0.35">
      <c r="A130" s="6">
        <f t="shared" si="77"/>
        <v>45461</v>
      </c>
      <c r="B130">
        <f t="shared" si="72"/>
        <v>6</v>
      </c>
      <c r="C130">
        <f t="shared" si="73"/>
        <v>2024</v>
      </c>
      <c r="D130">
        <f t="shared" si="74"/>
        <v>202406</v>
      </c>
      <c r="E130">
        <f t="shared" si="75"/>
        <v>2</v>
      </c>
      <c r="F130">
        <f t="shared" si="76"/>
        <v>202402</v>
      </c>
      <c r="G130" t="s">
        <v>263</v>
      </c>
      <c r="H130" s="2">
        <v>5.25</v>
      </c>
      <c r="I130" s="2">
        <v>5.2</v>
      </c>
      <c r="J130" s="3">
        <v>5.1581225999999996</v>
      </c>
      <c r="K130" s="3">
        <v>5.0960149000000001</v>
      </c>
      <c r="L130" s="3">
        <v>5.0315345000000002</v>
      </c>
      <c r="M130" s="3">
        <v>4.9611574000000003</v>
      </c>
      <c r="N130" s="3">
        <v>4.8839848000000003</v>
      </c>
      <c r="O130" s="3">
        <v>4.8017835</v>
      </c>
      <c r="P130" s="3">
        <v>4.7181398999999997</v>
      </c>
      <c r="Q130" s="3">
        <v>4.6366544000000003</v>
      </c>
      <c r="R130" s="3">
        <v>4.5599354999999999</v>
      </c>
      <c r="S130" s="3">
        <v>4.4890600000000003</v>
      </c>
      <c r="T130" s="3">
        <v>4.4238445999999998</v>
      </c>
      <c r="U130" s="3">
        <v>4.3633218999999999</v>
      </c>
      <c r="V130" s="3">
        <v>4.3052530000000004</v>
      </c>
      <c r="W130" s="3">
        <v>4.2489384000000001</v>
      </c>
      <c r="X130" s="3">
        <v>4.1941775000000003</v>
      </c>
      <c r="Y130" s="3">
        <v>4.1407674999999999</v>
      </c>
      <c r="Z130" s="3">
        <v>4.0885058000000001</v>
      </c>
      <c r="AA130" s="3">
        <v>4.0371914999999996</v>
      </c>
      <c r="AB130" s="3">
        <v>3.9867028000000002</v>
      </c>
      <c r="AC130" s="3">
        <v>3.9372577</v>
      </c>
      <c r="AD130" s="3">
        <v>3.8891648999999999</v>
      </c>
      <c r="AE130" s="3">
        <v>3.8427313999999999</v>
      </c>
      <c r="AF130" s="3">
        <v>3.7982645000000002</v>
      </c>
      <c r="AG130" s="3">
        <v>3.7560728000000001</v>
      </c>
      <c r="AH130" s="3">
        <v>3.7163968999999999</v>
      </c>
      <c r="AI130" s="3">
        <v>3.679211</v>
      </c>
      <c r="AJ130" s="3">
        <v>3.6444242</v>
      </c>
      <c r="AK130" s="3">
        <v>3.6119441999999999</v>
      </c>
      <c r="AL130" s="3">
        <v>3.5816788000000002</v>
      </c>
      <c r="AM130" s="3">
        <v>3.5535369000000001</v>
      </c>
      <c r="AN130" s="3">
        <v>3.5274261999999998</v>
      </c>
      <c r="AO130" s="3">
        <v>3.5032546999999998</v>
      </c>
      <c r="AP130" s="3">
        <v>3.4809309000000002</v>
      </c>
      <c r="AQ130" s="3">
        <v>3.4603628999999998</v>
      </c>
      <c r="AR130" s="3">
        <v>3.4414585</v>
      </c>
      <c r="AS130" s="3">
        <v>3.4241263000000002</v>
      </c>
      <c r="AT130" s="3">
        <v>3.4082792</v>
      </c>
      <c r="AU130" s="3">
        <v>3.3938499000000002</v>
      </c>
      <c r="AV130" s="3">
        <v>3.3807767000000002</v>
      </c>
      <c r="AW130" s="3">
        <v>3.3689971000000001</v>
      </c>
      <c r="AX130" s="3">
        <v>3.3584491000000001</v>
      </c>
      <c r="AY130" s="3">
        <v>3.3490706000000001</v>
      </c>
      <c r="AZ130" s="3">
        <v>3.3407993999999999</v>
      </c>
      <c r="BA130" s="3">
        <v>3.3335732999999999</v>
      </c>
      <c r="BB130" s="3">
        <v>3.3273302999999999</v>
      </c>
      <c r="BC130" s="3">
        <v>3.3220082</v>
      </c>
      <c r="BD130" s="3">
        <v>3.3175447999999998</v>
      </c>
      <c r="BE130" s="3">
        <v>3.3138781000000002</v>
      </c>
      <c r="BF130" s="3">
        <v>3.3109508000000001</v>
      </c>
      <c r="BG130" s="3">
        <v>3.3087301</v>
      </c>
      <c r="BH130" s="3">
        <v>3.3071907999999999</v>
      </c>
      <c r="BI130" s="3">
        <v>3.3063072999999998</v>
      </c>
      <c r="BJ130" s="3">
        <v>3.3060543</v>
      </c>
      <c r="BK130" s="3">
        <v>3.3064065</v>
      </c>
      <c r="BL130" s="3">
        <v>3.3073383000000001</v>
      </c>
      <c r="BM130" s="3">
        <v>3.3088245999999999</v>
      </c>
      <c r="BN130" s="3">
        <v>3.3108398000000001</v>
      </c>
      <c r="BO130" s="3">
        <v>3.3133585000000001</v>
      </c>
      <c r="BP130" s="3">
        <v>3.3163554999999998</v>
      </c>
      <c r="BQ130" s="3">
        <v>3.3198053000000001</v>
      </c>
      <c r="BR130" s="3">
        <v>3.3488074999999999</v>
      </c>
      <c r="BS130" s="3">
        <v>3.3890262</v>
      </c>
    </row>
    <row r="131" spans="1:71" x14ac:dyDescent="0.35">
      <c r="A131" s="6">
        <f t="shared" si="77"/>
        <v>45462</v>
      </c>
      <c r="B131">
        <f t="shared" si="72"/>
        <v>6</v>
      </c>
      <c r="C131">
        <f t="shared" si="73"/>
        <v>2024</v>
      </c>
      <c r="D131">
        <f t="shared" si="74"/>
        <v>202406</v>
      </c>
      <c r="E131">
        <f t="shared" si="75"/>
        <v>2</v>
      </c>
      <c r="F131">
        <f t="shared" si="76"/>
        <v>202402</v>
      </c>
      <c r="G131" t="s">
        <v>264</v>
      </c>
      <c r="H131" s="2">
        <v>5.25</v>
      </c>
      <c r="I131" s="2">
        <v>5.2</v>
      </c>
      <c r="J131" s="3">
        <v>5.1812513999999998</v>
      </c>
      <c r="K131" s="3">
        <v>5.1275348000000003</v>
      </c>
      <c r="L131" s="3">
        <v>5.0642493000000002</v>
      </c>
      <c r="M131" s="3">
        <v>4.9906005000000002</v>
      </c>
      <c r="N131" s="3">
        <v>4.9103782999999996</v>
      </c>
      <c r="O131" s="3">
        <v>4.8271755000000001</v>
      </c>
      <c r="P131" s="3">
        <v>4.7443191000000002</v>
      </c>
      <c r="Q131" s="3">
        <v>4.6644202000000003</v>
      </c>
      <c r="R131" s="3">
        <v>4.5890737000000001</v>
      </c>
      <c r="S131" s="3">
        <v>4.5188790000000001</v>
      </c>
      <c r="T131" s="3">
        <v>4.4535337999999998</v>
      </c>
      <c r="U131" s="3">
        <v>4.3923354000000003</v>
      </c>
      <c r="V131" s="3">
        <v>4.3335027999999998</v>
      </c>
      <c r="W131" s="3">
        <v>4.2764635000000002</v>
      </c>
      <c r="X131" s="3">
        <v>4.2210400999999997</v>
      </c>
      <c r="Y131" s="3">
        <v>4.1670531000000004</v>
      </c>
      <c r="Z131" s="3">
        <v>4.1143229000000003</v>
      </c>
      <c r="AA131" s="3">
        <v>4.0626721000000003</v>
      </c>
      <c r="AB131" s="3">
        <v>4.0119870000000004</v>
      </c>
      <c r="AC131" s="3">
        <v>3.9624313</v>
      </c>
      <c r="AD131" s="3">
        <v>3.9142431000000002</v>
      </c>
      <c r="AE131" s="3">
        <v>3.8676586999999998</v>
      </c>
      <c r="AF131" s="3">
        <v>3.8229145999999998</v>
      </c>
      <c r="AG131" s="3">
        <v>3.7802487</v>
      </c>
      <c r="AH131" s="3">
        <v>3.7398494000000002</v>
      </c>
      <c r="AI131" s="3">
        <v>3.7017133000000002</v>
      </c>
      <c r="AJ131" s="3">
        <v>3.6657902</v>
      </c>
      <c r="AK131" s="3">
        <v>3.6320285999999999</v>
      </c>
      <c r="AL131" s="3">
        <v>3.6003772000000001</v>
      </c>
      <c r="AM131" s="3">
        <v>3.5707857000000001</v>
      </c>
      <c r="AN131" s="3">
        <v>3.5432025999999999</v>
      </c>
      <c r="AO131" s="3">
        <v>3.5175765999999999</v>
      </c>
      <c r="AP131" s="3">
        <v>3.4938573000000002</v>
      </c>
      <c r="AQ131" s="3">
        <v>3.4719934000000001</v>
      </c>
      <c r="AR131" s="3">
        <v>3.4519335999999998</v>
      </c>
      <c r="AS131" s="3">
        <v>3.4336272999999999</v>
      </c>
      <c r="AT131" s="3">
        <v>3.4170197</v>
      </c>
      <c r="AU131" s="3">
        <v>3.4020394</v>
      </c>
      <c r="AV131" s="3">
        <v>3.3886097999999998</v>
      </c>
      <c r="AW131" s="3">
        <v>3.3766544000000001</v>
      </c>
      <c r="AX131" s="3">
        <v>3.3660961</v>
      </c>
      <c r="AY131" s="3">
        <v>3.3568587999999999</v>
      </c>
      <c r="AZ131" s="3">
        <v>3.3488655999999999</v>
      </c>
      <c r="BA131" s="3">
        <v>3.3420399000000001</v>
      </c>
      <c r="BB131" s="3">
        <v>3.3363049999999999</v>
      </c>
      <c r="BC131" s="3">
        <v>3.3315844000000001</v>
      </c>
      <c r="BD131" s="3">
        <v>3.3278013</v>
      </c>
      <c r="BE131" s="3">
        <v>3.3248791999999998</v>
      </c>
      <c r="BF131" s="3">
        <v>3.3227476</v>
      </c>
      <c r="BG131" s="3">
        <v>3.3213634000000001</v>
      </c>
      <c r="BH131" s="3">
        <v>3.3206912000000002</v>
      </c>
      <c r="BI131" s="3">
        <v>3.3206956000000001</v>
      </c>
      <c r="BJ131" s="3">
        <v>3.3213409</v>
      </c>
      <c r="BK131" s="3">
        <v>3.3225916</v>
      </c>
      <c r="BL131" s="3">
        <v>3.3244123999999999</v>
      </c>
      <c r="BM131" s="3">
        <v>3.3267677999999998</v>
      </c>
      <c r="BN131" s="3">
        <v>3.3296220999999999</v>
      </c>
      <c r="BO131" s="3">
        <v>3.3329399</v>
      </c>
      <c r="BP131" s="3">
        <v>3.3366859</v>
      </c>
      <c r="BQ131" s="3">
        <v>3.3408243</v>
      </c>
      <c r="BR131" s="3">
        <v>3.3726232999999999</v>
      </c>
      <c r="BS131" s="3">
        <v>3.4139320999999998</v>
      </c>
    </row>
    <row r="132" spans="1:71" x14ac:dyDescent="0.35">
      <c r="A132" s="6">
        <f t="shared" si="77"/>
        <v>45463</v>
      </c>
      <c r="B132">
        <f t="shared" si="72"/>
        <v>6</v>
      </c>
      <c r="C132">
        <f t="shared" si="73"/>
        <v>2024</v>
      </c>
      <c r="D132">
        <f t="shared" si="74"/>
        <v>202406</v>
      </c>
      <c r="E132">
        <f t="shared" si="75"/>
        <v>2</v>
      </c>
      <c r="F132">
        <f t="shared" si="76"/>
        <v>202402</v>
      </c>
      <c r="G132" t="s">
        <v>265</v>
      </c>
      <c r="H132" s="2">
        <v>5.25</v>
      </c>
      <c r="I132" s="2">
        <v>5.2</v>
      </c>
      <c r="J132" s="3">
        <v>5.1624705000000004</v>
      </c>
      <c r="K132" s="3">
        <v>5.0767312999999996</v>
      </c>
      <c r="L132" s="3">
        <v>4.9999909000000002</v>
      </c>
      <c r="M132" s="3">
        <v>4.9235989</v>
      </c>
      <c r="N132" s="3">
        <v>4.8431430999999998</v>
      </c>
      <c r="O132" s="3">
        <v>4.7598172999999999</v>
      </c>
      <c r="P132" s="3">
        <v>4.6770832999999996</v>
      </c>
      <c r="Q132" s="3">
        <v>4.5981500999999998</v>
      </c>
      <c r="R132" s="3">
        <v>4.5249451000000001</v>
      </c>
      <c r="S132" s="3">
        <v>4.4578987999999997</v>
      </c>
      <c r="T132" s="3">
        <v>4.3962801000000002</v>
      </c>
      <c r="U132" s="3">
        <v>4.3387365999999998</v>
      </c>
      <c r="V132" s="3">
        <v>4.2827009</v>
      </c>
      <c r="W132" s="3">
        <v>4.2274855000000002</v>
      </c>
      <c r="X132" s="3">
        <v>4.1729824000000004</v>
      </c>
      <c r="Y132" s="3">
        <v>4.1190815000000001</v>
      </c>
      <c r="Z132" s="3">
        <v>4.0656727000000004</v>
      </c>
      <c r="AA132" s="3">
        <v>4.0126479000000002</v>
      </c>
      <c r="AB132" s="3">
        <v>3.9599728999999999</v>
      </c>
      <c r="AC132" s="3">
        <v>3.9080023000000002</v>
      </c>
      <c r="AD132" s="3">
        <v>3.8572171000000002</v>
      </c>
      <c r="AE132" s="3">
        <v>3.8080962</v>
      </c>
      <c r="AF132" s="3">
        <v>3.7611186000000001</v>
      </c>
      <c r="AG132" s="3">
        <v>3.7167650000000001</v>
      </c>
      <c r="AH132" s="3">
        <v>3.6754324</v>
      </c>
      <c r="AI132" s="3">
        <v>3.6371175</v>
      </c>
      <c r="AJ132" s="3">
        <v>3.6016965999999999</v>
      </c>
      <c r="AK132" s="3">
        <v>3.5690445</v>
      </c>
      <c r="AL132" s="3">
        <v>3.5390362999999998</v>
      </c>
      <c r="AM132" s="3">
        <v>3.5115481000000002</v>
      </c>
      <c r="AN132" s="3">
        <v>3.4864548000000002</v>
      </c>
      <c r="AO132" s="3">
        <v>3.4636315</v>
      </c>
      <c r="AP132" s="3">
        <v>3.4429542</v>
      </c>
      <c r="AQ132" s="3">
        <v>3.4242978000000002</v>
      </c>
      <c r="AR132" s="3">
        <v>3.4075376999999998</v>
      </c>
      <c r="AS132" s="3">
        <v>3.3925494</v>
      </c>
      <c r="AT132" s="3">
        <v>3.3792135999999999</v>
      </c>
      <c r="AU132" s="3">
        <v>3.3674347999999998</v>
      </c>
      <c r="AV132" s="3">
        <v>3.3571244999999998</v>
      </c>
      <c r="AW132" s="3">
        <v>3.3481936999999999</v>
      </c>
      <c r="AX132" s="3">
        <v>3.3405537000000001</v>
      </c>
      <c r="AY132" s="3">
        <v>3.3341156999999999</v>
      </c>
      <c r="AZ132" s="3">
        <v>3.3287909</v>
      </c>
      <c r="BA132" s="3">
        <v>3.3244905</v>
      </c>
      <c r="BB132" s="3">
        <v>3.3211257999999999</v>
      </c>
      <c r="BC132" s="3">
        <v>3.3186079999999998</v>
      </c>
      <c r="BD132" s="3">
        <v>3.3168483000000002</v>
      </c>
      <c r="BE132" s="3">
        <v>3.3157578999999999</v>
      </c>
      <c r="BF132" s="3">
        <v>3.3152585999999999</v>
      </c>
      <c r="BG132" s="3">
        <v>3.3153185999999999</v>
      </c>
      <c r="BH132" s="3">
        <v>3.3159190000000001</v>
      </c>
      <c r="BI132" s="3">
        <v>3.3170408999999998</v>
      </c>
      <c r="BJ132" s="3">
        <v>3.3186653000000002</v>
      </c>
      <c r="BK132" s="3">
        <v>3.3207734000000002</v>
      </c>
      <c r="BL132" s="3">
        <v>3.3233461000000002</v>
      </c>
      <c r="BM132" s="3">
        <v>3.3263645999999998</v>
      </c>
      <c r="BN132" s="3">
        <v>3.3298100000000002</v>
      </c>
      <c r="BO132" s="3">
        <v>3.3336633</v>
      </c>
      <c r="BP132" s="3">
        <v>3.3379056</v>
      </c>
      <c r="BQ132" s="3">
        <v>3.3425180000000001</v>
      </c>
      <c r="BR132" s="3">
        <v>3.3770908999999998</v>
      </c>
      <c r="BS132" s="3">
        <v>3.4213502</v>
      </c>
    </row>
    <row r="133" spans="1:71" x14ac:dyDescent="0.35">
      <c r="A133" s="6">
        <f t="shared" si="77"/>
        <v>45464</v>
      </c>
      <c r="B133">
        <f t="shared" si="72"/>
        <v>6</v>
      </c>
      <c r="C133">
        <f t="shared" si="73"/>
        <v>2024</v>
      </c>
      <c r="D133">
        <f t="shared" si="74"/>
        <v>202406</v>
      </c>
      <c r="E133">
        <f t="shared" si="75"/>
        <v>2</v>
      </c>
      <c r="F133">
        <f t="shared" si="76"/>
        <v>202402</v>
      </c>
      <c r="G133" t="s">
        <v>266</v>
      </c>
      <c r="H133" s="2">
        <v>5.25</v>
      </c>
      <c r="I133" s="2">
        <v>5.2</v>
      </c>
      <c r="J133" s="3">
        <v>5.1597400999999996</v>
      </c>
      <c r="K133" s="3">
        <v>5.0739947000000001</v>
      </c>
      <c r="L133" s="3">
        <v>5.0003225000000002</v>
      </c>
      <c r="M133" s="3">
        <v>4.9280438000000002</v>
      </c>
      <c r="N133" s="3">
        <v>4.8510372000000004</v>
      </c>
      <c r="O133" s="3">
        <v>4.7698023999999997</v>
      </c>
      <c r="P133" s="3">
        <v>4.6871717999999998</v>
      </c>
      <c r="Q133" s="3">
        <v>4.6058510000000004</v>
      </c>
      <c r="R133" s="3">
        <v>4.5277073000000003</v>
      </c>
      <c r="S133" s="3">
        <v>4.4536420000000003</v>
      </c>
      <c r="T133" s="3">
        <v>4.3839294000000004</v>
      </c>
      <c r="U133" s="3">
        <v>4.3183452999999998</v>
      </c>
      <c r="V133" s="3">
        <v>4.2559969000000004</v>
      </c>
      <c r="W133" s="3">
        <v>4.1965022999999997</v>
      </c>
      <c r="X133" s="3">
        <v>4.1396911999999997</v>
      </c>
      <c r="Y133" s="3">
        <v>4.0853912000000001</v>
      </c>
      <c r="Z133" s="3">
        <v>4.0334303</v>
      </c>
      <c r="AA133" s="3">
        <v>3.9836382000000001</v>
      </c>
      <c r="AB133" s="3">
        <v>3.9358764000000002</v>
      </c>
      <c r="AC133" s="3">
        <v>3.890164</v>
      </c>
      <c r="AD133" s="3">
        <v>3.8465668000000002</v>
      </c>
      <c r="AE133" s="3">
        <v>3.8051493999999999</v>
      </c>
      <c r="AF133" s="3">
        <v>3.7659761999999999</v>
      </c>
      <c r="AG133" s="3">
        <v>3.7291129999999999</v>
      </c>
      <c r="AH133" s="3">
        <v>3.6946005</v>
      </c>
      <c r="AI133" s="3">
        <v>3.6623746000000001</v>
      </c>
      <c r="AJ133" s="3">
        <v>3.6323430999999999</v>
      </c>
      <c r="AK133" s="3">
        <v>3.6044130000000001</v>
      </c>
      <c r="AL133" s="3">
        <v>3.5784910999999999</v>
      </c>
      <c r="AM133" s="3">
        <v>3.5544851999999998</v>
      </c>
      <c r="AN133" s="3">
        <v>3.5323022000000002</v>
      </c>
      <c r="AO133" s="3">
        <v>3.5118491000000001</v>
      </c>
      <c r="AP133" s="3">
        <v>3.4930336</v>
      </c>
      <c r="AQ133" s="3">
        <v>3.4757625999999999</v>
      </c>
      <c r="AR133" s="3">
        <v>3.4599430999999998</v>
      </c>
      <c r="AS133" s="3">
        <v>3.4454828000000002</v>
      </c>
      <c r="AT133" s="3">
        <v>3.4322949999999999</v>
      </c>
      <c r="AU133" s="3">
        <v>3.4203190999999999</v>
      </c>
      <c r="AV133" s="3">
        <v>3.4095011</v>
      </c>
      <c r="AW133" s="3">
        <v>3.3997869000000001</v>
      </c>
      <c r="AX133" s="3">
        <v>3.3911220000000002</v>
      </c>
      <c r="AY133" s="3">
        <v>3.3834526999999999</v>
      </c>
      <c r="AZ133" s="3">
        <v>3.3767246000000002</v>
      </c>
      <c r="BA133" s="3">
        <v>3.3708833999999999</v>
      </c>
      <c r="BB133" s="3">
        <v>3.3658752999999999</v>
      </c>
      <c r="BC133" s="3">
        <v>3.3616459999999999</v>
      </c>
      <c r="BD133" s="3">
        <v>3.3581411999999999</v>
      </c>
      <c r="BE133" s="3">
        <v>3.3553069999999998</v>
      </c>
      <c r="BF133" s="3">
        <v>3.3530943</v>
      </c>
      <c r="BG133" s="3">
        <v>3.3514770999999999</v>
      </c>
      <c r="BH133" s="3">
        <v>3.3504358999999999</v>
      </c>
      <c r="BI133" s="3">
        <v>3.3499509000000001</v>
      </c>
      <c r="BJ133" s="3">
        <v>3.3500025</v>
      </c>
      <c r="BK133" s="3">
        <v>3.3505710999999998</v>
      </c>
      <c r="BL133" s="3">
        <v>3.3516370000000002</v>
      </c>
      <c r="BM133" s="3">
        <v>3.3531806999999998</v>
      </c>
      <c r="BN133" s="3">
        <v>3.3551823000000001</v>
      </c>
      <c r="BO133" s="3">
        <v>3.3576223000000001</v>
      </c>
      <c r="BP133" s="3">
        <v>3.3604810999999999</v>
      </c>
      <c r="BQ133" s="3">
        <v>3.3637389999999998</v>
      </c>
      <c r="BR133" s="3">
        <v>3.3908144999999998</v>
      </c>
      <c r="BS133" s="3">
        <v>3.4288069000000001</v>
      </c>
    </row>
    <row r="134" spans="1:71" x14ac:dyDescent="0.35">
      <c r="A134" s="6">
        <f t="shared" si="77"/>
        <v>45467</v>
      </c>
      <c r="B134">
        <f t="shared" si="72"/>
        <v>6</v>
      </c>
      <c r="C134">
        <f t="shared" si="73"/>
        <v>2024</v>
      </c>
      <c r="D134">
        <f t="shared" si="74"/>
        <v>202406</v>
      </c>
      <c r="E134">
        <f t="shared" si="75"/>
        <v>2</v>
      </c>
      <c r="F134">
        <f t="shared" si="76"/>
        <v>202402</v>
      </c>
      <c r="G134" t="s">
        <v>267</v>
      </c>
      <c r="H134" s="2">
        <v>5.25</v>
      </c>
      <c r="I134" s="2">
        <v>5.2</v>
      </c>
      <c r="J134" s="3">
        <v>5.1500171000000003</v>
      </c>
      <c r="K134" s="3">
        <v>5.0601991000000002</v>
      </c>
      <c r="L134" s="3">
        <v>4.9881393000000003</v>
      </c>
      <c r="M134" s="3">
        <v>4.9189147000000002</v>
      </c>
      <c r="N134" s="3">
        <v>4.8438410000000003</v>
      </c>
      <c r="O134" s="3">
        <v>4.7636541000000001</v>
      </c>
      <c r="P134" s="3">
        <v>4.6823331000000001</v>
      </c>
      <c r="Q134" s="3">
        <v>4.6039124999999999</v>
      </c>
      <c r="R134" s="3">
        <v>4.5310772999999998</v>
      </c>
      <c r="S134" s="3">
        <v>4.4646920999999997</v>
      </c>
      <c r="T134" s="3">
        <v>4.4045737000000003</v>
      </c>
      <c r="U134" s="3">
        <v>4.3494009</v>
      </c>
      <c r="V134" s="3">
        <v>4.2966831000000001</v>
      </c>
      <c r="W134" s="3">
        <v>4.2456455000000002</v>
      </c>
      <c r="X134" s="3">
        <v>4.1960663</v>
      </c>
      <c r="Y134" s="3">
        <v>4.1477218000000002</v>
      </c>
      <c r="Z134" s="3">
        <v>4.1003883999999999</v>
      </c>
      <c r="AA134" s="3">
        <v>4.0538442999999997</v>
      </c>
      <c r="AB134" s="3">
        <v>4.0079412000000003</v>
      </c>
      <c r="AC134" s="3">
        <v>3.9628478999999999</v>
      </c>
      <c r="AD134" s="3">
        <v>3.9188184000000001</v>
      </c>
      <c r="AE134" s="3">
        <v>3.8761047999999998</v>
      </c>
      <c r="AF134" s="3">
        <v>3.8349592000000001</v>
      </c>
      <c r="AG134" s="3">
        <v>3.7956352999999998</v>
      </c>
      <c r="AH134" s="3">
        <v>3.7583338999999998</v>
      </c>
      <c r="AI134" s="3">
        <v>3.7230501</v>
      </c>
      <c r="AJ134" s="3">
        <v>3.6897289</v>
      </c>
      <c r="AK134" s="3">
        <v>3.6583139999999998</v>
      </c>
      <c r="AL134" s="3">
        <v>3.6287489000000002</v>
      </c>
      <c r="AM134" s="3">
        <v>3.6009787000000002</v>
      </c>
      <c r="AN134" s="3">
        <v>3.5749469999999999</v>
      </c>
      <c r="AO134" s="3">
        <v>3.5505976000000001</v>
      </c>
      <c r="AP134" s="3">
        <v>3.5278752</v>
      </c>
      <c r="AQ134" s="3">
        <v>3.5067235000000001</v>
      </c>
      <c r="AR134" s="3">
        <v>3.4870866</v>
      </c>
      <c r="AS134" s="3">
        <v>3.4689089000000002</v>
      </c>
      <c r="AT134" s="3">
        <v>3.4521354</v>
      </c>
      <c r="AU134" s="3">
        <v>3.4367158</v>
      </c>
      <c r="AV134" s="3">
        <v>3.4226014</v>
      </c>
      <c r="AW134" s="3">
        <v>3.4097430000000002</v>
      </c>
      <c r="AX134" s="3">
        <v>3.3980915</v>
      </c>
      <c r="AY134" s="3">
        <v>3.3875980000000001</v>
      </c>
      <c r="AZ134" s="3">
        <v>3.3782133999999999</v>
      </c>
      <c r="BA134" s="3">
        <v>3.3698885999999999</v>
      </c>
      <c r="BB134" s="3">
        <v>3.3625748</v>
      </c>
      <c r="BC134" s="3">
        <v>3.3562227</v>
      </c>
      <c r="BD134" s="3">
        <v>3.3507834000000001</v>
      </c>
      <c r="BE134" s="3">
        <v>3.3462079</v>
      </c>
      <c r="BF134" s="3">
        <v>3.3424501000000002</v>
      </c>
      <c r="BG134" s="3">
        <v>3.3394794999999999</v>
      </c>
      <c r="BH134" s="3">
        <v>3.3372711000000002</v>
      </c>
      <c r="BI134" s="3">
        <v>3.3357996999999999</v>
      </c>
      <c r="BJ134" s="3">
        <v>3.3350403000000002</v>
      </c>
      <c r="BK134" s="3">
        <v>3.3349677999999998</v>
      </c>
      <c r="BL134" s="3">
        <v>3.3355570999999999</v>
      </c>
      <c r="BM134" s="3">
        <v>3.3367830000000001</v>
      </c>
      <c r="BN134" s="3">
        <v>3.3386205000000002</v>
      </c>
      <c r="BO134" s="3">
        <v>3.3410445000000002</v>
      </c>
      <c r="BP134" s="3">
        <v>3.3440299000000002</v>
      </c>
      <c r="BQ134" s="3">
        <v>3.3475516000000001</v>
      </c>
      <c r="BR134" s="3">
        <v>3.3786342</v>
      </c>
      <c r="BS134" s="3">
        <v>3.4232889000000002</v>
      </c>
    </row>
    <row r="135" spans="1:71" x14ac:dyDescent="0.35">
      <c r="A135" s="6">
        <f t="shared" si="77"/>
        <v>45468</v>
      </c>
      <c r="B135">
        <f t="shared" si="72"/>
        <v>6</v>
      </c>
      <c r="C135">
        <f t="shared" si="73"/>
        <v>2024</v>
      </c>
      <c r="D135">
        <f t="shared" si="74"/>
        <v>202406</v>
      </c>
      <c r="E135">
        <f t="shared" si="75"/>
        <v>2</v>
      </c>
      <c r="F135">
        <f t="shared" si="76"/>
        <v>202402</v>
      </c>
      <c r="G135" t="s">
        <v>268</v>
      </c>
      <c r="H135" s="2">
        <v>5.25</v>
      </c>
      <c r="I135" s="2">
        <v>5.2</v>
      </c>
      <c r="J135" s="3">
        <v>5.1501304000000001</v>
      </c>
      <c r="K135" s="3">
        <v>5.0637746999999997</v>
      </c>
      <c r="L135" s="3">
        <v>4.9955869000000002</v>
      </c>
      <c r="M135" s="3">
        <v>4.9300483000000002</v>
      </c>
      <c r="N135" s="3">
        <v>4.8581463999999999</v>
      </c>
      <c r="O135" s="3">
        <v>4.7800741999999996</v>
      </c>
      <c r="P135" s="3">
        <v>4.6993276000000002</v>
      </c>
      <c r="Q135" s="3">
        <v>4.6196994</v>
      </c>
      <c r="R135" s="3">
        <v>4.5440360000000002</v>
      </c>
      <c r="S135" s="3">
        <v>4.4734815000000001</v>
      </c>
      <c r="T135" s="3">
        <v>4.4083315000000001</v>
      </c>
      <c r="U135" s="3">
        <v>4.3480395999999999</v>
      </c>
      <c r="V135" s="3">
        <v>4.2915359999999998</v>
      </c>
      <c r="W135" s="3">
        <v>4.2381412000000003</v>
      </c>
      <c r="X135" s="3">
        <v>4.1873111999999999</v>
      </c>
      <c r="Y135" s="3">
        <v>4.1385000999999999</v>
      </c>
      <c r="Z135" s="3">
        <v>4.0911619999999997</v>
      </c>
      <c r="AA135" s="3">
        <v>4.0447528000000004</v>
      </c>
      <c r="AB135" s="3">
        <v>3.9988123999999998</v>
      </c>
      <c r="AC135" s="3">
        <v>3.9534202000000001</v>
      </c>
      <c r="AD135" s="3">
        <v>3.9088653999999998</v>
      </c>
      <c r="AE135" s="3">
        <v>3.8654359999999999</v>
      </c>
      <c r="AF135" s="3">
        <v>3.8234203</v>
      </c>
      <c r="AG135" s="3">
        <v>3.7831079000000001</v>
      </c>
      <c r="AH135" s="3">
        <v>3.7447338000000001</v>
      </c>
      <c r="AI135" s="3">
        <v>3.7083206</v>
      </c>
      <c r="AJ135" s="3">
        <v>3.6738390999999999</v>
      </c>
      <c r="AK135" s="3">
        <v>3.6412588000000001</v>
      </c>
      <c r="AL135" s="3">
        <v>3.6105493000000002</v>
      </c>
      <c r="AM135" s="3">
        <v>3.5816813000000001</v>
      </c>
      <c r="AN135" s="3">
        <v>3.5546242000000001</v>
      </c>
      <c r="AO135" s="3">
        <v>3.5293478</v>
      </c>
      <c r="AP135" s="3">
        <v>3.5058226000000001</v>
      </c>
      <c r="AQ135" s="3">
        <v>3.4840182</v>
      </c>
      <c r="AR135" s="3">
        <v>3.4639042</v>
      </c>
      <c r="AS135" s="3">
        <v>3.4454511999999999</v>
      </c>
      <c r="AT135" s="3">
        <v>3.4286219999999998</v>
      </c>
      <c r="AU135" s="3">
        <v>3.4133529999999999</v>
      </c>
      <c r="AV135" s="3">
        <v>3.3995739999999999</v>
      </c>
      <c r="AW135" s="3">
        <v>3.3872144999999998</v>
      </c>
      <c r="AX135" s="3">
        <v>3.3762040999999998</v>
      </c>
      <c r="AY135" s="3">
        <v>3.3664727000000001</v>
      </c>
      <c r="AZ135" s="3">
        <v>3.3579498000000001</v>
      </c>
      <c r="BA135" s="3">
        <v>3.350565</v>
      </c>
      <c r="BB135" s="3">
        <v>3.3442479999999999</v>
      </c>
      <c r="BC135" s="3">
        <v>3.3389285000000002</v>
      </c>
      <c r="BD135" s="3">
        <v>3.3345359999999999</v>
      </c>
      <c r="BE135" s="3">
        <v>3.3310002999999999</v>
      </c>
      <c r="BF135" s="3">
        <v>3.3282563999999999</v>
      </c>
      <c r="BG135" s="3">
        <v>3.3262657</v>
      </c>
      <c r="BH135" s="3">
        <v>3.3249976000000001</v>
      </c>
      <c r="BI135" s="3">
        <v>3.3244215000000001</v>
      </c>
      <c r="BJ135" s="3">
        <v>3.3245068999999998</v>
      </c>
      <c r="BK135" s="3">
        <v>3.3252231000000001</v>
      </c>
      <c r="BL135" s="3">
        <v>3.3265395</v>
      </c>
      <c r="BM135" s="3">
        <v>3.3284256999999999</v>
      </c>
      <c r="BN135" s="3">
        <v>3.3308509000000002</v>
      </c>
      <c r="BO135" s="3">
        <v>3.3337846</v>
      </c>
      <c r="BP135" s="3">
        <v>3.3371962000000002</v>
      </c>
      <c r="BQ135" s="3">
        <v>3.3410551000000002</v>
      </c>
      <c r="BR135" s="3">
        <v>3.3723071999999998</v>
      </c>
      <c r="BS135" s="3">
        <v>3.4144890999999999</v>
      </c>
    </row>
    <row r="136" spans="1:71" x14ac:dyDescent="0.35">
      <c r="A136" s="6">
        <f t="shared" si="77"/>
        <v>45469</v>
      </c>
      <c r="B136">
        <f t="shared" si="72"/>
        <v>6</v>
      </c>
      <c r="C136">
        <f t="shared" si="73"/>
        <v>2024</v>
      </c>
      <c r="D136">
        <f t="shared" si="74"/>
        <v>202406</v>
      </c>
      <c r="E136">
        <f t="shared" si="75"/>
        <v>2</v>
      </c>
      <c r="F136">
        <f t="shared" si="76"/>
        <v>202402</v>
      </c>
      <c r="G136" t="s">
        <v>269</v>
      </c>
      <c r="H136" s="2">
        <v>5.25</v>
      </c>
      <c r="I136" s="2">
        <v>5.2</v>
      </c>
      <c r="J136" s="3">
        <v>5.1496617000000002</v>
      </c>
      <c r="K136" s="3">
        <v>5.0653807999999998</v>
      </c>
      <c r="L136" s="3">
        <v>5.0006561999999999</v>
      </c>
      <c r="M136" s="3">
        <v>4.9388870000000002</v>
      </c>
      <c r="N136" s="3">
        <v>4.8709961000000002</v>
      </c>
      <c r="O136" s="3">
        <v>4.7976916000000003</v>
      </c>
      <c r="P136" s="3">
        <v>4.7224162999999999</v>
      </c>
      <c r="Q136" s="3">
        <v>4.6487717999999996</v>
      </c>
      <c r="R136" s="3">
        <v>4.5793137000000002</v>
      </c>
      <c r="S136" s="3">
        <v>4.5150449000000004</v>
      </c>
      <c r="T136" s="3">
        <v>4.4558694000000001</v>
      </c>
      <c r="U136" s="3">
        <v>4.4010797000000004</v>
      </c>
      <c r="V136" s="3">
        <v>4.3488517</v>
      </c>
      <c r="W136" s="3">
        <v>4.2984672000000002</v>
      </c>
      <c r="X136" s="3">
        <v>4.2495821999999999</v>
      </c>
      <c r="Y136" s="3">
        <v>4.2018507999999999</v>
      </c>
      <c r="Z136" s="3">
        <v>4.1549272000000004</v>
      </c>
      <c r="AA136" s="3">
        <v>4.1084673</v>
      </c>
      <c r="AB136" s="3">
        <v>4.0622052000000002</v>
      </c>
      <c r="AC136" s="3">
        <v>4.0163275000000001</v>
      </c>
      <c r="AD136" s="3">
        <v>3.9711816999999998</v>
      </c>
      <c r="AE136" s="3">
        <v>3.9271137</v>
      </c>
      <c r="AF136" s="3">
        <v>3.8844696000000001</v>
      </c>
      <c r="AG136" s="3">
        <v>3.8435969000000001</v>
      </c>
      <c r="AH136" s="3">
        <v>3.8047778000000001</v>
      </c>
      <c r="AI136" s="3">
        <v>3.7680389000000001</v>
      </c>
      <c r="AJ136" s="3">
        <v>3.7333443000000002</v>
      </c>
      <c r="AK136" s="3">
        <v>3.7006567000000001</v>
      </c>
      <c r="AL136" s="3">
        <v>3.6699391000000001</v>
      </c>
      <c r="AM136" s="3">
        <v>3.6411554000000002</v>
      </c>
      <c r="AN136" s="3">
        <v>3.6142683999999998</v>
      </c>
      <c r="AO136" s="3">
        <v>3.5892411000000002</v>
      </c>
      <c r="AP136" s="3">
        <v>3.5660371999999998</v>
      </c>
      <c r="AQ136" s="3">
        <v>3.5446197000000002</v>
      </c>
      <c r="AR136" s="3">
        <v>3.5249514999999998</v>
      </c>
      <c r="AS136" s="3">
        <v>3.5069963999999998</v>
      </c>
      <c r="AT136" s="3">
        <v>3.4907116999999999</v>
      </c>
      <c r="AU136" s="3">
        <v>3.4760268999999999</v>
      </c>
      <c r="AV136" s="3">
        <v>3.4628638</v>
      </c>
      <c r="AW136" s="3">
        <v>3.4511435000000001</v>
      </c>
      <c r="AX136" s="3">
        <v>3.4407873000000002</v>
      </c>
      <c r="AY136" s="3">
        <v>3.4317167</v>
      </c>
      <c r="AZ136" s="3">
        <v>3.4238529999999998</v>
      </c>
      <c r="BA136" s="3">
        <v>3.4171174999999998</v>
      </c>
      <c r="BB136" s="3">
        <v>3.4114317000000001</v>
      </c>
      <c r="BC136" s="3">
        <v>3.4067169000000002</v>
      </c>
      <c r="BD136" s="3">
        <v>3.4028942999999998</v>
      </c>
      <c r="BE136" s="3">
        <v>3.3998854000000001</v>
      </c>
      <c r="BF136" s="3">
        <v>3.3976188</v>
      </c>
      <c r="BG136" s="3">
        <v>3.3960553999999998</v>
      </c>
      <c r="BH136" s="3">
        <v>3.3951647999999999</v>
      </c>
      <c r="BI136" s="3">
        <v>3.3949169000000001</v>
      </c>
      <c r="BJ136" s="3">
        <v>3.3952814</v>
      </c>
      <c r="BK136" s="3">
        <v>3.3962279999999998</v>
      </c>
      <c r="BL136" s="3">
        <v>3.3977263999999998</v>
      </c>
      <c r="BM136" s="3">
        <v>3.3997465</v>
      </c>
      <c r="BN136" s="3">
        <v>3.4022578000000001</v>
      </c>
      <c r="BO136" s="3">
        <v>3.4052302000000001</v>
      </c>
      <c r="BP136" s="3">
        <v>3.4086333999999998</v>
      </c>
      <c r="BQ136" s="3">
        <v>3.4124371999999998</v>
      </c>
      <c r="BR136" s="3">
        <v>3.4425121000000001</v>
      </c>
      <c r="BS136" s="3">
        <v>3.4826304000000001</v>
      </c>
    </row>
    <row r="137" spans="1:71" x14ac:dyDescent="0.35">
      <c r="A137" s="6">
        <f t="shared" si="77"/>
        <v>45470</v>
      </c>
      <c r="B137">
        <f t="shared" si="72"/>
        <v>6</v>
      </c>
      <c r="C137">
        <f t="shared" si="73"/>
        <v>2024</v>
      </c>
      <c r="D137">
        <f t="shared" si="74"/>
        <v>202406</v>
      </c>
      <c r="E137">
        <f t="shared" si="75"/>
        <v>2</v>
      </c>
      <c r="F137">
        <f t="shared" si="76"/>
        <v>202402</v>
      </c>
      <c r="G137" t="s">
        <v>270</v>
      </c>
      <c r="H137" s="2">
        <v>5.25</v>
      </c>
      <c r="I137" s="2">
        <v>5.2</v>
      </c>
      <c r="J137" s="3">
        <v>5.1463356999999998</v>
      </c>
      <c r="K137" s="3">
        <v>5.0554297000000004</v>
      </c>
      <c r="L137" s="3">
        <v>4.9897333000000001</v>
      </c>
      <c r="M137" s="3">
        <v>4.9295353999999998</v>
      </c>
      <c r="N137" s="3">
        <v>4.8636638999999997</v>
      </c>
      <c r="O137" s="3">
        <v>4.7922843000000004</v>
      </c>
      <c r="P137" s="3">
        <v>4.7191866999999998</v>
      </c>
      <c r="Q137" s="3">
        <v>4.6486983999999998</v>
      </c>
      <c r="R137" s="3">
        <v>4.5837734000000001</v>
      </c>
      <c r="S137" s="3">
        <v>4.5251754000000002</v>
      </c>
      <c r="T137" s="3">
        <v>4.4722831999999997</v>
      </c>
      <c r="U137" s="3">
        <v>4.4235787000000002</v>
      </c>
      <c r="V137" s="3">
        <v>4.3762233000000004</v>
      </c>
      <c r="W137" s="3">
        <v>4.3293778999999999</v>
      </c>
      <c r="X137" s="3">
        <v>4.2828159000000001</v>
      </c>
      <c r="Y137" s="3">
        <v>4.2363089</v>
      </c>
      <c r="Z137" s="3">
        <v>4.1896285999999998</v>
      </c>
      <c r="AA137" s="3">
        <v>4.1425482000000002</v>
      </c>
      <c r="AB137" s="3">
        <v>4.0949349000000002</v>
      </c>
      <c r="AC137" s="3">
        <v>4.0471446000000002</v>
      </c>
      <c r="AD137" s="3">
        <v>3.9996912</v>
      </c>
      <c r="AE137" s="3">
        <v>3.9530867999999999</v>
      </c>
      <c r="AF137" s="3">
        <v>3.9078438000000002</v>
      </c>
      <c r="AG137" s="3">
        <v>3.8644759</v>
      </c>
      <c r="AH137" s="3">
        <v>3.8234175000000001</v>
      </c>
      <c r="AI137" s="3">
        <v>3.7847236999999998</v>
      </c>
      <c r="AJ137" s="3">
        <v>3.7483354000000002</v>
      </c>
      <c r="AK137" s="3">
        <v>3.7141921</v>
      </c>
      <c r="AL137" s="3">
        <v>3.6822336</v>
      </c>
      <c r="AM137" s="3">
        <v>3.6524005000000002</v>
      </c>
      <c r="AN137" s="3">
        <v>3.6246326</v>
      </c>
      <c r="AO137" s="3">
        <v>3.5988693999999999</v>
      </c>
      <c r="AP137" s="3">
        <v>3.5750516999999999</v>
      </c>
      <c r="AQ137" s="3">
        <v>3.5531191</v>
      </c>
      <c r="AR137" s="3">
        <v>3.5330113999999999</v>
      </c>
      <c r="AS137" s="3">
        <v>3.514669</v>
      </c>
      <c r="AT137" s="3">
        <v>3.4980285000000002</v>
      </c>
      <c r="AU137" s="3">
        <v>3.4830112999999998</v>
      </c>
      <c r="AV137" s="3">
        <v>3.4695353999999998</v>
      </c>
      <c r="AW137" s="3">
        <v>3.4575182999999998</v>
      </c>
      <c r="AX137" s="3">
        <v>3.4468774</v>
      </c>
      <c r="AY137" s="3">
        <v>3.4375304999999998</v>
      </c>
      <c r="AZ137" s="3">
        <v>3.4293952999999999</v>
      </c>
      <c r="BA137" s="3">
        <v>3.4223892</v>
      </c>
      <c r="BB137" s="3">
        <v>3.4164298999999998</v>
      </c>
      <c r="BC137" s="3">
        <v>3.4114350999999998</v>
      </c>
      <c r="BD137" s="3">
        <v>3.4073223000000001</v>
      </c>
      <c r="BE137" s="3">
        <v>3.4040092</v>
      </c>
      <c r="BF137" s="3">
        <v>3.4014215999999999</v>
      </c>
      <c r="BG137" s="3">
        <v>3.3995215000000001</v>
      </c>
      <c r="BH137" s="3">
        <v>3.3982811000000002</v>
      </c>
      <c r="BI137" s="3">
        <v>3.3976723999999998</v>
      </c>
      <c r="BJ137" s="3">
        <v>3.3976674</v>
      </c>
      <c r="BK137" s="3">
        <v>3.3982382000000002</v>
      </c>
      <c r="BL137" s="3">
        <v>3.3993568999999999</v>
      </c>
      <c r="BM137" s="3">
        <v>3.4009955999999999</v>
      </c>
      <c r="BN137" s="3">
        <v>3.4031264000000001</v>
      </c>
      <c r="BO137" s="3">
        <v>3.4057211999999999</v>
      </c>
      <c r="BP137" s="3">
        <v>3.4087521999999999</v>
      </c>
      <c r="BQ137" s="3">
        <v>3.4121915</v>
      </c>
      <c r="BR137" s="3">
        <v>3.4402849</v>
      </c>
      <c r="BS137" s="3">
        <v>3.4787602999999998</v>
      </c>
    </row>
    <row r="138" spans="1:71" x14ac:dyDescent="0.35">
      <c r="A138" s="6">
        <f t="shared" si="77"/>
        <v>45471</v>
      </c>
      <c r="B138">
        <f t="shared" si="72"/>
        <v>6</v>
      </c>
      <c r="C138">
        <f t="shared" si="73"/>
        <v>2024</v>
      </c>
      <c r="D138">
        <f t="shared" si="74"/>
        <v>202406</v>
      </c>
      <c r="E138">
        <f t="shared" si="75"/>
        <v>2</v>
      </c>
      <c r="F138">
        <f t="shared" si="76"/>
        <v>202402</v>
      </c>
      <c r="G138" t="s">
        <v>271</v>
      </c>
      <c r="H138" s="2">
        <v>5.25</v>
      </c>
      <c r="I138" s="2">
        <v>5.2</v>
      </c>
      <c r="J138" s="3">
        <v>5.1453411999999998</v>
      </c>
      <c r="K138" s="3">
        <v>5.0542197</v>
      </c>
      <c r="L138" s="3">
        <v>4.9869187999999998</v>
      </c>
      <c r="M138" s="3">
        <v>4.9244669999999999</v>
      </c>
      <c r="N138" s="3">
        <v>4.8566773000000003</v>
      </c>
      <c r="O138" s="3">
        <v>4.7835869999999998</v>
      </c>
      <c r="P138" s="3">
        <v>4.7082898999999996</v>
      </c>
      <c r="Q138" s="3">
        <v>4.6342011999999997</v>
      </c>
      <c r="R138" s="3">
        <v>4.5637847999999996</v>
      </c>
      <c r="S138" s="3">
        <v>4.4976652000000001</v>
      </c>
      <c r="T138" s="3">
        <v>4.4357110999999998</v>
      </c>
      <c r="U138" s="3">
        <v>4.3775148000000002</v>
      </c>
      <c r="V138" s="3">
        <v>4.3222961</v>
      </c>
      <c r="W138" s="3">
        <v>4.2696746000000001</v>
      </c>
      <c r="X138" s="3">
        <v>4.2194270999999999</v>
      </c>
      <c r="Y138" s="3">
        <v>4.1713284000000002</v>
      </c>
      <c r="Z138" s="3">
        <v>4.1251534000000003</v>
      </c>
      <c r="AA138" s="3">
        <v>4.0806787</v>
      </c>
      <c r="AB138" s="3">
        <v>4.0377226000000004</v>
      </c>
      <c r="AC138" s="3">
        <v>3.9963050999999998</v>
      </c>
      <c r="AD138" s="3">
        <v>3.9565063999999999</v>
      </c>
      <c r="AE138" s="3">
        <v>3.9184049999999999</v>
      </c>
      <c r="AF138" s="3">
        <v>3.8820793</v>
      </c>
      <c r="AG138" s="3">
        <v>3.8476094000000001</v>
      </c>
      <c r="AH138" s="3">
        <v>3.8150531000000001</v>
      </c>
      <c r="AI138" s="3">
        <v>3.7843768999999998</v>
      </c>
      <c r="AJ138" s="3">
        <v>3.7555233000000001</v>
      </c>
      <c r="AK138" s="3">
        <v>3.7284335999999998</v>
      </c>
      <c r="AL138" s="3">
        <v>3.7030492000000002</v>
      </c>
      <c r="AM138" s="3">
        <v>3.6793122999999999</v>
      </c>
      <c r="AN138" s="3">
        <v>3.6571644999999999</v>
      </c>
      <c r="AO138" s="3">
        <v>3.6365470000000002</v>
      </c>
      <c r="AP138" s="3">
        <v>3.6174021999999999</v>
      </c>
      <c r="AQ138" s="3">
        <v>3.5996714000000001</v>
      </c>
      <c r="AR138" s="3">
        <v>3.5832961999999999</v>
      </c>
      <c r="AS138" s="3">
        <v>3.5682185999999998</v>
      </c>
      <c r="AT138" s="3">
        <v>3.5543822</v>
      </c>
      <c r="AU138" s="3">
        <v>3.5417380999999999</v>
      </c>
      <c r="AV138" s="3">
        <v>3.5302402000000002</v>
      </c>
      <c r="AW138" s="3">
        <v>3.5198417000000002</v>
      </c>
      <c r="AX138" s="3">
        <v>3.5104959999999998</v>
      </c>
      <c r="AY138" s="3">
        <v>3.5021567</v>
      </c>
      <c r="AZ138" s="3">
        <v>3.4947772000000001</v>
      </c>
      <c r="BA138" s="3">
        <v>3.4883107</v>
      </c>
      <c r="BB138" s="3">
        <v>3.4827110000000001</v>
      </c>
      <c r="BC138" s="3">
        <v>3.4779312999999998</v>
      </c>
      <c r="BD138" s="3">
        <v>3.4739249999999999</v>
      </c>
      <c r="BE138" s="3">
        <v>3.4706456999999999</v>
      </c>
      <c r="BF138" s="3">
        <v>3.4680504000000001</v>
      </c>
      <c r="BG138" s="3">
        <v>3.4661119999999999</v>
      </c>
      <c r="BH138" s="3">
        <v>3.4648080000000001</v>
      </c>
      <c r="BI138" s="3">
        <v>3.4641156999999998</v>
      </c>
      <c r="BJ138" s="3">
        <v>3.4640124999999999</v>
      </c>
      <c r="BK138" s="3">
        <v>3.4644759999999999</v>
      </c>
      <c r="BL138" s="3">
        <v>3.4654832999999998</v>
      </c>
      <c r="BM138" s="3">
        <v>3.4670119000000001</v>
      </c>
      <c r="BN138" s="3">
        <v>3.4690392999999999</v>
      </c>
      <c r="BO138" s="3">
        <v>3.4715427999999999</v>
      </c>
      <c r="BP138" s="3">
        <v>3.4744997999999998</v>
      </c>
      <c r="BQ138" s="3">
        <v>3.4778877000000001</v>
      </c>
      <c r="BR138" s="3">
        <v>3.5062378000000001</v>
      </c>
      <c r="BS138" s="3">
        <v>3.5458573000000002</v>
      </c>
    </row>
    <row r="139" spans="1:71" x14ac:dyDescent="0.35">
      <c r="A139" s="6">
        <f t="shared" si="77"/>
        <v>45474</v>
      </c>
      <c r="B139">
        <f t="shared" ref="B139:B202" si="78">MONTH(A139)</f>
        <v>7</v>
      </c>
      <c r="C139">
        <f t="shared" ref="C139:C202" si="79">YEAR(A139)</f>
        <v>2024</v>
      </c>
      <c r="D139">
        <f t="shared" ref="D139:D202" si="80">C139*100+B139</f>
        <v>202407</v>
      </c>
      <c r="E139">
        <f t="shared" ref="E139:E202" si="81">IF(B139&lt;4,1,IF(B139&lt;7,2,IF(B139&lt;10,3,4)))</f>
        <v>3</v>
      </c>
      <c r="F139">
        <f t="shared" ref="F139:F202" si="82">C139*100+E139</f>
        <v>202403</v>
      </c>
      <c r="G139" t="s">
        <v>272</v>
      </c>
      <c r="H139" s="2">
        <v>5.25</v>
      </c>
      <c r="I139" s="2">
        <v>5.2</v>
      </c>
      <c r="J139" s="3">
        <v>5.1414833</v>
      </c>
      <c r="K139" s="3">
        <v>5.0512322999999997</v>
      </c>
      <c r="L139" s="3">
        <v>4.9880541999999997</v>
      </c>
      <c r="M139" s="3">
        <v>4.9302989000000004</v>
      </c>
      <c r="N139" s="3">
        <v>4.8665618999999998</v>
      </c>
      <c r="O139" s="3">
        <v>4.7974493000000002</v>
      </c>
      <c r="P139" s="3">
        <v>4.7265506999999998</v>
      </c>
      <c r="Q139" s="3">
        <v>4.6576379000000001</v>
      </c>
      <c r="R139" s="3">
        <v>4.5936893000000003</v>
      </c>
      <c r="S139" s="3">
        <v>4.5355413999999996</v>
      </c>
      <c r="T139" s="3">
        <v>4.4832359999999998</v>
      </c>
      <c r="U139" s="3">
        <v>4.4358377999999998</v>
      </c>
      <c r="V139" s="3">
        <v>4.3915604000000004</v>
      </c>
      <c r="W139" s="3">
        <v>4.3495638000000003</v>
      </c>
      <c r="X139" s="3">
        <v>4.3093165999999998</v>
      </c>
      <c r="Y139" s="3">
        <v>4.2702856999999996</v>
      </c>
      <c r="Z139" s="3">
        <v>4.2319380000000004</v>
      </c>
      <c r="AA139" s="3">
        <v>4.1937419</v>
      </c>
      <c r="AB139" s="3">
        <v>4.1552737000000004</v>
      </c>
      <c r="AC139" s="3">
        <v>4.1166687</v>
      </c>
      <c r="AD139" s="3">
        <v>4.0782429000000002</v>
      </c>
      <c r="AE139" s="3">
        <v>4.0403105000000004</v>
      </c>
      <c r="AF139" s="3">
        <v>4.0031860000000004</v>
      </c>
      <c r="AG139" s="3">
        <v>3.9671851</v>
      </c>
      <c r="AH139" s="3">
        <v>3.9325711000000001</v>
      </c>
      <c r="AI139" s="3">
        <v>3.8994038</v>
      </c>
      <c r="AJ139" s="3">
        <v>3.867693</v>
      </c>
      <c r="AK139" s="3">
        <v>3.8374473</v>
      </c>
      <c r="AL139" s="3">
        <v>3.8086755000000001</v>
      </c>
      <c r="AM139" s="3">
        <v>3.7813873</v>
      </c>
      <c r="AN139" s="3">
        <v>3.7555912999999999</v>
      </c>
      <c r="AO139" s="3">
        <v>3.7312964000000002</v>
      </c>
      <c r="AP139" s="3">
        <v>3.7085121999999999</v>
      </c>
      <c r="AQ139" s="3">
        <v>3.6872474</v>
      </c>
      <c r="AR139" s="3">
        <v>3.6675108999999999</v>
      </c>
      <c r="AS139" s="3">
        <v>3.6493121999999998</v>
      </c>
      <c r="AT139" s="3">
        <v>3.6326494</v>
      </c>
      <c r="AU139" s="3">
        <v>3.6174773999999998</v>
      </c>
      <c r="AV139" s="3">
        <v>3.6037412999999998</v>
      </c>
      <c r="AW139" s="3">
        <v>3.5913854000000001</v>
      </c>
      <c r="AX139" s="3">
        <v>3.5803539</v>
      </c>
      <c r="AY139" s="3">
        <v>3.5705917999999999</v>
      </c>
      <c r="AZ139" s="3">
        <v>3.5620433</v>
      </c>
      <c r="BA139" s="3">
        <v>3.5546530000000001</v>
      </c>
      <c r="BB139" s="3">
        <v>3.5483653999999998</v>
      </c>
      <c r="BC139" s="3">
        <v>3.5431249999999999</v>
      </c>
      <c r="BD139" s="3">
        <v>3.5388763999999999</v>
      </c>
      <c r="BE139" s="3">
        <v>3.5355639999999999</v>
      </c>
      <c r="BF139" s="3">
        <v>3.5331348999999999</v>
      </c>
      <c r="BG139" s="3">
        <v>3.5315503000000001</v>
      </c>
      <c r="BH139" s="3">
        <v>3.5307757999999998</v>
      </c>
      <c r="BI139" s="3">
        <v>3.5307773999999998</v>
      </c>
      <c r="BJ139" s="3">
        <v>3.5315207000000002</v>
      </c>
      <c r="BK139" s="3">
        <v>3.5329716000000002</v>
      </c>
      <c r="BL139" s="3">
        <v>3.5350956999999998</v>
      </c>
      <c r="BM139" s="3">
        <v>3.5378590000000001</v>
      </c>
      <c r="BN139" s="3">
        <v>3.5412271</v>
      </c>
      <c r="BO139" s="3">
        <v>3.5451657999999999</v>
      </c>
      <c r="BP139" s="3">
        <v>3.5496409999999998</v>
      </c>
      <c r="BQ139" s="3">
        <v>3.5546183</v>
      </c>
      <c r="BR139" s="3">
        <v>3.5934759000000001</v>
      </c>
      <c r="BS139" s="3">
        <v>3.644021</v>
      </c>
    </row>
    <row r="140" spans="1:71" x14ac:dyDescent="0.35">
      <c r="A140" s="6">
        <f t="shared" si="77"/>
        <v>45475</v>
      </c>
      <c r="B140">
        <f t="shared" si="78"/>
        <v>7</v>
      </c>
      <c r="C140">
        <f t="shared" si="79"/>
        <v>2024</v>
      </c>
      <c r="D140">
        <f t="shared" si="80"/>
        <v>202407</v>
      </c>
      <c r="E140">
        <f t="shared" si="81"/>
        <v>3</v>
      </c>
      <c r="F140">
        <f t="shared" si="82"/>
        <v>202403</v>
      </c>
      <c r="G140" t="s">
        <v>273</v>
      </c>
      <c r="H140" s="2">
        <v>5.25</v>
      </c>
      <c r="I140" s="2">
        <v>5.2</v>
      </c>
      <c r="J140" s="3">
        <v>5.1362519999999998</v>
      </c>
      <c r="K140" s="3">
        <v>5.0458777000000001</v>
      </c>
      <c r="L140" s="3">
        <v>4.9812656999999998</v>
      </c>
      <c r="M140" s="3">
        <v>4.9207792000000001</v>
      </c>
      <c r="N140" s="3">
        <v>4.8541056999999999</v>
      </c>
      <c r="O140" s="3">
        <v>4.7827698999999999</v>
      </c>
      <c r="P140" s="3">
        <v>4.7105142000000004</v>
      </c>
      <c r="Q140" s="3">
        <v>4.6412294000000003</v>
      </c>
      <c r="R140" s="3">
        <v>4.5777956</v>
      </c>
      <c r="S140" s="3">
        <v>4.5208918999999996</v>
      </c>
      <c r="T140" s="3">
        <v>4.4702950000000001</v>
      </c>
      <c r="U140" s="3">
        <v>4.4247104999999998</v>
      </c>
      <c r="V140" s="3">
        <v>4.3816316000000004</v>
      </c>
      <c r="W140" s="3">
        <v>4.3401357999999997</v>
      </c>
      <c r="X140" s="3">
        <v>4.2997997000000003</v>
      </c>
      <c r="Y140" s="3">
        <v>4.2601985999999998</v>
      </c>
      <c r="Z140" s="3">
        <v>4.2209075</v>
      </c>
      <c r="AA140" s="3">
        <v>4.1815030000000002</v>
      </c>
      <c r="AB140" s="3">
        <v>4.1416744000000003</v>
      </c>
      <c r="AC140" s="3">
        <v>4.1016399999999997</v>
      </c>
      <c r="AD140" s="3">
        <v>4.0617726999999997</v>
      </c>
      <c r="AE140" s="3">
        <v>4.0224443000000001</v>
      </c>
      <c r="AF140" s="3">
        <v>3.9840263999999999</v>
      </c>
      <c r="AG140" s="3">
        <v>3.9468920000000001</v>
      </c>
      <c r="AH140" s="3">
        <v>3.9113495999999999</v>
      </c>
      <c r="AI140" s="3">
        <v>3.8774554999999999</v>
      </c>
      <c r="AJ140" s="3">
        <v>3.8452042</v>
      </c>
      <c r="AK140" s="3">
        <v>3.8145888999999999</v>
      </c>
      <c r="AL140" s="3">
        <v>3.7856027999999999</v>
      </c>
      <c r="AM140" s="3">
        <v>3.7582403000000002</v>
      </c>
      <c r="AN140" s="3">
        <v>3.7324947000000002</v>
      </c>
      <c r="AO140" s="3">
        <v>3.7083591999999999</v>
      </c>
      <c r="AP140" s="3">
        <v>3.6858279999999999</v>
      </c>
      <c r="AQ140" s="3">
        <v>3.6648945999999998</v>
      </c>
      <c r="AR140" s="3">
        <v>3.6455522999999999</v>
      </c>
      <c r="AS140" s="3">
        <v>3.6277951000000002</v>
      </c>
      <c r="AT140" s="3">
        <v>3.6116069</v>
      </c>
      <c r="AU140" s="3">
        <v>3.5969334000000002</v>
      </c>
      <c r="AV140" s="3">
        <v>3.5837112000000002</v>
      </c>
      <c r="AW140" s="3">
        <v>3.5718763</v>
      </c>
      <c r="AX140" s="3">
        <v>3.5613649000000001</v>
      </c>
      <c r="AY140" s="3">
        <v>3.5521136000000002</v>
      </c>
      <c r="AZ140" s="3">
        <v>3.5440584999999998</v>
      </c>
      <c r="BA140" s="3">
        <v>3.5371356999999999</v>
      </c>
      <c r="BB140" s="3">
        <v>3.5312817999999999</v>
      </c>
      <c r="BC140" s="3">
        <v>3.5264327999999998</v>
      </c>
      <c r="BD140" s="3">
        <v>3.5225249999999999</v>
      </c>
      <c r="BE140" s="3">
        <v>3.5194949000000002</v>
      </c>
      <c r="BF140" s="3">
        <v>3.5172827</v>
      </c>
      <c r="BG140" s="3">
        <v>3.5158493000000002</v>
      </c>
      <c r="BH140" s="3">
        <v>3.5151617000000002</v>
      </c>
      <c r="BI140" s="3">
        <v>3.5151867000000001</v>
      </c>
      <c r="BJ140" s="3">
        <v>3.5158914999999999</v>
      </c>
      <c r="BK140" s="3">
        <v>3.5172428999999998</v>
      </c>
      <c r="BL140" s="3">
        <v>3.5192079999999999</v>
      </c>
      <c r="BM140" s="3">
        <v>3.5217537999999999</v>
      </c>
      <c r="BN140" s="3">
        <v>3.5248471000000001</v>
      </c>
      <c r="BO140" s="3">
        <v>3.5284550000000001</v>
      </c>
      <c r="BP140" s="3">
        <v>3.5325445000000002</v>
      </c>
      <c r="BQ140" s="3">
        <v>3.5370824999999999</v>
      </c>
      <c r="BR140" s="3">
        <v>3.5723593999999999</v>
      </c>
      <c r="BS140" s="3">
        <v>3.6183673000000001</v>
      </c>
    </row>
    <row r="141" spans="1:71" x14ac:dyDescent="0.35">
      <c r="A141" s="6">
        <f t="shared" si="77"/>
        <v>45476</v>
      </c>
      <c r="B141">
        <f t="shared" si="78"/>
        <v>7</v>
      </c>
      <c r="C141">
        <f t="shared" si="79"/>
        <v>2024</v>
      </c>
      <c r="D141">
        <f t="shared" si="80"/>
        <v>202407</v>
      </c>
      <c r="E141">
        <f t="shared" si="81"/>
        <v>3</v>
      </c>
      <c r="F141">
        <f t="shared" si="82"/>
        <v>202403</v>
      </c>
      <c r="G141" t="s">
        <v>274</v>
      </c>
      <c r="H141" s="2">
        <v>5.25</v>
      </c>
      <c r="I141" s="2">
        <v>5.2</v>
      </c>
      <c r="J141" s="3">
        <v>5.1234717999999999</v>
      </c>
      <c r="K141" s="3">
        <v>5.0360844</v>
      </c>
      <c r="L141" s="3">
        <v>4.9704607000000003</v>
      </c>
      <c r="M141" s="3">
        <v>4.9070403999999996</v>
      </c>
      <c r="N141" s="3">
        <v>4.8371358000000004</v>
      </c>
      <c r="O141" s="3">
        <v>4.7628149000000004</v>
      </c>
      <c r="P141" s="3">
        <v>4.6879809999999997</v>
      </c>
      <c r="Q141" s="3">
        <v>4.6166141999999999</v>
      </c>
      <c r="R141" s="3">
        <v>4.5513662999999998</v>
      </c>
      <c r="S141" s="3">
        <v>4.4928898999999998</v>
      </c>
      <c r="T141" s="3">
        <v>4.4405402</v>
      </c>
      <c r="U141" s="3">
        <v>4.3930923000000002</v>
      </c>
      <c r="V141" s="3">
        <v>4.3478070999999998</v>
      </c>
      <c r="W141" s="3">
        <v>4.3037305000000003</v>
      </c>
      <c r="X141" s="3">
        <v>4.2604981000000004</v>
      </c>
      <c r="Y141" s="3">
        <v>4.2177436000000004</v>
      </c>
      <c r="Z141" s="3">
        <v>4.1751009000000003</v>
      </c>
      <c r="AA141" s="3">
        <v>4.1322052999999999</v>
      </c>
      <c r="AB141" s="3">
        <v>4.0887871999999996</v>
      </c>
      <c r="AC141" s="3">
        <v>4.0451226</v>
      </c>
      <c r="AD141" s="3">
        <v>4.0016813000000004</v>
      </c>
      <c r="AE141" s="3">
        <v>3.9589316999999999</v>
      </c>
      <c r="AF141" s="3">
        <v>3.9173420000000001</v>
      </c>
      <c r="AG141" s="3">
        <v>3.8773821000000002</v>
      </c>
      <c r="AH141" s="3">
        <v>3.8394363</v>
      </c>
      <c r="AI141" s="3">
        <v>3.8035519999999998</v>
      </c>
      <c r="AJ141" s="3">
        <v>3.7696939</v>
      </c>
      <c r="AK141" s="3">
        <v>3.7378252000000001</v>
      </c>
      <c r="AL141" s="3">
        <v>3.7079092</v>
      </c>
      <c r="AM141" s="3">
        <v>3.6799105000000001</v>
      </c>
      <c r="AN141" s="3">
        <v>3.6537925000000002</v>
      </c>
      <c r="AO141" s="3">
        <v>3.6295185000000001</v>
      </c>
      <c r="AP141" s="3">
        <v>3.6070527999999999</v>
      </c>
      <c r="AQ141" s="3">
        <v>3.5863589999999999</v>
      </c>
      <c r="AR141" s="3">
        <v>3.5674005000000002</v>
      </c>
      <c r="AS141" s="3">
        <v>3.5501415000000001</v>
      </c>
      <c r="AT141" s="3">
        <v>3.5345396</v>
      </c>
      <c r="AU141" s="3">
        <v>3.5205237</v>
      </c>
      <c r="AV141" s="3">
        <v>3.5080141</v>
      </c>
      <c r="AW141" s="3">
        <v>3.4969310999999998</v>
      </c>
      <c r="AX141" s="3">
        <v>3.4871946</v>
      </c>
      <c r="AY141" s="3">
        <v>3.4787251000000001</v>
      </c>
      <c r="AZ141" s="3">
        <v>3.4714426</v>
      </c>
      <c r="BA141" s="3">
        <v>3.4652674000000001</v>
      </c>
      <c r="BB141" s="3">
        <v>3.4601196999999999</v>
      </c>
      <c r="BC141" s="3">
        <v>3.4559196999999999</v>
      </c>
      <c r="BD141" s="3">
        <v>3.4525876000000002</v>
      </c>
      <c r="BE141" s="3">
        <v>3.4500435</v>
      </c>
      <c r="BF141" s="3">
        <v>3.4482154</v>
      </c>
      <c r="BG141" s="3">
        <v>3.4470649</v>
      </c>
      <c r="BH141" s="3">
        <v>3.4465629</v>
      </c>
      <c r="BI141" s="3">
        <v>3.4466804</v>
      </c>
      <c r="BJ141" s="3">
        <v>3.4473883000000001</v>
      </c>
      <c r="BK141" s="3">
        <v>3.4486577</v>
      </c>
      <c r="BL141" s="3">
        <v>3.4504595</v>
      </c>
      <c r="BM141" s="3">
        <v>3.4527646000000001</v>
      </c>
      <c r="BN141" s="3">
        <v>3.4555440000000002</v>
      </c>
      <c r="BO141" s="3">
        <v>3.4587686999999998</v>
      </c>
      <c r="BP141" s="3">
        <v>3.4624096</v>
      </c>
      <c r="BQ141" s="3">
        <v>3.4664377000000002</v>
      </c>
      <c r="BR141" s="3">
        <v>3.4976210999999999</v>
      </c>
      <c r="BS141" s="3">
        <v>3.5385189000000001</v>
      </c>
    </row>
    <row r="142" spans="1:71" x14ac:dyDescent="0.35">
      <c r="A142" s="6">
        <f t="shared" si="77"/>
        <v>45477</v>
      </c>
      <c r="B142">
        <f t="shared" si="78"/>
        <v>7</v>
      </c>
      <c r="C142">
        <f t="shared" si="79"/>
        <v>2024</v>
      </c>
      <c r="D142">
        <f t="shared" si="80"/>
        <v>202407</v>
      </c>
      <c r="E142">
        <f t="shared" si="81"/>
        <v>3</v>
      </c>
      <c r="F142">
        <f t="shared" si="82"/>
        <v>202403</v>
      </c>
      <c r="G142" t="s">
        <v>275</v>
      </c>
      <c r="H142" s="2">
        <v>5.25</v>
      </c>
      <c r="I142" s="2">
        <v>5.2</v>
      </c>
      <c r="J142" s="3">
        <v>5.1204583000000001</v>
      </c>
      <c r="K142" s="3">
        <v>5.0323288000000002</v>
      </c>
      <c r="L142" s="3">
        <v>4.9651069000000003</v>
      </c>
      <c r="M142" s="3">
        <v>4.8999987999999997</v>
      </c>
      <c r="N142" s="3">
        <v>4.8292263999999996</v>
      </c>
      <c r="O142" s="3">
        <v>4.7546948000000002</v>
      </c>
      <c r="P142" s="3">
        <v>4.6797389000000003</v>
      </c>
      <c r="Q142" s="3">
        <v>4.6075955000000004</v>
      </c>
      <c r="R142" s="3">
        <v>4.5404013000000001</v>
      </c>
      <c r="S142" s="3">
        <v>4.4787379999999999</v>
      </c>
      <c r="T142" s="3">
        <v>4.4224515000000002</v>
      </c>
      <c r="U142" s="3">
        <v>4.3710110000000002</v>
      </c>
      <c r="V142" s="3">
        <v>4.3232198999999998</v>
      </c>
      <c r="W142" s="3">
        <v>4.2782954000000002</v>
      </c>
      <c r="X142" s="3">
        <v>4.2356125000000002</v>
      </c>
      <c r="Y142" s="3">
        <v>4.1945443999999998</v>
      </c>
      <c r="Z142" s="3">
        <v>4.1544644000000002</v>
      </c>
      <c r="AA142" s="3">
        <v>4.1147472</v>
      </c>
      <c r="AB142" s="3">
        <v>4.0748949000000003</v>
      </c>
      <c r="AC142" s="3">
        <v>4.035069</v>
      </c>
      <c r="AD142" s="3">
        <v>3.9956429999999998</v>
      </c>
      <c r="AE142" s="3">
        <v>3.9569890000000001</v>
      </c>
      <c r="AF142" s="3">
        <v>3.9194794000000002</v>
      </c>
      <c r="AG142" s="3">
        <v>3.8834876999999999</v>
      </c>
      <c r="AH142" s="3">
        <v>3.8493306999999999</v>
      </c>
      <c r="AI142" s="3">
        <v>3.8170544999999998</v>
      </c>
      <c r="AJ142" s="3">
        <v>3.7866243000000002</v>
      </c>
      <c r="AK142" s="3">
        <v>3.7580038</v>
      </c>
      <c r="AL142" s="3">
        <v>3.7311572000000002</v>
      </c>
      <c r="AM142" s="3">
        <v>3.7060491999999998</v>
      </c>
      <c r="AN142" s="3">
        <v>3.6826439</v>
      </c>
      <c r="AO142" s="3">
        <v>3.6609052000000002</v>
      </c>
      <c r="AP142" s="3">
        <v>3.6407980000000002</v>
      </c>
      <c r="AQ142" s="3">
        <v>3.6222862</v>
      </c>
      <c r="AR142" s="3">
        <v>3.605334</v>
      </c>
      <c r="AS142" s="3">
        <v>3.589906</v>
      </c>
      <c r="AT142" s="3">
        <v>3.5759604</v>
      </c>
      <c r="AU142" s="3">
        <v>3.5634302999999998</v>
      </c>
      <c r="AV142" s="3">
        <v>3.5522418</v>
      </c>
      <c r="AW142" s="3">
        <v>3.5423206999999999</v>
      </c>
      <c r="AX142" s="3">
        <v>3.5335930000000002</v>
      </c>
      <c r="AY142" s="3">
        <v>3.5259847999999998</v>
      </c>
      <c r="AZ142" s="3">
        <v>3.5194219000000002</v>
      </c>
      <c r="BA142" s="3">
        <v>3.5138303</v>
      </c>
      <c r="BB142" s="3">
        <v>3.5091361000000001</v>
      </c>
      <c r="BC142" s="3">
        <v>3.5052652000000002</v>
      </c>
      <c r="BD142" s="3">
        <v>3.5021434</v>
      </c>
      <c r="BE142" s="3">
        <v>3.4996969999999998</v>
      </c>
      <c r="BF142" s="3">
        <v>3.4978600000000002</v>
      </c>
      <c r="BG142" s="3">
        <v>3.4966032</v>
      </c>
      <c r="BH142" s="3">
        <v>3.4959075999999998</v>
      </c>
      <c r="BI142" s="3">
        <v>3.4957538000000001</v>
      </c>
      <c r="BJ142" s="3">
        <v>3.4961228000000002</v>
      </c>
      <c r="BK142" s="3">
        <v>3.4969953999999999</v>
      </c>
      <c r="BL142" s="3">
        <v>3.4983525000000002</v>
      </c>
      <c r="BM142" s="3">
        <v>3.5001749000000002</v>
      </c>
      <c r="BN142" s="3">
        <v>3.5024434000000002</v>
      </c>
      <c r="BO142" s="3">
        <v>3.5051388000000001</v>
      </c>
      <c r="BP142" s="3">
        <v>3.5082420999999999</v>
      </c>
      <c r="BQ142" s="3">
        <v>3.5117341</v>
      </c>
      <c r="BR142" s="3">
        <v>3.5399867999999999</v>
      </c>
      <c r="BS142" s="3">
        <v>3.5786886999999998</v>
      </c>
    </row>
    <row r="143" spans="1:71" x14ac:dyDescent="0.35">
      <c r="A143" s="6">
        <f t="shared" ref="A143:A206" si="83">A138+7</f>
        <v>45478</v>
      </c>
      <c r="B143">
        <f t="shared" si="78"/>
        <v>7</v>
      </c>
      <c r="C143">
        <f t="shared" si="79"/>
        <v>2024</v>
      </c>
      <c r="D143">
        <f t="shared" si="80"/>
        <v>202407</v>
      </c>
      <c r="E143">
        <f t="shared" si="81"/>
        <v>3</v>
      </c>
      <c r="F143">
        <f t="shared" si="82"/>
        <v>202403</v>
      </c>
      <c r="G143" t="s">
        <v>276</v>
      </c>
      <c r="H143" s="2">
        <v>5.25</v>
      </c>
      <c r="I143" s="2">
        <v>5.2</v>
      </c>
      <c r="J143" s="3">
        <v>5.1110264000000001</v>
      </c>
      <c r="K143" s="3">
        <v>5.0182523999999997</v>
      </c>
      <c r="L143" s="3">
        <v>4.9469981000000001</v>
      </c>
      <c r="M143" s="3">
        <v>4.8774440999999999</v>
      </c>
      <c r="N143" s="3">
        <v>4.8016677000000003</v>
      </c>
      <c r="O143" s="3">
        <v>4.7220228000000004</v>
      </c>
      <c r="P143" s="3">
        <v>4.6420148000000001</v>
      </c>
      <c r="Q143" s="3">
        <v>4.5651377000000002</v>
      </c>
      <c r="R143" s="3">
        <v>4.4937050000000003</v>
      </c>
      <c r="S143" s="3">
        <v>4.4284971999999998</v>
      </c>
      <c r="T143" s="3">
        <v>4.3691091000000002</v>
      </c>
      <c r="U143" s="3">
        <v>4.3147000999999996</v>
      </c>
      <c r="V143" s="3">
        <v>4.2633673999999999</v>
      </c>
      <c r="W143" s="3">
        <v>4.2143600000000001</v>
      </c>
      <c r="X143" s="3">
        <v>4.1673932000000002</v>
      </c>
      <c r="Y143" s="3">
        <v>4.1221806000000001</v>
      </c>
      <c r="Z143" s="3">
        <v>4.0784358000000003</v>
      </c>
      <c r="AA143" s="3">
        <v>4.0358741</v>
      </c>
      <c r="AB143" s="3">
        <v>3.9942796999999999</v>
      </c>
      <c r="AC143" s="3">
        <v>3.9537640000000001</v>
      </c>
      <c r="AD143" s="3">
        <v>3.9145348000000002</v>
      </c>
      <c r="AE143" s="3">
        <v>3.8767985</v>
      </c>
      <c r="AF143" s="3">
        <v>3.8407613999999999</v>
      </c>
      <c r="AG143" s="3">
        <v>3.8066312</v>
      </c>
      <c r="AH143" s="3">
        <v>3.7745712999999999</v>
      </c>
      <c r="AI143" s="3">
        <v>3.7445564</v>
      </c>
      <c r="AJ143" s="3">
        <v>3.7165097999999999</v>
      </c>
      <c r="AK143" s="3">
        <v>3.6903537000000002</v>
      </c>
      <c r="AL143" s="3">
        <v>3.6660105000000001</v>
      </c>
      <c r="AM143" s="3">
        <v>3.6434036000000001</v>
      </c>
      <c r="AN143" s="3">
        <v>3.6224552000000001</v>
      </c>
      <c r="AO143" s="3">
        <v>3.6030878</v>
      </c>
      <c r="AP143" s="3">
        <v>3.5852244999999998</v>
      </c>
      <c r="AQ143" s="3">
        <v>3.5687877000000001</v>
      </c>
      <c r="AR143" s="3">
        <v>3.5536998999999998</v>
      </c>
      <c r="AS143" s="3">
        <v>3.5398841000000001</v>
      </c>
      <c r="AT143" s="3">
        <v>3.5272671999999998</v>
      </c>
      <c r="AU143" s="3">
        <v>3.5157929999999999</v>
      </c>
      <c r="AV143" s="3">
        <v>3.5054101000000002</v>
      </c>
      <c r="AW143" s="3">
        <v>3.4960667999999999</v>
      </c>
      <c r="AX143" s="3">
        <v>3.4877113999999998</v>
      </c>
      <c r="AY143" s="3">
        <v>3.4802924000000002</v>
      </c>
      <c r="AZ143" s="3">
        <v>3.4737580000000001</v>
      </c>
      <c r="BA143" s="3">
        <v>3.4680566000000002</v>
      </c>
      <c r="BB143" s="3">
        <v>3.4631365999999999</v>
      </c>
      <c r="BC143" s="3">
        <v>3.4589463999999999</v>
      </c>
      <c r="BD143" s="3">
        <v>3.4554342</v>
      </c>
      <c r="BE143" s="3">
        <v>3.4525486000000001</v>
      </c>
      <c r="BF143" s="3">
        <v>3.4502432000000001</v>
      </c>
      <c r="BG143" s="3">
        <v>3.4484967000000002</v>
      </c>
      <c r="BH143" s="3">
        <v>3.4472941000000001</v>
      </c>
      <c r="BI143" s="3">
        <v>3.4466206000000001</v>
      </c>
      <c r="BJ143" s="3">
        <v>3.4464614999999998</v>
      </c>
      <c r="BK143" s="3">
        <v>3.4468017999999998</v>
      </c>
      <c r="BL143" s="3">
        <v>3.4476268000000001</v>
      </c>
      <c r="BM143" s="3">
        <v>3.4489215999999998</v>
      </c>
      <c r="BN143" s="3">
        <v>3.4506714000000001</v>
      </c>
      <c r="BO143" s="3">
        <v>3.4528612999999999</v>
      </c>
      <c r="BP143" s="3">
        <v>3.4554767000000002</v>
      </c>
      <c r="BQ143" s="3">
        <v>3.4585024999999998</v>
      </c>
      <c r="BR143" s="3">
        <v>3.4845396000000002</v>
      </c>
      <c r="BS143" s="3">
        <v>3.5221730999999998</v>
      </c>
    </row>
    <row r="144" spans="1:71" x14ac:dyDescent="0.35">
      <c r="A144" s="6">
        <f t="shared" si="83"/>
        <v>45481</v>
      </c>
      <c r="B144">
        <f t="shared" si="78"/>
        <v>7</v>
      </c>
      <c r="C144">
        <f t="shared" si="79"/>
        <v>2024</v>
      </c>
      <c r="D144">
        <f t="shared" si="80"/>
        <v>202407</v>
      </c>
      <c r="E144">
        <f t="shared" si="81"/>
        <v>3</v>
      </c>
      <c r="F144">
        <f t="shared" si="82"/>
        <v>202403</v>
      </c>
      <c r="G144" t="s">
        <v>277</v>
      </c>
      <c r="H144" s="2">
        <v>5.25</v>
      </c>
      <c r="I144" s="2">
        <v>5.2</v>
      </c>
      <c r="J144" s="3">
        <v>5.1003777000000001</v>
      </c>
      <c r="K144" s="3">
        <v>5.0193512</v>
      </c>
      <c r="L144" s="3">
        <v>4.9524208999999999</v>
      </c>
      <c r="M144" s="3">
        <v>4.8817792000000004</v>
      </c>
      <c r="N144" s="3">
        <v>4.8028355999999999</v>
      </c>
      <c r="O144" s="3">
        <v>4.7200436000000003</v>
      </c>
      <c r="P144" s="3">
        <v>4.6378883000000002</v>
      </c>
      <c r="Q144" s="3">
        <v>4.5598948000000004</v>
      </c>
      <c r="R144" s="3">
        <v>4.4887874999999999</v>
      </c>
      <c r="S144" s="3">
        <v>4.4249687</v>
      </c>
      <c r="T144" s="3">
        <v>4.3681660999999998</v>
      </c>
      <c r="U144" s="3">
        <v>4.3170773000000002</v>
      </c>
      <c r="V144" s="3">
        <v>4.2692208999999997</v>
      </c>
      <c r="W144" s="3">
        <v>4.2236444999999998</v>
      </c>
      <c r="X144" s="3">
        <v>4.1798868000000002</v>
      </c>
      <c r="Y144" s="3">
        <v>4.1374845999999996</v>
      </c>
      <c r="Z144" s="3">
        <v>4.0959748999999999</v>
      </c>
      <c r="AA144" s="3">
        <v>4.0548960000000003</v>
      </c>
      <c r="AB144" s="3">
        <v>4.013897</v>
      </c>
      <c r="AC144" s="3">
        <v>3.9731466000000002</v>
      </c>
      <c r="AD144" s="3">
        <v>3.9329654999999999</v>
      </c>
      <c r="AE144" s="3">
        <v>3.8936731999999998</v>
      </c>
      <c r="AF144" s="3">
        <v>3.8555890000000002</v>
      </c>
      <c r="AG144" s="3">
        <v>3.8190336</v>
      </c>
      <c r="AH144" s="3">
        <v>3.7842665000000002</v>
      </c>
      <c r="AI144" s="3">
        <v>3.7513073000000001</v>
      </c>
      <c r="AJ144" s="3">
        <v>3.7201167000000002</v>
      </c>
      <c r="AK144" s="3">
        <v>3.6906544000000001</v>
      </c>
      <c r="AL144" s="3">
        <v>3.6628799999999999</v>
      </c>
      <c r="AM144" s="3">
        <v>3.6367543000000002</v>
      </c>
      <c r="AN144" s="3">
        <v>3.6122369999999999</v>
      </c>
      <c r="AO144" s="3">
        <v>3.5892876999999999</v>
      </c>
      <c r="AP144" s="3">
        <v>3.5678671</v>
      </c>
      <c r="AQ144" s="3">
        <v>3.5479349</v>
      </c>
      <c r="AR144" s="3">
        <v>3.5294508000000002</v>
      </c>
      <c r="AS144" s="3">
        <v>3.5123753999999998</v>
      </c>
      <c r="AT144" s="3">
        <v>3.496667</v>
      </c>
      <c r="AU144" s="3">
        <v>3.4822779000000001</v>
      </c>
      <c r="AV144" s="3">
        <v>3.4691595999999998</v>
      </c>
      <c r="AW144" s="3">
        <v>3.4572630000000002</v>
      </c>
      <c r="AX144" s="3">
        <v>3.4465389000000002</v>
      </c>
      <c r="AY144" s="3">
        <v>3.4369388000000001</v>
      </c>
      <c r="AZ144" s="3">
        <v>3.4284135</v>
      </c>
      <c r="BA144" s="3">
        <v>3.4209141000000001</v>
      </c>
      <c r="BB144" s="3">
        <v>3.4143918000000002</v>
      </c>
      <c r="BC144" s="3">
        <v>3.4087976000000002</v>
      </c>
      <c r="BD144" s="3">
        <v>3.4040824000000001</v>
      </c>
      <c r="BE144" s="3">
        <v>3.4001975999999998</v>
      </c>
      <c r="BF144" s="3">
        <v>3.3970969000000002</v>
      </c>
      <c r="BG144" s="3">
        <v>3.3947498999999999</v>
      </c>
      <c r="BH144" s="3">
        <v>3.3931315999999998</v>
      </c>
      <c r="BI144" s="3">
        <v>3.3922165</v>
      </c>
      <c r="BJ144" s="3">
        <v>3.3919796</v>
      </c>
      <c r="BK144" s="3">
        <v>3.3923956999999998</v>
      </c>
      <c r="BL144" s="3">
        <v>3.3934394999999999</v>
      </c>
      <c r="BM144" s="3">
        <v>3.3950859000000002</v>
      </c>
      <c r="BN144" s="3">
        <v>3.3973095999999998</v>
      </c>
      <c r="BO144" s="3">
        <v>3.4000854999999999</v>
      </c>
      <c r="BP144" s="3">
        <v>3.4033883999999999</v>
      </c>
      <c r="BQ144" s="3">
        <v>3.4071929999999999</v>
      </c>
      <c r="BR144" s="3">
        <v>3.439244</v>
      </c>
      <c r="BS144" s="3">
        <v>3.4836076</v>
      </c>
    </row>
    <row r="145" spans="1:71" x14ac:dyDescent="0.35">
      <c r="A145" s="6">
        <f t="shared" si="83"/>
        <v>45482</v>
      </c>
      <c r="B145">
        <f t="shared" si="78"/>
        <v>7</v>
      </c>
      <c r="C145">
        <f t="shared" si="79"/>
        <v>2024</v>
      </c>
      <c r="D145">
        <f t="shared" si="80"/>
        <v>202407</v>
      </c>
      <c r="E145">
        <f t="shared" si="81"/>
        <v>3</v>
      </c>
      <c r="F145">
        <f t="shared" si="82"/>
        <v>202403</v>
      </c>
      <c r="G145" t="s">
        <v>278</v>
      </c>
      <c r="H145" s="2">
        <v>5.25</v>
      </c>
      <c r="I145" s="2">
        <v>5.2</v>
      </c>
      <c r="J145" s="3">
        <v>5.0965470000000002</v>
      </c>
      <c r="K145" s="3">
        <v>5.0182862000000004</v>
      </c>
      <c r="L145" s="3">
        <v>4.9517053000000004</v>
      </c>
      <c r="M145" s="3">
        <v>4.8809924000000002</v>
      </c>
      <c r="N145" s="3">
        <v>4.8026843000000001</v>
      </c>
      <c r="O145" s="3">
        <v>4.7214162000000002</v>
      </c>
      <c r="P145" s="3">
        <v>4.6414730000000004</v>
      </c>
      <c r="Q145" s="3">
        <v>4.5661022999999998</v>
      </c>
      <c r="R145" s="3">
        <v>4.4975401000000002</v>
      </c>
      <c r="S145" s="3">
        <v>4.4360973000000001</v>
      </c>
      <c r="T145" s="3">
        <v>4.3814859000000004</v>
      </c>
      <c r="U145" s="3">
        <v>4.3324952000000003</v>
      </c>
      <c r="V145" s="3">
        <v>4.2867740000000003</v>
      </c>
      <c r="W145" s="3">
        <v>4.2433668999999998</v>
      </c>
      <c r="X145" s="3">
        <v>4.2017626000000003</v>
      </c>
      <c r="Y145" s="3">
        <v>4.1614483</v>
      </c>
      <c r="Z145" s="3">
        <v>4.1219115000000004</v>
      </c>
      <c r="AA145" s="3">
        <v>4.0826408000000001</v>
      </c>
      <c r="AB145" s="3">
        <v>4.0432432</v>
      </c>
      <c r="AC145" s="3">
        <v>4.0038812999999998</v>
      </c>
      <c r="AD145" s="3">
        <v>3.9648797999999998</v>
      </c>
      <c r="AE145" s="3">
        <v>3.9265620999999999</v>
      </c>
      <c r="AF145" s="3">
        <v>3.8892516000000001</v>
      </c>
      <c r="AG145" s="3">
        <v>3.8532730000000002</v>
      </c>
      <c r="AH145" s="3">
        <v>3.8188936</v>
      </c>
      <c r="AI145" s="3">
        <v>3.7861558999999998</v>
      </c>
      <c r="AJ145" s="3">
        <v>3.7550474999999999</v>
      </c>
      <c r="AK145" s="3">
        <v>3.7255546000000002</v>
      </c>
      <c r="AL145" s="3">
        <v>3.6976637999999999</v>
      </c>
      <c r="AM145" s="3">
        <v>3.6713624</v>
      </c>
      <c r="AN145" s="3">
        <v>3.6466368999999998</v>
      </c>
      <c r="AO145" s="3">
        <v>3.6234738000000002</v>
      </c>
      <c r="AP145" s="3">
        <v>3.6018602999999998</v>
      </c>
      <c r="AQ145" s="3">
        <v>3.5817828999999999</v>
      </c>
      <c r="AR145" s="3">
        <v>3.5632282000000002</v>
      </c>
      <c r="AS145" s="3">
        <v>3.5461833999999999</v>
      </c>
      <c r="AT145" s="3">
        <v>3.5306272000000001</v>
      </c>
      <c r="AU145" s="3">
        <v>3.5165068000000002</v>
      </c>
      <c r="AV145" s="3">
        <v>3.5037623999999998</v>
      </c>
      <c r="AW145" s="3">
        <v>3.4923332999999999</v>
      </c>
      <c r="AX145" s="3">
        <v>3.4821589999999998</v>
      </c>
      <c r="AY145" s="3">
        <v>3.4731795999999999</v>
      </c>
      <c r="AZ145" s="3">
        <v>3.4653345</v>
      </c>
      <c r="BA145" s="3">
        <v>3.4585632999999998</v>
      </c>
      <c r="BB145" s="3">
        <v>3.4528059</v>
      </c>
      <c r="BC145" s="3">
        <v>3.4480016999999998</v>
      </c>
      <c r="BD145" s="3">
        <v>3.4440903999999999</v>
      </c>
      <c r="BE145" s="3">
        <v>3.4410116999999998</v>
      </c>
      <c r="BF145" s="3">
        <v>3.4387094999999999</v>
      </c>
      <c r="BG145" s="3">
        <v>3.4371480999999999</v>
      </c>
      <c r="BH145" s="3">
        <v>3.4362979999999999</v>
      </c>
      <c r="BI145" s="3">
        <v>3.4361299999999999</v>
      </c>
      <c r="BJ145" s="3">
        <v>3.4366143999999998</v>
      </c>
      <c r="BK145" s="3">
        <v>3.4377219999999999</v>
      </c>
      <c r="BL145" s="3">
        <v>3.4394233000000001</v>
      </c>
      <c r="BM145" s="3">
        <v>3.4416890000000002</v>
      </c>
      <c r="BN145" s="3">
        <v>3.4444894000000001</v>
      </c>
      <c r="BO145" s="3">
        <v>3.4477954</v>
      </c>
      <c r="BP145" s="3">
        <v>3.4515774000000001</v>
      </c>
      <c r="BQ145" s="3">
        <v>3.4558059999999999</v>
      </c>
      <c r="BR145" s="3">
        <v>3.4892894000000001</v>
      </c>
      <c r="BS145" s="3">
        <v>3.5337439000000002</v>
      </c>
    </row>
    <row r="146" spans="1:71" x14ac:dyDescent="0.35">
      <c r="A146" s="6">
        <f t="shared" si="83"/>
        <v>45483</v>
      </c>
      <c r="B146">
        <f t="shared" si="78"/>
        <v>7</v>
      </c>
      <c r="C146">
        <f t="shared" si="79"/>
        <v>2024</v>
      </c>
      <c r="D146">
        <f t="shared" si="80"/>
        <v>202407</v>
      </c>
      <c r="E146">
        <f t="shared" si="81"/>
        <v>3</v>
      </c>
      <c r="F146">
        <f t="shared" si="82"/>
        <v>202403</v>
      </c>
      <c r="G146" t="s">
        <v>279</v>
      </c>
      <c r="H146" s="2">
        <v>5.25</v>
      </c>
      <c r="I146" s="2">
        <v>5.2</v>
      </c>
      <c r="J146" s="3">
        <v>5.1042224000000003</v>
      </c>
      <c r="K146" s="3">
        <v>5.0320985</v>
      </c>
      <c r="L146" s="3">
        <v>4.9630141999999999</v>
      </c>
      <c r="M146" s="3">
        <v>4.8865742000000001</v>
      </c>
      <c r="N146" s="3">
        <v>4.8036903000000004</v>
      </c>
      <c r="O146" s="3">
        <v>4.7199090999999997</v>
      </c>
      <c r="P146" s="3">
        <v>4.6387821000000002</v>
      </c>
      <c r="Q146" s="3">
        <v>4.5626669</v>
      </c>
      <c r="R146" s="3">
        <v>4.4930927000000001</v>
      </c>
      <c r="S146" s="3">
        <v>4.4304008000000001</v>
      </c>
      <c r="T146" s="3">
        <v>4.3741912999999997</v>
      </c>
      <c r="U146" s="3">
        <v>4.3235083999999997</v>
      </c>
      <c r="V146" s="3">
        <v>4.2760024000000003</v>
      </c>
      <c r="W146" s="3">
        <v>4.2306980000000003</v>
      </c>
      <c r="X146" s="3">
        <v>4.1870873</v>
      </c>
      <c r="Y146" s="3">
        <v>4.1446610000000002</v>
      </c>
      <c r="Z146" s="3">
        <v>4.1029093999999997</v>
      </c>
      <c r="AA146" s="3">
        <v>4.0613245999999998</v>
      </c>
      <c r="AB146" s="3">
        <v>4.0195029</v>
      </c>
      <c r="AC146" s="3">
        <v>3.9776387</v>
      </c>
      <c r="AD146" s="3">
        <v>3.9361388000000002</v>
      </c>
      <c r="AE146" s="3">
        <v>3.8954083000000002</v>
      </c>
      <c r="AF146" s="3">
        <v>3.8558526</v>
      </c>
      <c r="AG146" s="3">
        <v>3.8178785</v>
      </c>
      <c r="AH146" s="3">
        <v>3.7818185</v>
      </c>
      <c r="AI146" s="3">
        <v>3.7477147999999998</v>
      </c>
      <c r="AJ146" s="3">
        <v>3.7155377000000001</v>
      </c>
      <c r="AK146" s="3">
        <v>3.6852564999999999</v>
      </c>
      <c r="AL146" s="3">
        <v>3.6568407999999999</v>
      </c>
      <c r="AM146" s="3">
        <v>3.6302607999999998</v>
      </c>
      <c r="AN146" s="3">
        <v>3.605486</v>
      </c>
      <c r="AO146" s="3">
        <v>3.5824856999999999</v>
      </c>
      <c r="AP146" s="3">
        <v>3.5612303000000001</v>
      </c>
      <c r="AQ146" s="3">
        <v>3.5416891000000001</v>
      </c>
      <c r="AR146" s="3">
        <v>3.5238317000000001</v>
      </c>
      <c r="AS146" s="3">
        <v>3.5076282000000001</v>
      </c>
      <c r="AT146" s="3">
        <v>3.4930414000000001</v>
      </c>
      <c r="AU146" s="3">
        <v>3.4800011999999998</v>
      </c>
      <c r="AV146" s="3">
        <v>3.4684282999999998</v>
      </c>
      <c r="AW146" s="3">
        <v>3.4582424</v>
      </c>
      <c r="AX146" s="3">
        <v>3.4493638</v>
      </c>
      <c r="AY146" s="3">
        <v>3.4417127999999999</v>
      </c>
      <c r="AZ146" s="3">
        <v>3.4352095</v>
      </c>
      <c r="BA146" s="3">
        <v>3.4297738999999998</v>
      </c>
      <c r="BB146" s="3">
        <v>3.4253263999999999</v>
      </c>
      <c r="BC146" s="3">
        <v>3.4217870000000001</v>
      </c>
      <c r="BD146" s="3">
        <v>3.4190759000000002</v>
      </c>
      <c r="BE146" s="3">
        <v>3.4171133999999999</v>
      </c>
      <c r="BF146" s="3">
        <v>3.4158274</v>
      </c>
      <c r="BG146" s="3">
        <v>3.4151812000000001</v>
      </c>
      <c r="BH146" s="3">
        <v>3.4151474999999998</v>
      </c>
      <c r="BI146" s="3">
        <v>3.4156993</v>
      </c>
      <c r="BJ146" s="3">
        <v>3.4168093000000002</v>
      </c>
      <c r="BK146" s="3">
        <v>3.4184502999999999</v>
      </c>
      <c r="BL146" s="3">
        <v>3.4205950999999999</v>
      </c>
      <c r="BM146" s="3">
        <v>3.4232166999999998</v>
      </c>
      <c r="BN146" s="3">
        <v>3.4262877999999999</v>
      </c>
      <c r="BO146" s="3">
        <v>3.4297811</v>
      </c>
      <c r="BP146" s="3">
        <v>3.4336696999999998</v>
      </c>
      <c r="BQ146" s="3">
        <v>3.4379262000000002</v>
      </c>
      <c r="BR146" s="3">
        <v>3.4701661000000001</v>
      </c>
      <c r="BS146" s="3">
        <v>3.5118075000000002</v>
      </c>
    </row>
    <row r="147" spans="1:71" x14ac:dyDescent="0.35">
      <c r="A147" s="6">
        <f t="shared" si="83"/>
        <v>45484</v>
      </c>
      <c r="B147">
        <f t="shared" si="78"/>
        <v>7</v>
      </c>
      <c r="C147">
        <f t="shared" si="79"/>
        <v>2024</v>
      </c>
      <c r="D147">
        <f t="shared" si="80"/>
        <v>202407</v>
      </c>
      <c r="E147">
        <f t="shared" si="81"/>
        <v>3</v>
      </c>
      <c r="F147">
        <f t="shared" si="82"/>
        <v>202403</v>
      </c>
      <c r="G147" t="s">
        <v>280</v>
      </c>
      <c r="H147" s="2">
        <v>5.25</v>
      </c>
      <c r="I147" s="2">
        <v>5.2</v>
      </c>
      <c r="J147" s="3">
        <v>5.0945081999999999</v>
      </c>
      <c r="K147" s="3">
        <v>5.0217773000000001</v>
      </c>
      <c r="L147" s="3">
        <v>4.9511234999999996</v>
      </c>
      <c r="M147" s="3">
        <v>4.8706331</v>
      </c>
      <c r="N147" s="3">
        <v>4.7813489000000002</v>
      </c>
      <c r="O147" s="3">
        <v>4.6895094999999998</v>
      </c>
      <c r="P147" s="3">
        <v>4.5990317999999997</v>
      </c>
      <c r="Q147" s="3">
        <v>4.5123877999999999</v>
      </c>
      <c r="R147" s="3">
        <v>4.4311230000000004</v>
      </c>
      <c r="S147" s="3">
        <v>4.355817</v>
      </c>
      <c r="T147" s="3">
        <v>4.2867958000000002</v>
      </c>
      <c r="U147" s="3">
        <v>4.2239363000000001</v>
      </c>
      <c r="V147" s="3">
        <v>4.1665216999999997</v>
      </c>
      <c r="W147" s="3">
        <v>4.1137746000000002</v>
      </c>
      <c r="X147" s="3">
        <v>4.0649386999999999</v>
      </c>
      <c r="Y147" s="3">
        <v>4.0192559000000001</v>
      </c>
      <c r="Z147" s="3">
        <v>3.9759680999999998</v>
      </c>
      <c r="AA147" s="3">
        <v>3.9343186999999999</v>
      </c>
      <c r="AB147" s="3">
        <v>3.8936736999999999</v>
      </c>
      <c r="AC147" s="3">
        <v>3.8540337</v>
      </c>
      <c r="AD147" s="3">
        <v>3.8156034000000001</v>
      </c>
      <c r="AE147" s="3">
        <v>3.7785861999999999</v>
      </c>
      <c r="AF147" s="3">
        <v>3.7431855999999999</v>
      </c>
      <c r="AG147" s="3">
        <v>3.7096064000000002</v>
      </c>
      <c r="AH147" s="3">
        <v>3.6780164000000002</v>
      </c>
      <c r="AI147" s="3">
        <v>3.6484098999999999</v>
      </c>
      <c r="AJ147" s="3">
        <v>3.6207294000000001</v>
      </c>
      <c r="AK147" s="3">
        <v>3.5949160999999998</v>
      </c>
      <c r="AL147" s="3">
        <v>3.5709118000000002</v>
      </c>
      <c r="AM147" s="3">
        <v>3.5486585000000002</v>
      </c>
      <c r="AN147" s="3">
        <v>3.5280979000000001</v>
      </c>
      <c r="AO147" s="3">
        <v>3.5091714000000001</v>
      </c>
      <c r="AP147" s="3">
        <v>3.4918212</v>
      </c>
      <c r="AQ147" s="3">
        <v>3.4759888999999999</v>
      </c>
      <c r="AR147" s="3">
        <v>3.4616161000000001</v>
      </c>
      <c r="AS147" s="3">
        <v>3.4486447999999998</v>
      </c>
      <c r="AT147" s="3">
        <v>3.4370153999999999</v>
      </c>
      <c r="AU147" s="3">
        <v>3.426663</v>
      </c>
      <c r="AV147" s="3">
        <v>3.4175216000000002</v>
      </c>
      <c r="AW147" s="3">
        <v>3.4095246000000001</v>
      </c>
      <c r="AX147" s="3">
        <v>3.4026059000000002</v>
      </c>
      <c r="AY147" s="3">
        <v>3.3966991000000002</v>
      </c>
      <c r="AZ147" s="3">
        <v>3.3917381</v>
      </c>
      <c r="BA147" s="3">
        <v>3.3876563000000002</v>
      </c>
      <c r="BB147" s="3">
        <v>3.3843877999999998</v>
      </c>
      <c r="BC147" s="3">
        <v>3.381866</v>
      </c>
      <c r="BD147" s="3">
        <v>3.3800246999999999</v>
      </c>
      <c r="BE147" s="3">
        <v>3.3787976</v>
      </c>
      <c r="BF147" s="3">
        <v>3.378126</v>
      </c>
      <c r="BG147" s="3">
        <v>3.3779840000000001</v>
      </c>
      <c r="BH147" s="3">
        <v>3.3783550999999998</v>
      </c>
      <c r="BI147" s="3">
        <v>3.3792227000000001</v>
      </c>
      <c r="BJ147" s="3">
        <v>3.3805700999999999</v>
      </c>
      <c r="BK147" s="3">
        <v>3.3823805999999998</v>
      </c>
      <c r="BL147" s="3">
        <v>3.3846378000000001</v>
      </c>
      <c r="BM147" s="3">
        <v>3.3873248999999999</v>
      </c>
      <c r="BN147" s="3">
        <v>3.3904253</v>
      </c>
      <c r="BO147" s="3">
        <v>3.3939224000000001</v>
      </c>
      <c r="BP147" s="3">
        <v>3.3977997000000002</v>
      </c>
      <c r="BQ147" s="3">
        <v>3.4020404000000002</v>
      </c>
      <c r="BR147" s="3">
        <v>3.4343368000000001</v>
      </c>
      <c r="BS147" s="3">
        <v>3.4764409999999999</v>
      </c>
    </row>
    <row r="148" spans="1:71" x14ac:dyDescent="0.35">
      <c r="A148" s="6">
        <f t="shared" si="83"/>
        <v>45485</v>
      </c>
      <c r="B148">
        <f t="shared" si="78"/>
        <v>7</v>
      </c>
      <c r="C148">
        <f t="shared" si="79"/>
        <v>2024</v>
      </c>
      <c r="D148">
        <f t="shared" si="80"/>
        <v>202407</v>
      </c>
      <c r="E148">
        <f t="shared" si="81"/>
        <v>3</v>
      </c>
      <c r="F148">
        <f t="shared" si="82"/>
        <v>202403</v>
      </c>
      <c r="G148" t="s">
        <v>281</v>
      </c>
      <c r="H148" s="2">
        <v>5.25</v>
      </c>
      <c r="I148" s="2">
        <v>5.2</v>
      </c>
      <c r="J148" s="3">
        <v>5.1031082999999997</v>
      </c>
      <c r="K148" s="3">
        <v>5.0352072999999997</v>
      </c>
      <c r="L148" s="3">
        <v>4.9632402999999998</v>
      </c>
      <c r="M148" s="3">
        <v>4.8806377000000003</v>
      </c>
      <c r="N148" s="3">
        <v>4.7906447999999999</v>
      </c>
      <c r="O148" s="3">
        <v>4.6995386999999997</v>
      </c>
      <c r="P148" s="3">
        <v>4.6110253999999999</v>
      </c>
      <c r="Q148" s="3">
        <v>4.5272345999999999</v>
      </c>
      <c r="R148" s="3">
        <v>4.4491731000000003</v>
      </c>
      <c r="S148" s="3">
        <v>4.3771108999999999</v>
      </c>
      <c r="T148" s="3">
        <v>4.3107161999999999</v>
      </c>
      <c r="U148" s="3">
        <v>4.2493043999999998</v>
      </c>
      <c r="V148" s="3">
        <v>4.1910360999999998</v>
      </c>
      <c r="W148" s="3">
        <v>4.1354389999999999</v>
      </c>
      <c r="X148" s="3">
        <v>4.0825836000000004</v>
      </c>
      <c r="Y148" s="3">
        <v>4.0325385000000002</v>
      </c>
      <c r="Z148" s="3">
        <v>3.9853725</v>
      </c>
      <c r="AA148" s="3">
        <v>3.9411559999999999</v>
      </c>
      <c r="AB148" s="3">
        <v>3.8999229</v>
      </c>
      <c r="AC148" s="3">
        <v>3.8615460000000001</v>
      </c>
      <c r="AD148" s="3">
        <v>3.8258527</v>
      </c>
      <c r="AE148" s="3">
        <v>3.7926690999999999</v>
      </c>
      <c r="AF148" s="3">
        <v>3.7618212999999998</v>
      </c>
      <c r="AG148" s="3">
        <v>3.7331365000000001</v>
      </c>
      <c r="AH148" s="3">
        <v>3.7064520000000001</v>
      </c>
      <c r="AI148" s="3">
        <v>3.6816542000000001</v>
      </c>
      <c r="AJ148" s="3">
        <v>3.6586438999999999</v>
      </c>
      <c r="AK148" s="3">
        <v>3.637321</v>
      </c>
      <c r="AL148" s="3">
        <v>3.6175856</v>
      </c>
      <c r="AM148" s="3">
        <v>3.5993384000000002</v>
      </c>
      <c r="AN148" s="3">
        <v>3.5824793000000001</v>
      </c>
      <c r="AO148" s="3">
        <v>3.5669084999999998</v>
      </c>
      <c r="AP148" s="3">
        <v>3.5525264000000001</v>
      </c>
      <c r="AQ148" s="3">
        <v>3.5392332999999998</v>
      </c>
      <c r="AR148" s="3">
        <v>3.5269290999999998</v>
      </c>
      <c r="AS148" s="3">
        <v>3.5155143999999998</v>
      </c>
      <c r="AT148" s="3">
        <v>3.5049032000000002</v>
      </c>
      <c r="AU148" s="3">
        <v>3.4950646999999999</v>
      </c>
      <c r="AV148" s="3">
        <v>3.4859825</v>
      </c>
      <c r="AW148" s="3">
        <v>3.4776395999999998</v>
      </c>
      <c r="AX148" s="3">
        <v>3.4700194</v>
      </c>
      <c r="AY148" s="3">
        <v>3.4631050999999999</v>
      </c>
      <c r="AZ148" s="3">
        <v>3.4568800999999998</v>
      </c>
      <c r="BA148" s="3">
        <v>3.4513273999999998</v>
      </c>
      <c r="BB148" s="3">
        <v>3.4464305999999998</v>
      </c>
      <c r="BC148" s="3">
        <v>3.4421727999999998</v>
      </c>
      <c r="BD148" s="3">
        <v>3.4385371</v>
      </c>
      <c r="BE148" s="3">
        <v>3.4355071000000001</v>
      </c>
      <c r="BF148" s="3">
        <v>3.4330661999999998</v>
      </c>
      <c r="BG148" s="3">
        <v>3.4311995999999998</v>
      </c>
      <c r="BH148" s="3">
        <v>3.4298929999999999</v>
      </c>
      <c r="BI148" s="3">
        <v>3.4291318999999998</v>
      </c>
      <c r="BJ148" s="3">
        <v>3.4289019000000001</v>
      </c>
      <c r="BK148" s="3">
        <v>3.4291887000000001</v>
      </c>
      <c r="BL148" s="3">
        <v>3.4299778000000001</v>
      </c>
      <c r="BM148" s="3">
        <v>3.4312548</v>
      </c>
      <c r="BN148" s="3">
        <v>3.4330053999999999</v>
      </c>
      <c r="BO148" s="3">
        <v>3.4352151000000002</v>
      </c>
      <c r="BP148" s="3">
        <v>3.4378696</v>
      </c>
      <c r="BQ148" s="3">
        <v>3.4409543999999999</v>
      </c>
      <c r="BR148" s="3">
        <v>3.4677552</v>
      </c>
      <c r="BS148" s="3">
        <v>3.5067910000000002</v>
      </c>
    </row>
    <row r="149" spans="1:71" x14ac:dyDescent="0.35">
      <c r="A149" s="6">
        <f t="shared" si="83"/>
        <v>45488</v>
      </c>
      <c r="B149">
        <f t="shared" si="78"/>
        <v>7</v>
      </c>
      <c r="C149">
        <f t="shared" si="79"/>
        <v>2024</v>
      </c>
      <c r="D149">
        <f t="shared" si="80"/>
        <v>202407</v>
      </c>
      <c r="E149">
        <f t="shared" si="81"/>
        <v>3</v>
      </c>
      <c r="F149">
        <f t="shared" si="82"/>
        <v>202403</v>
      </c>
      <c r="G149" t="s">
        <v>282</v>
      </c>
      <c r="H149" s="2">
        <v>5.25</v>
      </c>
      <c r="I149" s="2">
        <v>5.2</v>
      </c>
      <c r="J149" s="3">
        <v>5.0946078999999997</v>
      </c>
      <c r="K149" s="3">
        <v>5.0373513000000001</v>
      </c>
      <c r="L149" s="3">
        <v>4.9645256</v>
      </c>
      <c r="M149" s="3">
        <v>4.8771414999999996</v>
      </c>
      <c r="N149" s="3">
        <v>4.7822119000000001</v>
      </c>
      <c r="O149" s="3">
        <v>4.6868572000000004</v>
      </c>
      <c r="P149" s="3">
        <v>4.5953284999999999</v>
      </c>
      <c r="Q149" s="3">
        <v>4.5097901</v>
      </c>
      <c r="R149" s="3">
        <v>4.4319245</v>
      </c>
      <c r="S149" s="3">
        <v>4.3618367999999998</v>
      </c>
      <c r="T149" s="3">
        <v>4.2993782999999999</v>
      </c>
      <c r="U149" s="3">
        <v>4.2434911</v>
      </c>
      <c r="V149" s="3">
        <v>4.1920824999999997</v>
      </c>
      <c r="W149" s="3">
        <v>4.1442069999999998</v>
      </c>
      <c r="X149" s="3">
        <v>4.0992962000000004</v>
      </c>
      <c r="Y149" s="3">
        <v>4.0567798000000002</v>
      </c>
      <c r="Z149" s="3">
        <v>4.0160875999999996</v>
      </c>
      <c r="AA149" s="3">
        <v>3.9766511000000002</v>
      </c>
      <c r="AB149" s="3">
        <v>3.9380071999999999</v>
      </c>
      <c r="AC149" s="3">
        <v>3.9001904999999999</v>
      </c>
      <c r="AD149" s="3">
        <v>3.8633812999999999</v>
      </c>
      <c r="AE149" s="3">
        <v>3.8277583000000002</v>
      </c>
      <c r="AF149" s="3">
        <v>3.7935004000000001</v>
      </c>
      <c r="AG149" s="3">
        <v>3.7607876</v>
      </c>
      <c r="AH149" s="3">
        <v>3.7297620999999999</v>
      </c>
      <c r="AI149" s="3">
        <v>3.7004193999999999</v>
      </c>
      <c r="AJ149" s="3">
        <v>3.6727192</v>
      </c>
      <c r="AK149" s="3">
        <v>3.6466202999999999</v>
      </c>
      <c r="AL149" s="3">
        <v>3.6220816</v>
      </c>
      <c r="AM149" s="3">
        <v>3.5990627000000002</v>
      </c>
      <c r="AN149" s="3">
        <v>3.5775225000000002</v>
      </c>
      <c r="AO149" s="3">
        <v>3.5574199000000002</v>
      </c>
      <c r="AP149" s="3">
        <v>3.5387145000000002</v>
      </c>
      <c r="AQ149" s="3">
        <v>3.5213651000000001</v>
      </c>
      <c r="AR149" s="3">
        <v>3.5053306000000002</v>
      </c>
      <c r="AS149" s="3">
        <v>3.4905705999999999</v>
      </c>
      <c r="AT149" s="3">
        <v>3.4770441000000001</v>
      </c>
      <c r="AU149" s="3">
        <v>3.4647103000000001</v>
      </c>
      <c r="AV149" s="3">
        <v>3.4535290999999999</v>
      </c>
      <c r="AW149" s="3">
        <v>3.4434597</v>
      </c>
      <c r="AX149" s="3">
        <v>3.4344616000000001</v>
      </c>
      <c r="AY149" s="3">
        <v>3.4264944000000002</v>
      </c>
      <c r="AZ149" s="3">
        <v>3.4195175999999998</v>
      </c>
      <c r="BA149" s="3">
        <v>3.4134905999999998</v>
      </c>
      <c r="BB149" s="3">
        <v>3.4083730000000001</v>
      </c>
      <c r="BC149" s="3">
        <v>3.4041242</v>
      </c>
      <c r="BD149" s="3">
        <v>3.4007038000000001</v>
      </c>
      <c r="BE149" s="3">
        <v>3.3980712</v>
      </c>
      <c r="BF149" s="3">
        <v>3.3961879000000001</v>
      </c>
      <c r="BG149" s="3">
        <v>3.3950262000000002</v>
      </c>
      <c r="BH149" s="3">
        <v>3.3945620000000001</v>
      </c>
      <c r="BI149" s="3">
        <v>3.3947712000000001</v>
      </c>
      <c r="BJ149" s="3">
        <v>3.3956295999999999</v>
      </c>
      <c r="BK149" s="3">
        <v>3.3971133</v>
      </c>
      <c r="BL149" s="3">
        <v>3.3991980000000002</v>
      </c>
      <c r="BM149" s="3">
        <v>3.4018595999999999</v>
      </c>
      <c r="BN149" s="3">
        <v>3.4050741000000002</v>
      </c>
      <c r="BO149" s="3">
        <v>3.4088174000000002</v>
      </c>
      <c r="BP149" s="3">
        <v>3.4130653</v>
      </c>
      <c r="BQ149" s="3">
        <v>3.4177938000000001</v>
      </c>
      <c r="BR149" s="3">
        <v>3.4549829999999999</v>
      </c>
      <c r="BS149" s="3">
        <v>3.5038706999999998</v>
      </c>
    </row>
    <row r="150" spans="1:71" x14ac:dyDescent="0.35">
      <c r="A150" s="6">
        <f t="shared" si="83"/>
        <v>45489</v>
      </c>
      <c r="B150">
        <f t="shared" si="78"/>
        <v>7</v>
      </c>
      <c r="C150">
        <f t="shared" si="79"/>
        <v>2024</v>
      </c>
      <c r="D150">
        <f t="shared" si="80"/>
        <v>202407</v>
      </c>
      <c r="E150">
        <f t="shared" si="81"/>
        <v>3</v>
      </c>
      <c r="F150">
        <f t="shared" si="82"/>
        <v>202403</v>
      </c>
      <c r="G150" t="s">
        <v>283</v>
      </c>
      <c r="H150" s="2">
        <v>5.25</v>
      </c>
      <c r="I150" s="2">
        <v>5.2</v>
      </c>
      <c r="J150" s="3">
        <v>5.0913668000000003</v>
      </c>
      <c r="K150" s="3">
        <v>5.0388586999999996</v>
      </c>
      <c r="L150" s="3">
        <v>4.9656485000000004</v>
      </c>
      <c r="M150" s="3">
        <v>4.8757257000000003</v>
      </c>
      <c r="N150" s="3">
        <v>4.7770688999999997</v>
      </c>
      <c r="O150" s="3">
        <v>4.6770052</v>
      </c>
      <c r="P150" s="3">
        <v>4.5801524999999996</v>
      </c>
      <c r="Q150" s="3">
        <v>4.4894210000000001</v>
      </c>
      <c r="R150" s="3">
        <v>4.4069545000000003</v>
      </c>
      <c r="S150" s="3">
        <v>4.3330972000000001</v>
      </c>
      <c r="T150" s="3">
        <v>4.2676249000000004</v>
      </c>
      <c r="U150" s="3">
        <v>4.2092828000000004</v>
      </c>
      <c r="V150" s="3">
        <v>4.1555252999999999</v>
      </c>
      <c r="W150" s="3">
        <v>4.1053157999999996</v>
      </c>
      <c r="X150" s="3">
        <v>4.0581022999999998</v>
      </c>
      <c r="Y150" s="3">
        <v>4.0133308000000003</v>
      </c>
      <c r="Z150" s="3">
        <v>3.9704475000000001</v>
      </c>
      <c r="AA150" s="3">
        <v>3.9289002000000002</v>
      </c>
      <c r="AB150" s="3">
        <v>3.8882405000000002</v>
      </c>
      <c r="AC150" s="3">
        <v>3.8485102000000002</v>
      </c>
      <c r="AD150" s="3">
        <v>3.8098944000000001</v>
      </c>
      <c r="AE150" s="3">
        <v>3.7725765999999998</v>
      </c>
      <c r="AF150" s="3">
        <v>3.7367406000000001</v>
      </c>
      <c r="AG150" s="3">
        <v>3.7025714000000001</v>
      </c>
      <c r="AH150" s="3">
        <v>3.6702148000000001</v>
      </c>
      <c r="AI150" s="3">
        <v>3.6396655</v>
      </c>
      <c r="AJ150" s="3">
        <v>3.6108815999999999</v>
      </c>
      <c r="AK150" s="3">
        <v>3.5838198000000001</v>
      </c>
      <c r="AL150" s="3">
        <v>3.5584370000000001</v>
      </c>
      <c r="AM150" s="3">
        <v>3.5346913</v>
      </c>
      <c r="AN150" s="3">
        <v>3.5125392999999998</v>
      </c>
      <c r="AO150" s="3">
        <v>3.4919383000000002</v>
      </c>
      <c r="AP150" s="3">
        <v>3.4728458</v>
      </c>
      <c r="AQ150" s="3">
        <v>3.4552187999999999</v>
      </c>
      <c r="AR150" s="3">
        <v>3.4390144999999999</v>
      </c>
      <c r="AS150" s="3">
        <v>3.4241904000000001</v>
      </c>
      <c r="AT150" s="3">
        <v>3.4107018999999998</v>
      </c>
      <c r="AU150" s="3">
        <v>3.3984983</v>
      </c>
      <c r="AV150" s="3">
        <v>3.3875272999999999</v>
      </c>
      <c r="AW150" s="3">
        <v>3.3777365000000001</v>
      </c>
      <c r="AX150" s="3">
        <v>3.3690734999999998</v>
      </c>
      <c r="AY150" s="3">
        <v>3.3614861</v>
      </c>
      <c r="AZ150" s="3">
        <v>3.3549218999999999</v>
      </c>
      <c r="BA150" s="3">
        <v>3.3493284000000001</v>
      </c>
      <c r="BB150" s="3">
        <v>3.3446533999999999</v>
      </c>
      <c r="BC150" s="3">
        <v>3.3408445000000002</v>
      </c>
      <c r="BD150" s="3">
        <v>3.3378492999999998</v>
      </c>
      <c r="BE150" s="3">
        <v>3.3356154999999998</v>
      </c>
      <c r="BF150" s="3">
        <v>3.3340944000000001</v>
      </c>
      <c r="BG150" s="3">
        <v>3.3332546999999999</v>
      </c>
      <c r="BH150" s="3">
        <v>3.3330704999999998</v>
      </c>
      <c r="BI150" s="3">
        <v>3.3335159999999999</v>
      </c>
      <c r="BJ150" s="3">
        <v>3.3345652000000001</v>
      </c>
      <c r="BK150" s="3">
        <v>3.3361922000000002</v>
      </c>
      <c r="BL150" s="3">
        <v>3.3383712000000001</v>
      </c>
      <c r="BM150" s="3">
        <v>3.3410763000000001</v>
      </c>
      <c r="BN150" s="3">
        <v>3.3442815000000001</v>
      </c>
      <c r="BO150" s="3">
        <v>3.3479610000000002</v>
      </c>
      <c r="BP150" s="3">
        <v>3.3520889</v>
      </c>
      <c r="BQ150" s="3">
        <v>3.3566392999999999</v>
      </c>
      <c r="BR150" s="3">
        <v>3.3916751000000001</v>
      </c>
      <c r="BS150" s="3">
        <v>3.4372823000000001</v>
      </c>
    </row>
    <row r="151" spans="1:71" x14ac:dyDescent="0.35">
      <c r="A151" s="6">
        <f t="shared" si="83"/>
        <v>45490</v>
      </c>
      <c r="B151">
        <f t="shared" si="78"/>
        <v>7</v>
      </c>
      <c r="C151">
        <f t="shared" si="79"/>
        <v>2024</v>
      </c>
      <c r="D151">
        <f t="shared" si="80"/>
        <v>202407</v>
      </c>
      <c r="E151">
        <f t="shared" si="81"/>
        <v>3</v>
      </c>
      <c r="F151">
        <f t="shared" si="82"/>
        <v>202403</v>
      </c>
      <c r="G151" t="s">
        <v>284</v>
      </c>
      <c r="H151" s="2">
        <v>5.25</v>
      </c>
      <c r="I151" s="2">
        <v>5.2</v>
      </c>
      <c r="J151" s="3">
        <v>5.1141709999999998</v>
      </c>
      <c r="K151" s="3">
        <v>5.0628365999999998</v>
      </c>
      <c r="L151" s="3">
        <v>4.9891877999999998</v>
      </c>
      <c r="M151" s="3">
        <v>4.9001318999999999</v>
      </c>
      <c r="N151" s="3">
        <v>4.8037042000000003</v>
      </c>
      <c r="O151" s="3">
        <v>4.7062092</v>
      </c>
      <c r="P151" s="3">
        <v>4.6115038999999998</v>
      </c>
      <c r="Q151" s="3">
        <v>4.5222566000000004</v>
      </c>
      <c r="R151" s="3">
        <v>4.4404222000000004</v>
      </c>
      <c r="S151" s="3">
        <v>4.3667104999999999</v>
      </c>
      <c r="T151" s="3">
        <v>4.3008895000000003</v>
      </c>
      <c r="U151" s="3">
        <v>4.2421351999999999</v>
      </c>
      <c r="V151" s="3">
        <v>4.1881934999999997</v>
      </c>
      <c r="W151" s="3">
        <v>4.1380029</v>
      </c>
      <c r="X151" s="3">
        <v>4.0909233</v>
      </c>
      <c r="Y151" s="3">
        <v>4.0463129999999996</v>
      </c>
      <c r="Z151" s="3">
        <v>4.0035303999999998</v>
      </c>
      <c r="AA151" s="3">
        <v>3.9619352000000001</v>
      </c>
      <c r="AB151" s="3">
        <v>3.9209896999999998</v>
      </c>
      <c r="AC151" s="3">
        <v>3.8807450999999999</v>
      </c>
      <c r="AD151" s="3">
        <v>3.8414609999999998</v>
      </c>
      <c r="AE151" s="3">
        <v>3.8033958999999999</v>
      </c>
      <c r="AF151" s="3">
        <v>3.7668081999999998</v>
      </c>
      <c r="AG151" s="3">
        <v>3.7319578999999998</v>
      </c>
      <c r="AH151" s="3">
        <v>3.6990519000000002</v>
      </c>
      <c r="AI151" s="3">
        <v>3.6680917000000002</v>
      </c>
      <c r="AJ151" s="3">
        <v>3.6390286000000001</v>
      </c>
      <c r="AK151" s="3">
        <v>3.6118127000000002</v>
      </c>
      <c r="AL151" s="3">
        <v>3.5863939999999999</v>
      </c>
      <c r="AM151" s="3">
        <v>3.5627236999999998</v>
      </c>
      <c r="AN151" s="3">
        <v>3.5407519000000001</v>
      </c>
      <c r="AO151" s="3">
        <v>3.5204289000000002</v>
      </c>
      <c r="AP151" s="3">
        <v>3.5017054999999999</v>
      </c>
      <c r="AQ151" s="3">
        <v>3.4845320000000002</v>
      </c>
      <c r="AR151" s="3">
        <v>3.4688587000000002</v>
      </c>
      <c r="AS151" s="3">
        <v>3.4546364000000001</v>
      </c>
      <c r="AT151" s="3">
        <v>3.4418128000000001</v>
      </c>
      <c r="AU151" s="3">
        <v>3.4303238</v>
      </c>
      <c r="AV151" s="3">
        <v>3.4201019000000001</v>
      </c>
      <c r="AW151" s="3">
        <v>3.4110790999999998</v>
      </c>
      <c r="AX151" s="3">
        <v>3.4031875</v>
      </c>
      <c r="AY151" s="3">
        <v>3.3963597000000001</v>
      </c>
      <c r="AZ151" s="3">
        <v>3.3905276</v>
      </c>
      <c r="BA151" s="3">
        <v>3.3856234999999999</v>
      </c>
      <c r="BB151" s="3">
        <v>3.3815797999999999</v>
      </c>
      <c r="BC151" s="3">
        <v>3.3783284999999998</v>
      </c>
      <c r="BD151" s="3">
        <v>3.3758020000000002</v>
      </c>
      <c r="BE151" s="3">
        <v>3.3739322999999999</v>
      </c>
      <c r="BF151" s="3">
        <v>3.3726590999999999</v>
      </c>
      <c r="BG151" s="3">
        <v>3.3719532999999999</v>
      </c>
      <c r="BH151" s="3">
        <v>3.3717948999999998</v>
      </c>
      <c r="BI151" s="3">
        <v>3.3721638999999999</v>
      </c>
      <c r="BJ151" s="3">
        <v>3.37304</v>
      </c>
      <c r="BK151" s="3">
        <v>3.3744033</v>
      </c>
      <c r="BL151" s="3">
        <v>3.3762335000000001</v>
      </c>
      <c r="BM151" s="3">
        <v>3.3785107000000001</v>
      </c>
      <c r="BN151" s="3">
        <v>3.3812147000000001</v>
      </c>
      <c r="BO151" s="3">
        <v>3.3843253999999998</v>
      </c>
      <c r="BP151" s="3">
        <v>3.3878227000000001</v>
      </c>
      <c r="BQ151" s="3">
        <v>3.3916865</v>
      </c>
      <c r="BR151" s="3">
        <v>3.4217426</v>
      </c>
      <c r="BS151" s="3">
        <v>3.4617593000000002</v>
      </c>
    </row>
    <row r="152" spans="1:71" x14ac:dyDescent="0.35">
      <c r="A152" s="6">
        <f t="shared" si="83"/>
        <v>45491</v>
      </c>
      <c r="B152">
        <f t="shared" si="78"/>
        <v>7</v>
      </c>
      <c r="C152">
        <f t="shared" si="79"/>
        <v>2024</v>
      </c>
      <c r="D152">
        <f t="shared" si="80"/>
        <v>202407</v>
      </c>
      <c r="E152">
        <f t="shared" si="81"/>
        <v>3</v>
      </c>
      <c r="F152">
        <f t="shared" si="82"/>
        <v>202403</v>
      </c>
      <c r="G152" t="s">
        <v>285</v>
      </c>
      <c r="H152" s="2">
        <v>5.25</v>
      </c>
      <c r="I152" s="2">
        <v>5.2</v>
      </c>
      <c r="J152" s="3">
        <v>5.0895374000000002</v>
      </c>
      <c r="K152" s="3">
        <v>5.0419502999999999</v>
      </c>
      <c r="L152" s="3">
        <v>4.9692084000000003</v>
      </c>
      <c r="M152" s="3">
        <v>4.8797702000000003</v>
      </c>
      <c r="N152" s="3">
        <v>4.7830181999999999</v>
      </c>
      <c r="O152" s="3">
        <v>4.6851561000000004</v>
      </c>
      <c r="P152" s="3">
        <v>4.5891197999999997</v>
      </c>
      <c r="Q152" s="3">
        <v>4.4966068000000003</v>
      </c>
      <c r="R152" s="3">
        <v>4.4089631000000002</v>
      </c>
      <c r="S152" s="3">
        <v>4.3275356</v>
      </c>
      <c r="T152" s="3">
        <v>4.2528477000000002</v>
      </c>
      <c r="U152" s="3">
        <v>4.1851558000000004</v>
      </c>
      <c r="V152" s="3">
        <v>4.1241314999999998</v>
      </c>
      <c r="W152" s="3">
        <v>4.0689691000000003</v>
      </c>
      <c r="X152" s="3">
        <v>4.0187822000000004</v>
      </c>
      <c r="Y152" s="3">
        <v>3.9726823000000002</v>
      </c>
      <c r="Z152" s="3">
        <v>3.9297814999999998</v>
      </c>
      <c r="AA152" s="3">
        <v>3.8891928999999998</v>
      </c>
      <c r="AB152" s="3">
        <v>3.8501561999999998</v>
      </c>
      <c r="AC152" s="3">
        <v>3.8125651999999999</v>
      </c>
      <c r="AD152" s="3">
        <v>3.7765240000000002</v>
      </c>
      <c r="AE152" s="3">
        <v>3.7421356000000001</v>
      </c>
      <c r="AF152" s="3">
        <v>3.7095028999999999</v>
      </c>
      <c r="AG152" s="3">
        <v>3.6787301000000001</v>
      </c>
      <c r="AH152" s="3">
        <v>3.6498973000000001</v>
      </c>
      <c r="AI152" s="3">
        <v>3.6229729000000002</v>
      </c>
      <c r="AJ152" s="3">
        <v>3.5978924999999999</v>
      </c>
      <c r="AK152" s="3">
        <v>3.5745906000000001</v>
      </c>
      <c r="AL152" s="3">
        <v>3.5530018999999999</v>
      </c>
      <c r="AM152" s="3">
        <v>3.5330615999999999</v>
      </c>
      <c r="AN152" s="3">
        <v>3.5147043</v>
      </c>
      <c r="AO152" s="3">
        <v>3.4978647999999999</v>
      </c>
      <c r="AP152" s="3">
        <v>3.4824784000000002</v>
      </c>
      <c r="AQ152" s="3">
        <v>3.4684794999999999</v>
      </c>
      <c r="AR152" s="3">
        <v>3.455803</v>
      </c>
      <c r="AS152" s="3">
        <v>3.4443841000000002</v>
      </c>
      <c r="AT152" s="3">
        <v>3.4341583</v>
      </c>
      <c r="AU152" s="3">
        <v>3.4250657000000002</v>
      </c>
      <c r="AV152" s="3">
        <v>3.4170479</v>
      </c>
      <c r="AW152" s="3">
        <v>3.4100459999999999</v>
      </c>
      <c r="AX152" s="3">
        <v>3.4040012000000002</v>
      </c>
      <c r="AY152" s="3">
        <v>3.3988551</v>
      </c>
      <c r="AZ152" s="3">
        <v>3.3945487999999999</v>
      </c>
      <c r="BA152" s="3">
        <v>3.3910236</v>
      </c>
      <c r="BB152" s="3">
        <v>3.3882208999999999</v>
      </c>
      <c r="BC152" s="3">
        <v>3.386082</v>
      </c>
      <c r="BD152" s="3">
        <v>3.3845480999999999</v>
      </c>
      <c r="BE152" s="3">
        <v>3.3835606</v>
      </c>
      <c r="BF152" s="3">
        <v>3.3830678000000001</v>
      </c>
      <c r="BG152" s="3">
        <v>3.3830491</v>
      </c>
      <c r="BH152" s="3">
        <v>3.3834922999999999</v>
      </c>
      <c r="BI152" s="3">
        <v>3.3843854000000002</v>
      </c>
      <c r="BJ152" s="3">
        <v>3.3857162999999999</v>
      </c>
      <c r="BK152" s="3">
        <v>3.3874727999999998</v>
      </c>
      <c r="BL152" s="3">
        <v>3.3896429000000001</v>
      </c>
      <c r="BM152" s="3">
        <v>3.3922146</v>
      </c>
      <c r="BN152" s="3">
        <v>3.3951756</v>
      </c>
      <c r="BO152" s="3">
        <v>3.3985139000000002</v>
      </c>
      <c r="BP152" s="3">
        <v>3.4022174999999999</v>
      </c>
      <c r="BQ152" s="3">
        <v>3.4062741000000001</v>
      </c>
      <c r="BR152" s="3">
        <v>3.4373874999999998</v>
      </c>
      <c r="BS152" s="3">
        <v>3.4783799000000002</v>
      </c>
    </row>
    <row r="153" spans="1:71" x14ac:dyDescent="0.35">
      <c r="A153" s="6">
        <f t="shared" si="83"/>
        <v>45492</v>
      </c>
      <c r="B153">
        <f t="shared" si="78"/>
        <v>7</v>
      </c>
      <c r="C153">
        <f t="shared" si="79"/>
        <v>2024</v>
      </c>
      <c r="D153">
        <f t="shared" si="80"/>
        <v>202407</v>
      </c>
      <c r="E153">
        <f t="shared" si="81"/>
        <v>3</v>
      </c>
      <c r="F153">
        <f t="shared" si="82"/>
        <v>202403</v>
      </c>
      <c r="G153" t="s">
        <v>286</v>
      </c>
      <c r="H153" s="2">
        <v>5.25</v>
      </c>
      <c r="I153" s="2">
        <v>5.2</v>
      </c>
      <c r="J153" s="3">
        <v>5.0840553999999996</v>
      </c>
      <c r="K153" s="3">
        <v>5.0399791</v>
      </c>
      <c r="L153" s="3">
        <v>4.9709833000000003</v>
      </c>
      <c r="M153" s="3">
        <v>4.8852289999999998</v>
      </c>
      <c r="N153" s="3">
        <v>4.7926137999999998</v>
      </c>
      <c r="O153" s="3">
        <v>4.6995082999999997</v>
      </c>
      <c r="P153" s="3">
        <v>4.6090556999999999</v>
      </c>
      <c r="Q153" s="3">
        <v>4.5228412999999996</v>
      </c>
      <c r="R153" s="3">
        <v>4.4417489000000003</v>
      </c>
      <c r="S153" s="3">
        <v>4.3664962999999997</v>
      </c>
      <c r="T153" s="3">
        <v>4.2971643999999998</v>
      </c>
      <c r="U153" s="3">
        <v>4.2334139999999998</v>
      </c>
      <c r="V153" s="3">
        <v>4.1741448999999999</v>
      </c>
      <c r="W153" s="3">
        <v>4.1187528999999996</v>
      </c>
      <c r="X153" s="3">
        <v>4.0668604999999998</v>
      </c>
      <c r="Y153" s="3">
        <v>4.0180885000000002</v>
      </c>
      <c r="Z153" s="3">
        <v>3.9720574000000002</v>
      </c>
      <c r="AA153" s="3">
        <v>3.9283896</v>
      </c>
      <c r="AB153" s="3">
        <v>3.8867752000000002</v>
      </c>
      <c r="AC153" s="3">
        <v>3.8472265999999999</v>
      </c>
      <c r="AD153" s="3">
        <v>3.8098508999999998</v>
      </c>
      <c r="AE153" s="3">
        <v>3.7747538</v>
      </c>
      <c r="AF153" s="3">
        <v>3.742041</v>
      </c>
      <c r="AG153" s="3">
        <v>3.7118194</v>
      </c>
      <c r="AH153" s="3">
        <v>3.6841567</v>
      </c>
      <c r="AI153" s="3">
        <v>3.6589515000000001</v>
      </c>
      <c r="AJ153" s="3">
        <v>3.6360570000000001</v>
      </c>
      <c r="AK153" s="3">
        <v>3.6153254000000001</v>
      </c>
      <c r="AL153" s="3">
        <v>3.5966090999999998</v>
      </c>
      <c r="AM153" s="3">
        <v>3.5797609000000001</v>
      </c>
      <c r="AN153" s="3">
        <v>3.5646331</v>
      </c>
      <c r="AO153" s="3">
        <v>3.5510780999999998</v>
      </c>
      <c r="AP153" s="3">
        <v>3.5389487000000002</v>
      </c>
      <c r="AQ153" s="3">
        <v>3.5280973000000002</v>
      </c>
      <c r="AR153" s="3">
        <v>3.5183762999999999</v>
      </c>
      <c r="AS153" s="3">
        <v>3.5096384</v>
      </c>
      <c r="AT153" s="3">
        <v>3.5017537999999999</v>
      </c>
      <c r="AU153" s="3">
        <v>3.4946641000000001</v>
      </c>
      <c r="AV153" s="3">
        <v>3.4883289</v>
      </c>
      <c r="AW153" s="3">
        <v>3.4827075000000001</v>
      </c>
      <c r="AX153" s="3">
        <v>3.4777594000000001</v>
      </c>
      <c r="AY153" s="3">
        <v>3.4734440000000002</v>
      </c>
      <c r="AZ153" s="3">
        <v>3.4697208000000002</v>
      </c>
      <c r="BA153" s="3">
        <v>3.4665492000000002</v>
      </c>
      <c r="BB153" s="3">
        <v>3.4638887</v>
      </c>
      <c r="BC153" s="3">
        <v>3.4616986000000001</v>
      </c>
      <c r="BD153" s="3">
        <v>3.4599386000000001</v>
      </c>
      <c r="BE153" s="3">
        <v>3.4585678999999998</v>
      </c>
      <c r="BF153" s="3">
        <v>3.4575526000000001</v>
      </c>
      <c r="BG153" s="3">
        <v>3.4568875999999999</v>
      </c>
      <c r="BH153" s="3">
        <v>3.4565760000000001</v>
      </c>
      <c r="BI153" s="3">
        <v>3.4566205000000001</v>
      </c>
      <c r="BJ153" s="3">
        <v>3.4570242000000002</v>
      </c>
      <c r="BK153" s="3">
        <v>3.4577898999999999</v>
      </c>
      <c r="BL153" s="3">
        <v>3.4589207000000002</v>
      </c>
      <c r="BM153" s="3">
        <v>3.4604194000000001</v>
      </c>
      <c r="BN153" s="3">
        <v>3.4622890000000002</v>
      </c>
      <c r="BO153" s="3">
        <v>3.4645324</v>
      </c>
      <c r="BP153" s="3">
        <v>3.4671525999999999</v>
      </c>
      <c r="BQ153" s="3">
        <v>3.4701523999999999</v>
      </c>
      <c r="BR153" s="3">
        <v>3.4958406000000002</v>
      </c>
      <c r="BS153" s="3">
        <v>3.5332165</v>
      </c>
    </row>
    <row r="154" spans="1:71" x14ac:dyDescent="0.35">
      <c r="A154" s="6">
        <f t="shared" si="83"/>
        <v>45495</v>
      </c>
      <c r="B154">
        <f t="shared" si="78"/>
        <v>7</v>
      </c>
      <c r="C154">
        <f t="shared" si="79"/>
        <v>2024</v>
      </c>
      <c r="D154">
        <f t="shared" si="80"/>
        <v>202407</v>
      </c>
      <c r="E154">
        <f t="shared" si="81"/>
        <v>3</v>
      </c>
      <c r="F154">
        <f t="shared" si="82"/>
        <v>202403</v>
      </c>
      <c r="G154" t="s">
        <v>287</v>
      </c>
      <c r="H154" s="2">
        <v>5.25</v>
      </c>
      <c r="I154" s="2">
        <v>5.2</v>
      </c>
      <c r="J154" s="3">
        <v>5.0981736</v>
      </c>
      <c r="K154" s="3">
        <v>5.0525574000000004</v>
      </c>
      <c r="L154" s="3">
        <v>4.9866557</v>
      </c>
      <c r="M154" s="3">
        <v>4.9069105999999998</v>
      </c>
      <c r="N154" s="3">
        <v>4.8212351</v>
      </c>
      <c r="O154" s="3">
        <v>4.7344873999999999</v>
      </c>
      <c r="P154" s="3">
        <v>4.6498897000000001</v>
      </c>
      <c r="Q154" s="3">
        <v>4.5696813000000001</v>
      </c>
      <c r="R154" s="3">
        <v>4.4956427999999997</v>
      </c>
      <c r="S154" s="3">
        <v>4.4282447999999999</v>
      </c>
      <c r="T154" s="3">
        <v>4.3676342000000004</v>
      </c>
      <c r="U154" s="3">
        <v>4.3129939000000004</v>
      </c>
      <c r="V154" s="3">
        <v>4.2625419000000004</v>
      </c>
      <c r="W154" s="3">
        <v>4.2154197</v>
      </c>
      <c r="X154" s="3">
        <v>4.1710788000000001</v>
      </c>
      <c r="Y154" s="3">
        <v>4.1289690999999999</v>
      </c>
      <c r="Z154" s="3">
        <v>4.0885404000000003</v>
      </c>
      <c r="AA154" s="3">
        <v>4.0492441000000001</v>
      </c>
      <c r="AB154" s="3">
        <v>4.0106386000000001</v>
      </c>
      <c r="AC154" s="3">
        <v>3.9727855999999999</v>
      </c>
      <c r="AD154" s="3">
        <v>3.9358938999999999</v>
      </c>
      <c r="AE154" s="3">
        <v>3.9001709999999998</v>
      </c>
      <c r="AF154" s="3">
        <v>3.8658242</v>
      </c>
      <c r="AG154" s="3">
        <v>3.8330625</v>
      </c>
      <c r="AH154" s="3">
        <v>3.8020501000000002</v>
      </c>
      <c r="AI154" s="3">
        <v>3.7727794000000001</v>
      </c>
      <c r="AJ154" s="3">
        <v>3.7452005000000002</v>
      </c>
      <c r="AK154" s="3">
        <v>3.7192625000000001</v>
      </c>
      <c r="AL154" s="3">
        <v>3.6949147</v>
      </c>
      <c r="AM154" s="3">
        <v>3.6721070999999998</v>
      </c>
      <c r="AN154" s="3">
        <v>3.6507887999999999</v>
      </c>
      <c r="AO154" s="3">
        <v>3.6309092000000001</v>
      </c>
      <c r="AP154" s="3">
        <v>3.6124182</v>
      </c>
      <c r="AQ154" s="3">
        <v>3.5952651000000002</v>
      </c>
      <c r="AR154" s="3">
        <v>3.5793990999999998</v>
      </c>
      <c r="AS154" s="3">
        <v>3.5647701000000001</v>
      </c>
      <c r="AT154" s="3">
        <v>3.5513294000000002</v>
      </c>
      <c r="AU154" s="3">
        <v>3.5390364000000001</v>
      </c>
      <c r="AV154" s="3">
        <v>3.5278526000000001</v>
      </c>
      <c r="AW154" s="3">
        <v>3.5177394999999998</v>
      </c>
      <c r="AX154" s="3">
        <v>3.5086583</v>
      </c>
      <c r="AY154" s="3">
        <v>3.5005706000000001</v>
      </c>
      <c r="AZ154" s="3">
        <v>3.4934379</v>
      </c>
      <c r="BA154" s="3">
        <v>3.4872215</v>
      </c>
      <c r="BB154" s="3">
        <v>3.4818829</v>
      </c>
      <c r="BC154" s="3">
        <v>3.4773836</v>
      </c>
      <c r="BD154" s="3">
        <v>3.4736848</v>
      </c>
      <c r="BE154" s="3">
        <v>3.4707482000000001</v>
      </c>
      <c r="BF154" s="3">
        <v>3.4685370999999998</v>
      </c>
      <c r="BG154" s="3">
        <v>3.4670264</v>
      </c>
      <c r="BH154" s="3">
        <v>3.4661944</v>
      </c>
      <c r="BI154" s="3">
        <v>3.4660194999999998</v>
      </c>
      <c r="BJ154" s="3">
        <v>3.4664803000000002</v>
      </c>
      <c r="BK154" s="3">
        <v>3.4675552000000001</v>
      </c>
      <c r="BL154" s="3">
        <v>3.4692227</v>
      </c>
      <c r="BM154" s="3">
        <v>3.4714611</v>
      </c>
      <c r="BN154" s="3">
        <v>3.4742489000000001</v>
      </c>
      <c r="BO154" s="3">
        <v>3.4775646999999998</v>
      </c>
      <c r="BP154" s="3">
        <v>3.4813868000000001</v>
      </c>
      <c r="BQ154" s="3">
        <v>3.4856935999999998</v>
      </c>
      <c r="BR154" s="3">
        <v>3.5204806999999998</v>
      </c>
      <c r="BS154" s="3">
        <v>3.5671187</v>
      </c>
    </row>
    <row r="155" spans="1:71" x14ac:dyDescent="0.35">
      <c r="A155" s="6">
        <f t="shared" si="83"/>
        <v>45496</v>
      </c>
      <c r="B155">
        <f t="shared" si="78"/>
        <v>7</v>
      </c>
      <c r="C155">
        <f t="shared" si="79"/>
        <v>2024</v>
      </c>
      <c r="D155">
        <f t="shared" si="80"/>
        <v>202407</v>
      </c>
      <c r="E155">
        <f t="shared" si="81"/>
        <v>3</v>
      </c>
      <c r="F155">
        <f t="shared" si="82"/>
        <v>202403</v>
      </c>
      <c r="G155" t="s">
        <v>288</v>
      </c>
      <c r="H155" s="2">
        <v>5.25</v>
      </c>
      <c r="I155" s="2">
        <v>5.2</v>
      </c>
      <c r="J155" s="3">
        <v>5.0951360000000001</v>
      </c>
      <c r="K155" s="3">
        <v>5.0391402999999997</v>
      </c>
      <c r="L155" s="3">
        <v>4.9642628999999996</v>
      </c>
      <c r="M155" s="3">
        <v>4.8786554000000004</v>
      </c>
      <c r="N155" s="3">
        <v>4.7895171000000003</v>
      </c>
      <c r="O155" s="3">
        <v>4.7007759</v>
      </c>
      <c r="P155" s="3">
        <v>4.6147514000000003</v>
      </c>
      <c r="Q155" s="3">
        <v>4.5331793999999999</v>
      </c>
      <c r="R155" s="3">
        <v>4.4576399000000002</v>
      </c>
      <c r="S155" s="3">
        <v>4.3887172000000003</v>
      </c>
      <c r="T155" s="3">
        <v>4.3266147000000004</v>
      </c>
      <c r="U155" s="3">
        <v>4.2706227999999999</v>
      </c>
      <c r="V155" s="3">
        <v>4.2191159999999996</v>
      </c>
      <c r="W155" s="3">
        <v>4.1712553000000003</v>
      </c>
      <c r="X155" s="3">
        <v>4.1264656000000004</v>
      </c>
      <c r="Y155" s="3">
        <v>4.0841703999999996</v>
      </c>
      <c r="Z155" s="3">
        <v>4.0437931000000003</v>
      </c>
      <c r="AA155" s="3">
        <v>4.0047585999999997</v>
      </c>
      <c r="AB155" s="3">
        <v>3.9665941999999998</v>
      </c>
      <c r="AC155" s="3">
        <v>3.9293084999999999</v>
      </c>
      <c r="AD155" s="3">
        <v>3.8930506999999999</v>
      </c>
      <c r="AE155" s="3">
        <v>3.8579688999999999</v>
      </c>
      <c r="AF155" s="3">
        <v>3.8242112000000001</v>
      </c>
      <c r="AG155" s="3">
        <v>3.7919269999999998</v>
      </c>
      <c r="AH155" s="3">
        <v>3.7612345999999999</v>
      </c>
      <c r="AI155" s="3">
        <v>3.7321344999999999</v>
      </c>
      <c r="AJ155" s="3">
        <v>3.7045984999999999</v>
      </c>
      <c r="AK155" s="3">
        <v>3.6785975</v>
      </c>
      <c r="AL155" s="3">
        <v>3.6541022000000001</v>
      </c>
      <c r="AM155" s="3">
        <v>3.6310845</v>
      </c>
      <c r="AN155" s="3">
        <v>3.6095153</v>
      </c>
      <c r="AO155" s="3">
        <v>3.5893652999999999</v>
      </c>
      <c r="AP155" s="3">
        <v>3.5706064</v>
      </c>
      <c r="AQ155" s="3">
        <v>3.5532092999999998</v>
      </c>
      <c r="AR155" s="3">
        <v>3.5371450000000002</v>
      </c>
      <c r="AS155" s="3">
        <v>3.5223852</v>
      </c>
      <c r="AT155" s="3">
        <v>3.5088974999999998</v>
      </c>
      <c r="AU155" s="3">
        <v>3.4966363999999999</v>
      </c>
      <c r="AV155" s="3">
        <v>3.4855537000000001</v>
      </c>
      <c r="AW155" s="3">
        <v>3.4756007000000002</v>
      </c>
      <c r="AX155" s="3">
        <v>3.4667287</v>
      </c>
      <c r="AY155" s="3">
        <v>3.4588895000000002</v>
      </c>
      <c r="AZ155" s="3">
        <v>3.4520343000000002</v>
      </c>
      <c r="BA155" s="3">
        <v>3.4461145000000002</v>
      </c>
      <c r="BB155" s="3">
        <v>3.4410816999999998</v>
      </c>
      <c r="BC155" s="3">
        <v>3.4368872000000001</v>
      </c>
      <c r="BD155" s="3">
        <v>3.4334826000000001</v>
      </c>
      <c r="BE155" s="3">
        <v>3.4308193</v>
      </c>
      <c r="BF155" s="3">
        <v>3.428852</v>
      </c>
      <c r="BG155" s="3">
        <v>3.4275517</v>
      </c>
      <c r="BH155" s="3">
        <v>3.4268942999999998</v>
      </c>
      <c r="BI155" s="3">
        <v>3.4268556999999999</v>
      </c>
      <c r="BJ155" s="3">
        <v>3.4274117999999998</v>
      </c>
      <c r="BK155" s="3">
        <v>3.4285383999999999</v>
      </c>
      <c r="BL155" s="3">
        <v>3.4302114000000001</v>
      </c>
      <c r="BM155" s="3">
        <v>3.4324067999999999</v>
      </c>
      <c r="BN155" s="3">
        <v>3.4351003000000002</v>
      </c>
      <c r="BO155" s="3">
        <v>3.4382679999999999</v>
      </c>
      <c r="BP155" s="3">
        <v>3.4418856999999998</v>
      </c>
      <c r="BQ155" s="3">
        <v>3.4459292000000001</v>
      </c>
      <c r="BR155" s="3">
        <v>3.4780464000000002</v>
      </c>
      <c r="BS155" s="3">
        <v>3.5210135</v>
      </c>
    </row>
    <row r="156" spans="1:71" x14ac:dyDescent="0.35">
      <c r="A156" s="6">
        <f t="shared" si="83"/>
        <v>45497</v>
      </c>
      <c r="B156">
        <f t="shared" si="78"/>
        <v>7</v>
      </c>
      <c r="C156">
        <f t="shared" si="79"/>
        <v>2024</v>
      </c>
      <c r="D156">
        <f t="shared" si="80"/>
        <v>202407</v>
      </c>
      <c r="E156">
        <f t="shared" si="81"/>
        <v>3</v>
      </c>
      <c r="F156">
        <f t="shared" si="82"/>
        <v>202403</v>
      </c>
      <c r="G156" t="s">
        <v>289</v>
      </c>
      <c r="H156" s="2">
        <v>5.25</v>
      </c>
      <c r="I156" s="2">
        <v>5.2</v>
      </c>
      <c r="J156" s="3">
        <v>5.0852900999999999</v>
      </c>
      <c r="K156" s="3">
        <v>5.0257715000000003</v>
      </c>
      <c r="L156" s="3">
        <v>4.9482910999999996</v>
      </c>
      <c r="M156" s="3">
        <v>4.8596380999999997</v>
      </c>
      <c r="N156" s="3">
        <v>4.7671878000000003</v>
      </c>
      <c r="O156" s="3">
        <v>4.6751506999999997</v>
      </c>
      <c r="P156" s="3">
        <v>4.5860564999999998</v>
      </c>
      <c r="Q156" s="3">
        <v>4.5019309999999999</v>
      </c>
      <c r="R156" s="3">
        <v>4.4243610000000002</v>
      </c>
      <c r="S156" s="3">
        <v>4.3541562000000003</v>
      </c>
      <c r="T156" s="3">
        <v>4.2912432999999996</v>
      </c>
      <c r="U156" s="3">
        <v>4.2350801000000002</v>
      </c>
      <c r="V156" s="3">
        <v>4.1838109000000001</v>
      </c>
      <c r="W156" s="3">
        <v>4.1364627</v>
      </c>
      <c r="X156" s="3">
        <v>4.0923948000000001</v>
      </c>
      <c r="Y156" s="3">
        <v>4.0509649000000003</v>
      </c>
      <c r="Z156" s="3">
        <v>4.0115308000000001</v>
      </c>
      <c r="AA156" s="3">
        <v>3.9734517999999999</v>
      </c>
      <c r="AB156" s="3">
        <v>3.9361845999999998</v>
      </c>
      <c r="AC156" s="3">
        <v>3.8997465999999998</v>
      </c>
      <c r="AD156" s="3">
        <v>3.8643537000000001</v>
      </c>
      <c r="AE156" s="3">
        <v>3.8302204999999998</v>
      </c>
      <c r="AF156" s="3">
        <v>3.7975618</v>
      </c>
      <c r="AG156" s="3">
        <v>3.7665937</v>
      </c>
      <c r="AH156" s="3">
        <v>3.7374866</v>
      </c>
      <c r="AI156" s="3">
        <v>3.7102344999999999</v>
      </c>
      <c r="AJ156" s="3">
        <v>3.6847880000000002</v>
      </c>
      <c r="AK156" s="3">
        <v>3.6610968000000002</v>
      </c>
      <c r="AL156" s="3">
        <v>3.6391108000000001</v>
      </c>
      <c r="AM156" s="3">
        <v>3.6187805000000002</v>
      </c>
      <c r="AN156" s="3">
        <v>3.6000554999999999</v>
      </c>
      <c r="AO156" s="3">
        <v>3.5828858000000001</v>
      </c>
      <c r="AP156" s="3">
        <v>3.5672218999999998</v>
      </c>
      <c r="AQ156" s="3">
        <v>3.5530134000000002</v>
      </c>
      <c r="AR156" s="3">
        <v>3.5402103</v>
      </c>
      <c r="AS156" s="3">
        <v>3.5287628999999998</v>
      </c>
      <c r="AT156" s="3">
        <v>3.5186191</v>
      </c>
      <c r="AU156" s="3">
        <v>3.5097168000000001</v>
      </c>
      <c r="AV156" s="3">
        <v>3.5019914000000001</v>
      </c>
      <c r="AW156" s="3">
        <v>3.4953777000000001</v>
      </c>
      <c r="AX156" s="3">
        <v>3.4898109000000002</v>
      </c>
      <c r="AY156" s="3">
        <v>3.4852259999999999</v>
      </c>
      <c r="AZ156" s="3">
        <v>3.4815581999999998</v>
      </c>
      <c r="BA156" s="3">
        <v>3.4787423999999998</v>
      </c>
      <c r="BB156" s="3">
        <v>3.4767138000000002</v>
      </c>
      <c r="BC156" s="3">
        <v>3.4754075000000002</v>
      </c>
      <c r="BD156" s="3">
        <v>3.4747585000000001</v>
      </c>
      <c r="BE156" s="3">
        <v>3.4747018000000001</v>
      </c>
      <c r="BF156" s="3">
        <v>3.4751794999999999</v>
      </c>
      <c r="BG156" s="3">
        <v>3.4761639</v>
      </c>
      <c r="BH156" s="3">
        <v>3.4776354999999999</v>
      </c>
      <c r="BI156" s="3">
        <v>3.4795753</v>
      </c>
      <c r="BJ156" s="3">
        <v>3.4819637999999999</v>
      </c>
      <c r="BK156" s="3">
        <v>3.4847817000000001</v>
      </c>
      <c r="BL156" s="3">
        <v>3.4880097000000001</v>
      </c>
      <c r="BM156" s="3">
        <v>3.4916285999999999</v>
      </c>
      <c r="BN156" s="3">
        <v>3.495619</v>
      </c>
      <c r="BO156" s="3">
        <v>3.4999615999999998</v>
      </c>
      <c r="BP156" s="3">
        <v>3.5046371999999999</v>
      </c>
      <c r="BQ156" s="3">
        <v>3.5096264000000001</v>
      </c>
      <c r="BR156" s="3">
        <v>3.5453804</v>
      </c>
      <c r="BS156" s="3">
        <v>3.5894658000000002</v>
      </c>
    </row>
    <row r="157" spans="1:71" x14ac:dyDescent="0.35">
      <c r="A157" s="6">
        <f t="shared" si="83"/>
        <v>45498</v>
      </c>
      <c r="B157">
        <f t="shared" si="78"/>
        <v>7</v>
      </c>
      <c r="C157">
        <f t="shared" si="79"/>
        <v>2024</v>
      </c>
      <c r="D157">
        <f t="shared" si="80"/>
        <v>202407</v>
      </c>
      <c r="E157">
        <f t="shared" si="81"/>
        <v>3</v>
      </c>
      <c r="F157">
        <f t="shared" si="82"/>
        <v>202403</v>
      </c>
      <c r="G157" t="s">
        <v>290</v>
      </c>
      <c r="H157" s="2">
        <v>5.25</v>
      </c>
      <c r="I157" s="2">
        <v>5.2</v>
      </c>
      <c r="J157" s="3">
        <v>5.0689660999999999</v>
      </c>
      <c r="K157" s="3">
        <v>5.0079580999999997</v>
      </c>
      <c r="L157" s="3">
        <v>4.9291099000000003</v>
      </c>
      <c r="M157" s="3">
        <v>4.8394120000000003</v>
      </c>
      <c r="N157" s="3">
        <v>4.7458805000000002</v>
      </c>
      <c r="O157" s="3">
        <v>4.6521197000000001</v>
      </c>
      <c r="P157" s="3">
        <v>4.5602238000000002</v>
      </c>
      <c r="Q157" s="3">
        <v>4.4721798000000001</v>
      </c>
      <c r="R157" s="3">
        <v>4.3896138000000002</v>
      </c>
      <c r="S157" s="3">
        <v>4.3135431999999998</v>
      </c>
      <c r="T157" s="3">
        <v>4.2444689000000002</v>
      </c>
      <c r="U157" s="3">
        <v>4.182455</v>
      </c>
      <c r="V157" s="3">
        <v>4.1269410000000004</v>
      </c>
      <c r="W157" s="3">
        <v>4.0770783000000002</v>
      </c>
      <c r="X157" s="3">
        <v>4.0319821999999998</v>
      </c>
      <c r="Y157" s="3">
        <v>3.9907663000000002</v>
      </c>
      <c r="Z157" s="3">
        <v>3.9525446</v>
      </c>
      <c r="AA157" s="3">
        <v>3.9164322</v>
      </c>
      <c r="AB157" s="3">
        <v>3.8816673000000002</v>
      </c>
      <c r="AC157" s="3">
        <v>3.8481257000000002</v>
      </c>
      <c r="AD157" s="3">
        <v>3.8158884</v>
      </c>
      <c r="AE157" s="3">
        <v>3.7850348</v>
      </c>
      <c r="AF157" s="3">
        <v>3.7556446999999999</v>
      </c>
      <c r="AG157" s="3">
        <v>3.7277988</v>
      </c>
      <c r="AH157" s="3">
        <v>3.7015606000000001</v>
      </c>
      <c r="AI157" s="3">
        <v>3.676914</v>
      </c>
      <c r="AJ157" s="3">
        <v>3.6538198999999998</v>
      </c>
      <c r="AK157" s="3">
        <v>3.6322380999999999</v>
      </c>
      <c r="AL157" s="3">
        <v>3.6121287</v>
      </c>
      <c r="AM157" s="3">
        <v>3.5934523</v>
      </c>
      <c r="AN157" s="3">
        <v>3.5761690000000002</v>
      </c>
      <c r="AO157" s="3">
        <v>3.5602385999999999</v>
      </c>
      <c r="AP157" s="3">
        <v>3.5456218000000002</v>
      </c>
      <c r="AQ157" s="3">
        <v>3.5322784999999999</v>
      </c>
      <c r="AR157" s="3">
        <v>3.5201690000000001</v>
      </c>
      <c r="AS157" s="3">
        <v>3.5092534999999998</v>
      </c>
      <c r="AT157" s="3">
        <v>3.4994903000000002</v>
      </c>
      <c r="AU157" s="3">
        <v>3.4908286999999998</v>
      </c>
      <c r="AV157" s="3">
        <v>3.4832158</v>
      </c>
      <c r="AW157" s="3">
        <v>3.4765986999999998</v>
      </c>
      <c r="AX157" s="3">
        <v>3.4709243000000001</v>
      </c>
      <c r="AY157" s="3">
        <v>3.4661396999999998</v>
      </c>
      <c r="AZ157" s="3">
        <v>3.4621919999999999</v>
      </c>
      <c r="BA157" s="3">
        <v>3.4590280999999998</v>
      </c>
      <c r="BB157" s="3">
        <v>3.4565950999999999</v>
      </c>
      <c r="BC157" s="3">
        <v>3.4548401000000002</v>
      </c>
      <c r="BD157" s="3">
        <v>3.4537100000000001</v>
      </c>
      <c r="BE157" s="3">
        <v>3.4531518999999999</v>
      </c>
      <c r="BF157" s="3">
        <v>3.4531187000000001</v>
      </c>
      <c r="BG157" s="3">
        <v>3.4535884000000001</v>
      </c>
      <c r="BH157" s="3">
        <v>3.4545463999999999</v>
      </c>
      <c r="BI157" s="3">
        <v>3.4559779000000002</v>
      </c>
      <c r="BJ157" s="3">
        <v>3.4578680999999998</v>
      </c>
      <c r="BK157" s="3">
        <v>3.4602024</v>
      </c>
      <c r="BL157" s="3">
        <v>3.4629658000000001</v>
      </c>
      <c r="BM157" s="3">
        <v>3.4661436999999999</v>
      </c>
      <c r="BN157" s="3">
        <v>3.4697212999999998</v>
      </c>
      <c r="BO157" s="3">
        <v>3.4736839000000002</v>
      </c>
      <c r="BP157" s="3">
        <v>3.4780167</v>
      </c>
      <c r="BQ157" s="3">
        <v>3.4827048</v>
      </c>
      <c r="BR157" s="3">
        <v>3.5175762000000002</v>
      </c>
      <c r="BS157" s="3">
        <v>3.5621589999999999</v>
      </c>
    </row>
    <row r="158" spans="1:71" x14ac:dyDescent="0.35">
      <c r="A158" s="6">
        <f t="shared" si="83"/>
        <v>45499</v>
      </c>
      <c r="B158">
        <f t="shared" si="78"/>
        <v>7</v>
      </c>
      <c r="C158">
        <f t="shared" si="79"/>
        <v>2024</v>
      </c>
      <c r="D158">
        <f t="shared" si="80"/>
        <v>202407</v>
      </c>
      <c r="E158">
        <f t="shared" si="81"/>
        <v>3</v>
      </c>
      <c r="F158">
        <f t="shared" si="82"/>
        <v>202403</v>
      </c>
      <c r="G158" t="s">
        <v>291</v>
      </c>
      <c r="H158" s="2">
        <v>5.25</v>
      </c>
      <c r="I158" s="2">
        <v>5.2</v>
      </c>
      <c r="J158" s="3">
        <v>5.0535648999999996</v>
      </c>
      <c r="K158" s="3">
        <v>4.9945594</v>
      </c>
      <c r="L158" s="3">
        <v>4.9153425000000004</v>
      </c>
      <c r="M158" s="3">
        <v>4.8232967999999996</v>
      </c>
      <c r="N158" s="3">
        <v>4.7269703999999999</v>
      </c>
      <c r="O158" s="3">
        <v>4.6308381000000001</v>
      </c>
      <c r="P158" s="3">
        <v>4.5374208999999999</v>
      </c>
      <c r="Q158" s="3">
        <v>4.4487731999999998</v>
      </c>
      <c r="R158" s="3">
        <v>4.3662561000000002</v>
      </c>
      <c r="S158" s="3">
        <v>4.2907276999999997</v>
      </c>
      <c r="T158" s="3">
        <v>4.2221865000000003</v>
      </c>
      <c r="U158" s="3">
        <v>4.1601989000000001</v>
      </c>
      <c r="V158" s="3">
        <v>4.1035007999999999</v>
      </c>
      <c r="W158" s="3">
        <v>4.0513526000000004</v>
      </c>
      <c r="X158" s="3">
        <v>4.0032566999999997</v>
      </c>
      <c r="Y158" s="3">
        <v>3.9587137999999999</v>
      </c>
      <c r="Z158" s="3">
        <v>3.9172243999999998</v>
      </c>
      <c r="AA158" s="3">
        <v>3.8782909000000001</v>
      </c>
      <c r="AB158" s="3">
        <v>3.8414807999999998</v>
      </c>
      <c r="AC158" s="3">
        <v>3.8066715000000002</v>
      </c>
      <c r="AD158" s="3">
        <v>3.7738317000000001</v>
      </c>
      <c r="AE158" s="3">
        <v>3.7429285999999999</v>
      </c>
      <c r="AF158" s="3">
        <v>3.7139297</v>
      </c>
      <c r="AG158" s="3">
        <v>3.6868034000000001</v>
      </c>
      <c r="AH158" s="3">
        <v>3.6615106000000002</v>
      </c>
      <c r="AI158" s="3">
        <v>3.6379845999999998</v>
      </c>
      <c r="AJ158" s="3">
        <v>3.6161515</v>
      </c>
      <c r="AK158" s="3">
        <v>3.5959368</v>
      </c>
      <c r="AL158" s="3">
        <v>3.5772659</v>
      </c>
      <c r="AM158" s="3">
        <v>3.5600649999999998</v>
      </c>
      <c r="AN158" s="3">
        <v>3.5442594000000001</v>
      </c>
      <c r="AO158" s="3">
        <v>3.5297746999999999</v>
      </c>
      <c r="AP158" s="3">
        <v>3.5165369000000002</v>
      </c>
      <c r="AQ158" s="3">
        <v>3.5044715000000002</v>
      </c>
      <c r="AR158" s="3">
        <v>3.4935040000000002</v>
      </c>
      <c r="AS158" s="3">
        <v>3.4835604</v>
      </c>
      <c r="AT158" s="3">
        <v>3.4745724</v>
      </c>
      <c r="AU158" s="3">
        <v>3.4664963000000002</v>
      </c>
      <c r="AV158" s="3">
        <v>3.4592949000000002</v>
      </c>
      <c r="AW158" s="3">
        <v>3.4529306000000002</v>
      </c>
      <c r="AX158" s="3">
        <v>3.4473660000000002</v>
      </c>
      <c r="AY158" s="3">
        <v>3.4425637999999998</v>
      </c>
      <c r="AZ158" s="3">
        <v>3.4384863999999999</v>
      </c>
      <c r="BA158" s="3">
        <v>3.4350965000000002</v>
      </c>
      <c r="BB158" s="3">
        <v>3.4323565999999999</v>
      </c>
      <c r="BC158" s="3">
        <v>3.4302294</v>
      </c>
      <c r="BD158" s="3">
        <v>3.4286772999999999</v>
      </c>
      <c r="BE158" s="3">
        <v>3.4276629999999999</v>
      </c>
      <c r="BF158" s="3">
        <v>3.4271528999999998</v>
      </c>
      <c r="BG158" s="3">
        <v>3.4271307000000002</v>
      </c>
      <c r="BH158" s="3">
        <v>3.4275847000000002</v>
      </c>
      <c r="BI158" s="3">
        <v>3.4285033</v>
      </c>
      <c r="BJ158" s="3">
        <v>3.4298747999999999</v>
      </c>
      <c r="BK158" s="3">
        <v>3.4316876999999999</v>
      </c>
      <c r="BL158" s="3">
        <v>3.4339303000000001</v>
      </c>
      <c r="BM158" s="3">
        <v>3.436591</v>
      </c>
      <c r="BN158" s="3">
        <v>3.4396580999999999</v>
      </c>
      <c r="BO158" s="3">
        <v>3.4431199000000001</v>
      </c>
      <c r="BP158" s="3">
        <v>3.4469650000000001</v>
      </c>
      <c r="BQ158" s="3">
        <v>3.4511816</v>
      </c>
      <c r="BR158" s="3">
        <v>3.4836754000000001</v>
      </c>
      <c r="BS158" s="3">
        <v>3.5268777</v>
      </c>
    </row>
    <row r="159" spans="1:71" x14ac:dyDescent="0.35">
      <c r="A159" s="6">
        <f t="shared" si="83"/>
        <v>45502</v>
      </c>
      <c r="B159">
        <f t="shared" si="78"/>
        <v>7</v>
      </c>
      <c r="C159">
        <f t="shared" si="79"/>
        <v>2024</v>
      </c>
      <c r="D159">
        <f t="shared" si="80"/>
        <v>202407</v>
      </c>
      <c r="E159">
        <f t="shared" si="81"/>
        <v>3</v>
      </c>
      <c r="F159">
        <f t="shared" si="82"/>
        <v>202403</v>
      </c>
      <c r="G159" t="s">
        <v>292</v>
      </c>
      <c r="H159" s="2">
        <v>5.25</v>
      </c>
      <c r="I159" s="2">
        <v>5.2</v>
      </c>
      <c r="J159" s="3">
        <v>5.0569388999999996</v>
      </c>
      <c r="K159" s="3">
        <v>4.9876402000000004</v>
      </c>
      <c r="L159" s="3">
        <v>4.9042190000000003</v>
      </c>
      <c r="M159" s="3">
        <v>4.8111968000000003</v>
      </c>
      <c r="N159" s="3">
        <v>4.7151489</v>
      </c>
      <c r="O159" s="3">
        <v>4.6192462000000001</v>
      </c>
      <c r="P159" s="3">
        <v>4.5258589000000002</v>
      </c>
      <c r="Q159" s="3">
        <v>4.4376597000000002</v>
      </c>
      <c r="R159" s="3">
        <v>4.3571058999999996</v>
      </c>
      <c r="S159" s="3">
        <v>4.2846741000000002</v>
      </c>
      <c r="T159" s="3">
        <v>4.2203496999999999</v>
      </c>
      <c r="U159" s="3">
        <v>4.1630387999999998</v>
      </c>
      <c r="V159" s="3">
        <v>4.1107351000000003</v>
      </c>
      <c r="W159" s="3">
        <v>4.0624970999999999</v>
      </c>
      <c r="X159" s="3">
        <v>4.0177246000000002</v>
      </c>
      <c r="Y159" s="3">
        <v>3.9758155999999998</v>
      </c>
      <c r="Z159" s="3">
        <v>3.9361684000000001</v>
      </c>
      <c r="AA159" s="3">
        <v>3.8981824999999999</v>
      </c>
      <c r="AB159" s="3">
        <v>3.8613564999999999</v>
      </c>
      <c r="AC159" s="3">
        <v>3.8256541999999998</v>
      </c>
      <c r="AD159" s="3">
        <v>3.7911757000000001</v>
      </c>
      <c r="AE159" s="3">
        <v>3.7580198</v>
      </c>
      <c r="AF159" s="3">
        <v>3.7262852999999998</v>
      </c>
      <c r="AG159" s="3">
        <v>3.6960722000000001</v>
      </c>
      <c r="AH159" s="3">
        <v>3.6674555999999998</v>
      </c>
      <c r="AI159" s="3">
        <v>3.6404160999999999</v>
      </c>
      <c r="AJ159" s="3">
        <v>3.6149116999999999</v>
      </c>
      <c r="AK159" s="3">
        <v>3.5908991000000001</v>
      </c>
      <c r="AL159" s="3">
        <v>3.5683354</v>
      </c>
      <c r="AM159" s="3">
        <v>3.5471783000000001</v>
      </c>
      <c r="AN159" s="3">
        <v>3.5273848999999999</v>
      </c>
      <c r="AO159" s="3">
        <v>3.508912</v>
      </c>
      <c r="AP159" s="3">
        <v>3.4917174000000002</v>
      </c>
      <c r="AQ159" s="3">
        <v>3.4757581000000002</v>
      </c>
      <c r="AR159" s="3">
        <v>3.4609912</v>
      </c>
      <c r="AS159" s="3">
        <v>3.4473742000000001</v>
      </c>
      <c r="AT159" s="3">
        <v>3.4348659000000001</v>
      </c>
      <c r="AU159" s="3">
        <v>3.4234322000000001</v>
      </c>
      <c r="AV159" s="3">
        <v>3.4130410000000002</v>
      </c>
      <c r="AW159" s="3">
        <v>3.4036599999999999</v>
      </c>
      <c r="AX159" s="3">
        <v>3.3952567</v>
      </c>
      <c r="AY159" s="3">
        <v>3.3877989999999998</v>
      </c>
      <c r="AZ159" s="3">
        <v>3.3812546000000001</v>
      </c>
      <c r="BA159" s="3">
        <v>3.3755910999999998</v>
      </c>
      <c r="BB159" s="3">
        <v>3.3707764</v>
      </c>
      <c r="BC159" s="3">
        <v>3.3667780999999999</v>
      </c>
      <c r="BD159" s="3">
        <v>3.3635638000000001</v>
      </c>
      <c r="BE159" s="3">
        <v>3.3611013999999999</v>
      </c>
      <c r="BF159" s="3">
        <v>3.3593598</v>
      </c>
      <c r="BG159" s="3">
        <v>3.3583147000000002</v>
      </c>
      <c r="BH159" s="3">
        <v>3.3579444000000001</v>
      </c>
      <c r="BI159" s="3">
        <v>3.3582269</v>
      </c>
      <c r="BJ159" s="3">
        <v>3.3591403</v>
      </c>
      <c r="BK159" s="3">
        <v>3.3606626999999998</v>
      </c>
      <c r="BL159" s="3">
        <v>3.3627722000000002</v>
      </c>
      <c r="BM159" s="3">
        <v>3.3654468999999998</v>
      </c>
      <c r="BN159" s="3">
        <v>3.3686649000000002</v>
      </c>
      <c r="BO159" s="3">
        <v>3.3724042000000001</v>
      </c>
      <c r="BP159" s="3">
        <v>3.3766430999999999</v>
      </c>
      <c r="BQ159" s="3">
        <v>3.3813594999999999</v>
      </c>
      <c r="BR159" s="3">
        <v>3.4184784000000001</v>
      </c>
      <c r="BS159" s="3">
        <v>3.4673790000000002</v>
      </c>
    </row>
    <row r="160" spans="1:71" x14ac:dyDescent="0.35">
      <c r="A160" s="6">
        <f t="shared" si="83"/>
        <v>45503</v>
      </c>
      <c r="B160">
        <f t="shared" si="78"/>
        <v>7</v>
      </c>
      <c r="C160">
        <f t="shared" si="79"/>
        <v>2024</v>
      </c>
      <c r="D160">
        <f t="shared" si="80"/>
        <v>202407</v>
      </c>
      <c r="E160">
        <f t="shared" si="81"/>
        <v>3</v>
      </c>
      <c r="F160">
        <f t="shared" si="82"/>
        <v>202403</v>
      </c>
      <c r="G160" t="s">
        <v>293</v>
      </c>
      <c r="H160" s="2">
        <v>5.25</v>
      </c>
      <c r="I160" s="2">
        <v>5.2</v>
      </c>
      <c r="J160" s="3">
        <v>5.0504036000000001</v>
      </c>
      <c r="K160" s="3">
        <v>4.9843019000000002</v>
      </c>
      <c r="L160" s="3">
        <v>4.9021061000000001</v>
      </c>
      <c r="M160" s="3">
        <v>4.8077537000000001</v>
      </c>
      <c r="N160" s="3">
        <v>4.7082136999999999</v>
      </c>
      <c r="O160" s="3">
        <v>4.6075334000000003</v>
      </c>
      <c r="P160" s="3">
        <v>4.5083491999999996</v>
      </c>
      <c r="Q160" s="3">
        <v>4.4136572999999997</v>
      </c>
      <c r="R160" s="3">
        <v>4.3260604999999996</v>
      </c>
      <c r="S160" s="3">
        <v>4.2466629999999999</v>
      </c>
      <c r="T160" s="3">
        <v>4.1761455999999999</v>
      </c>
      <c r="U160" s="3">
        <v>4.1140293999999997</v>
      </c>
      <c r="V160" s="3">
        <v>4.0582997000000001</v>
      </c>
      <c r="W160" s="3">
        <v>4.0078171999999999</v>
      </c>
      <c r="X160" s="3">
        <v>3.9617722</v>
      </c>
      <c r="Y160" s="3">
        <v>3.9193533</v>
      </c>
      <c r="Z160" s="3">
        <v>3.8797492</v>
      </c>
      <c r="AA160" s="3">
        <v>3.8421501999999998</v>
      </c>
      <c r="AB160" s="3">
        <v>3.8058727000000001</v>
      </c>
      <c r="AC160" s="3">
        <v>3.7708265999999999</v>
      </c>
      <c r="AD160" s="3">
        <v>3.7370950000000001</v>
      </c>
      <c r="AE160" s="3">
        <v>3.7047595000000002</v>
      </c>
      <c r="AF160" s="3">
        <v>3.6739020999999998</v>
      </c>
      <c r="AG160" s="3">
        <v>3.6446055999999998</v>
      </c>
      <c r="AH160" s="3">
        <v>3.6169313999999999</v>
      </c>
      <c r="AI160" s="3">
        <v>3.5908584000000001</v>
      </c>
      <c r="AJ160" s="3">
        <v>3.5663461999999999</v>
      </c>
      <c r="AK160" s="3">
        <v>3.5433533000000002</v>
      </c>
      <c r="AL160" s="3">
        <v>3.5218383000000002</v>
      </c>
      <c r="AM160" s="3">
        <v>3.5017605999999999</v>
      </c>
      <c r="AN160" s="3">
        <v>3.4830787000000001</v>
      </c>
      <c r="AO160" s="3">
        <v>3.4657513999999998</v>
      </c>
      <c r="AP160" s="3">
        <v>3.4497377999999999</v>
      </c>
      <c r="AQ160" s="3">
        <v>3.4349965999999998</v>
      </c>
      <c r="AR160" s="3">
        <v>3.4214864999999999</v>
      </c>
      <c r="AS160" s="3">
        <v>3.4091667000000001</v>
      </c>
      <c r="AT160" s="3">
        <v>3.3979957000000001</v>
      </c>
      <c r="AU160" s="3">
        <v>3.387931</v>
      </c>
      <c r="AV160" s="3">
        <v>3.3789303999999998</v>
      </c>
      <c r="AW160" s="3">
        <v>3.3709513000000002</v>
      </c>
      <c r="AX160" s="3">
        <v>3.3639511999999998</v>
      </c>
      <c r="AY160" s="3">
        <v>3.3578876000000002</v>
      </c>
      <c r="AZ160" s="3">
        <v>3.3527182</v>
      </c>
      <c r="BA160" s="3">
        <v>3.3484001999999999</v>
      </c>
      <c r="BB160" s="3">
        <v>3.3448913999999998</v>
      </c>
      <c r="BC160" s="3">
        <v>3.3421490999999999</v>
      </c>
      <c r="BD160" s="3">
        <v>3.340131</v>
      </c>
      <c r="BE160" s="3">
        <v>3.3387945000000001</v>
      </c>
      <c r="BF160" s="3">
        <v>3.3381001000000001</v>
      </c>
      <c r="BG160" s="3">
        <v>3.3380234</v>
      </c>
      <c r="BH160" s="3">
        <v>3.3385441999999999</v>
      </c>
      <c r="BI160" s="3">
        <v>3.3396423999999998</v>
      </c>
      <c r="BJ160" s="3">
        <v>3.3412978999999998</v>
      </c>
      <c r="BK160" s="3">
        <v>3.3434908000000001</v>
      </c>
      <c r="BL160" s="3">
        <v>3.3462008999999999</v>
      </c>
      <c r="BM160" s="3">
        <v>3.3494081000000002</v>
      </c>
      <c r="BN160" s="3">
        <v>3.3530924</v>
      </c>
      <c r="BO160" s="3">
        <v>3.3572335999999998</v>
      </c>
      <c r="BP160" s="3">
        <v>3.3618119000000002</v>
      </c>
      <c r="BQ160" s="3">
        <v>3.3668068999999998</v>
      </c>
      <c r="BR160" s="3">
        <v>3.4045049999999999</v>
      </c>
      <c r="BS160" s="3">
        <v>3.4527481</v>
      </c>
    </row>
    <row r="161" spans="1:71" x14ac:dyDescent="0.35">
      <c r="A161" s="6">
        <f t="shared" si="83"/>
        <v>45504</v>
      </c>
      <c r="B161">
        <f t="shared" si="78"/>
        <v>7</v>
      </c>
      <c r="C161">
        <f t="shared" si="79"/>
        <v>2024</v>
      </c>
      <c r="D161">
        <f t="shared" si="80"/>
        <v>202407</v>
      </c>
      <c r="E161">
        <f t="shared" si="81"/>
        <v>3</v>
      </c>
      <c r="F161">
        <f t="shared" si="82"/>
        <v>202403</v>
      </c>
      <c r="G161" t="s">
        <v>294</v>
      </c>
      <c r="H161" s="2">
        <v>5.25</v>
      </c>
      <c r="I161" s="2">
        <v>5.2</v>
      </c>
      <c r="J161" s="3">
        <v>5.0434858</v>
      </c>
      <c r="K161" s="3">
        <v>4.9766567000000004</v>
      </c>
      <c r="L161" s="3">
        <v>4.8906362000000003</v>
      </c>
      <c r="M161" s="3">
        <v>4.7899273000000004</v>
      </c>
      <c r="N161" s="3">
        <v>4.6838264000000001</v>
      </c>
      <c r="O161" s="3">
        <v>4.5783893999999998</v>
      </c>
      <c r="P161" s="3">
        <v>4.4773398000000002</v>
      </c>
      <c r="Q161" s="3">
        <v>4.3834489999999997</v>
      </c>
      <c r="R161" s="3">
        <v>4.2980689999999999</v>
      </c>
      <c r="S161" s="3">
        <v>4.2216317999999999</v>
      </c>
      <c r="T161" s="3">
        <v>4.1537395999999998</v>
      </c>
      <c r="U161" s="3">
        <v>4.0935486000000001</v>
      </c>
      <c r="V161" s="3">
        <v>4.0386759000000003</v>
      </c>
      <c r="W161" s="3">
        <v>3.9880026000000002</v>
      </c>
      <c r="X161" s="3">
        <v>3.9408492000000002</v>
      </c>
      <c r="Y161" s="3">
        <v>3.8965344000000002</v>
      </c>
      <c r="Z161" s="3">
        <v>3.8543774000000002</v>
      </c>
      <c r="AA161" s="3">
        <v>3.8136983999999998</v>
      </c>
      <c r="AB161" s="3">
        <v>3.7739186</v>
      </c>
      <c r="AC161" s="3">
        <v>3.7350370000000002</v>
      </c>
      <c r="AD161" s="3">
        <v>3.6972575999999999</v>
      </c>
      <c r="AE161" s="3">
        <v>3.6607829999999999</v>
      </c>
      <c r="AF161" s="3">
        <v>3.6258159999999999</v>
      </c>
      <c r="AG161" s="3">
        <v>3.5925606999999999</v>
      </c>
      <c r="AH161" s="3">
        <v>3.5611790000000001</v>
      </c>
      <c r="AI161" s="3">
        <v>3.5316697000000001</v>
      </c>
      <c r="AJ161" s="3">
        <v>3.5039918000000001</v>
      </c>
      <c r="AK161" s="3">
        <v>3.4781032999999999</v>
      </c>
      <c r="AL161" s="3">
        <v>3.4539623000000002</v>
      </c>
      <c r="AM161" s="3">
        <v>3.4315277000000002</v>
      </c>
      <c r="AN161" s="3">
        <v>3.4107574999999999</v>
      </c>
      <c r="AO161" s="3">
        <v>3.39161</v>
      </c>
      <c r="AP161" s="3">
        <v>3.3740437999999999</v>
      </c>
      <c r="AQ161" s="3">
        <v>3.3580171000000001</v>
      </c>
      <c r="AR161" s="3">
        <v>3.3434881000000001</v>
      </c>
      <c r="AS161" s="3">
        <v>3.3304155</v>
      </c>
      <c r="AT161" s="3">
        <v>3.3187541</v>
      </c>
      <c r="AU161" s="3">
        <v>3.3084432000000001</v>
      </c>
      <c r="AV161" s="3">
        <v>3.2994173999999998</v>
      </c>
      <c r="AW161" s="3">
        <v>3.2916112000000002</v>
      </c>
      <c r="AX161" s="3">
        <v>3.2849588000000001</v>
      </c>
      <c r="AY161" s="3">
        <v>3.2793950000000001</v>
      </c>
      <c r="AZ161" s="3">
        <v>3.2748539999999999</v>
      </c>
      <c r="BA161" s="3">
        <v>3.2712704000000001</v>
      </c>
      <c r="BB161" s="3">
        <v>3.2685786999999999</v>
      </c>
      <c r="BC161" s="3">
        <v>3.2667133000000002</v>
      </c>
      <c r="BD161" s="3">
        <v>3.2656087</v>
      </c>
      <c r="BE161" s="3">
        <v>3.2651994000000002</v>
      </c>
      <c r="BF161" s="3">
        <v>3.2654257000000002</v>
      </c>
      <c r="BG161" s="3">
        <v>3.2662547000000002</v>
      </c>
      <c r="BH161" s="3">
        <v>3.2676606000000001</v>
      </c>
      <c r="BI161" s="3">
        <v>3.2696176000000001</v>
      </c>
      <c r="BJ161" s="3">
        <v>3.2721</v>
      </c>
      <c r="BK161" s="3">
        <v>3.2750819</v>
      </c>
      <c r="BL161" s="3">
        <v>3.2785377000000002</v>
      </c>
      <c r="BM161" s="3">
        <v>3.2824415</v>
      </c>
      <c r="BN161" s="3">
        <v>3.2867674999999998</v>
      </c>
      <c r="BO161" s="3">
        <v>3.2914900999999999</v>
      </c>
      <c r="BP161" s="3">
        <v>3.2965833999999998</v>
      </c>
      <c r="BQ161" s="3">
        <v>3.3020217000000001</v>
      </c>
      <c r="BR161" s="3">
        <v>3.3409049999999998</v>
      </c>
      <c r="BS161" s="3">
        <v>3.3884560000000001</v>
      </c>
    </row>
    <row r="162" spans="1:71" x14ac:dyDescent="0.35">
      <c r="A162" s="6">
        <f t="shared" si="83"/>
        <v>45505</v>
      </c>
      <c r="B162">
        <f t="shared" si="78"/>
        <v>8</v>
      </c>
      <c r="C162">
        <f t="shared" si="79"/>
        <v>2024</v>
      </c>
      <c r="D162">
        <f t="shared" si="80"/>
        <v>202408</v>
      </c>
      <c r="E162">
        <f t="shared" si="81"/>
        <v>3</v>
      </c>
      <c r="F162">
        <f t="shared" si="82"/>
        <v>202403</v>
      </c>
      <c r="G162" t="s">
        <v>295</v>
      </c>
      <c r="H162" s="2">
        <v>5</v>
      </c>
      <c r="I162" s="2">
        <v>4.95</v>
      </c>
      <c r="J162" s="3">
        <v>4.9511631999999999</v>
      </c>
      <c r="K162" s="3">
        <v>4.8965017</v>
      </c>
      <c r="L162" s="3">
        <v>4.8151389</v>
      </c>
      <c r="M162" s="3">
        <v>4.7114029000000004</v>
      </c>
      <c r="N162" s="3">
        <v>4.5973253999999999</v>
      </c>
      <c r="O162" s="3">
        <v>4.4802739999999996</v>
      </c>
      <c r="P162" s="3">
        <v>4.3650883</v>
      </c>
      <c r="Q162" s="3">
        <v>4.2558889999999998</v>
      </c>
      <c r="R162" s="3">
        <v>4.1550716999999997</v>
      </c>
      <c r="S162" s="3">
        <v>4.0639060999999996</v>
      </c>
      <c r="T162" s="3">
        <v>3.9827623999999999</v>
      </c>
      <c r="U162" s="3">
        <v>3.9112572000000001</v>
      </c>
      <c r="V162" s="3">
        <v>3.8481871999999999</v>
      </c>
      <c r="W162" s="3">
        <v>3.7924213999999998</v>
      </c>
      <c r="X162" s="3">
        <v>3.7428951000000001</v>
      </c>
      <c r="Y162" s="3">
        <v>3.6985413999999999</v>
      </c>
      <c r="Z162" s="3">
        <v>3.6582940000000002</v>
      </c>
      <c r="AA162" s="3">
        <v>3.6210876999999999</v>
      </c>
      <c r="AB162" s="3">
        <v>3.5859937</v>
      </c>
      <c r="AC162" s="3">
        <v>3.5527885000000001</v>
      </c>
      <c r="AD162" s="3">
        <v>3.5214748999999999</v>
      </c>
      <c r="AE162" s="3">
        <v>3.4920548</v>
      </c>
      <c r="AF162" s="3">
        <v>3.4645301000000002</v>
      </c>
      <c r="AG162" s="3">
        <v>3.4389037999999998</v>
      </c>
      <c r="AH162" s="3">
        <v>3.4151669999999998</v>
      </c>
      <c r="AI162" s="3">
        <v>3.3932598999999999</v>
      </c>
      <c r="AJ162" s="3">
        <v>3.3731076</v>
      </c>
      <c r="AK162" s="3">
        <v>3.3546344000000001</v>
      </c>
      <c r="AL162" s="3">
        <v>3.3377648</v>
      </c>
      <c r="AM162" s="3">
        <v>3.3224238000000001</v>
      </c>
      <c r="AN162" s="3">
        <v>3.3085358</v>
      </c>
      <c r="AO162" s="3">
        <v>3.2960253000000002</v>
      </c>
      <c r="AP162" s="3">
        <v>3.2848172999999998</v>
      </c>
      <c r="AQ162" s="3">
        <v>3.2748360999999999</v>
      </c>
      <c r="AR162" s="3">
        <v>3.2660064000000002</v>
      </c>
      <c r="AS162" s="3">
        <v>3.2582529</v>
      </c>
      <c r="AT162" s="3">
        <v>3.2515041</v>
      </c>
      <c r="AU162" s="3">
        <v>3.2457061</v>
      </c>
      <c r="AV162" s="3">
        <v>3.2408098000000001</v>
      </c>
      <c r="AW162" s="3">
        <v>3.2367661000000001</v>
      </c>
      <c r="AX162" s="3">
        <v>3.2335257999999998</v>
      </c>
      <c r="AY162" s="3">
        <v>3.2310398999999999</v>
      </c>
      <c r="AZ162" s="3">
        <v>3.2292592</v>
      </c>
      <c r="BA162" s="3">
        <v>3.2281347</v>
      </c>
      <c r="BB162" s="3">
        <v>3.2276172999999999</v>
      </c>
      <c r="BC162" s="3">
        <v>3.2276577</v>
      </c>
      <c r="BD162" s="3">
        <v>3.2282069999999998</v>
      </c>
      <c r="BE162" s="3">
        <v>3.2292160000000001</v>
      </c>
      <c r="BF162" s="3">
        <v>3.2306417000000001</v>
      </c>
      <c r="BG162" s="3">
        <v>3.2324684000000001</v>
      </c>
      <c r="BH162" s="3">
        <v>3.2346878999999999</v>
      </c>
      <c r="BI162" s="3">
        <v>3.2372917999999999</v>
      </c>
      <c r="BJ162" s="3">
        <v>3.2402719000000002</v>
      </c>
      <c r="BK162" s="3">
        <v>3.2436199000000001</v>
      </c>
      <c r="BL162" s="3">
        <v>3.2473276000000002</v>
      </c>
      <c r="BM162" s="3">
        <v>3.2513868000000001</v>
      </c>
      <c r="BN162" s="3">
        <v>3.255789</v>
      </c>
      <c r="BO162" s="3">
        <v>3.2605262000000002</v>
      </c>
      <c r="BP162" s="3">
        <v>3.26559</v>
      </c>
      <c r="BQ162" s="3">
        <v>3.270972</v>
      </c>
      <c r="BR162" s="3">
        <v>3.3094323000000001</v>
      </c>
      <c r="BS162" s="3">
        <v>3.3569376000000002</v>
      </c>
    </row>
    <row r="163" spans="1:71" x14ac:dyDescent="0.35">
      <c r="A163" s="6">
        <f t="shared" si="83"/>
        <v>45506</v>
      </c>
      <c r="B163">
        <f t="shared" si="78"/>
        <v>8</v>
      </c>
      <c r="C163">
        <f t="shared" si="79"/>
        <v>2024</v>
      </c>
      <c r="D163">
        <f t="shared" si="80"/>
        <v>202408</v>
      </c>
      <c r="E163">
        <f t="shared" si="81"/>
        <v>3</v>
      </c>
      <c r="F163">
        <f t="shared" si="82"/>
        <v>202403</v>
      </c>
      <c r="G163" t="s">
        <v>296</v>
      </c>
      <c r="H163" s="2">
        <v>5</v>
      </c>
      <c r="I163" s="2">
        <v>4.95</v>
      </c>
      <c r="J163" s="3">
        <v>4.9336992000000004</v>
      </c>
      <c r="K163" s="3">
        <v>4.8468581999999998</v>
      </c>
      <c r="L163" s="3">
        <v>4.7400352999999997</v>
      </c>
      <c r="M163" s="3">
        <v>4.6171227000000004</v>
      </c>
      <c r="N163" s="3">
        <v>4.4897308000000002</v>
      </c>
      <c r="O163" s="3">
        <v>4.3641188</v>
      </c>
      <c r="P163" s="3">
        <v>4.2443542000000001</v>
      </c>
      <c r="Q163" s="3">
        <v>4.1339658999999997</v>
      </c>
      <c r="R163" s="3">
        <v>4.0345336999999999</v>
      </c>
      <c r="S163" s="3">
        <v>3.9465094999999999</v>
      </c>
      <c r="T163" s="3">
        <v>3.8697013999999998</v>
      </c>
      <c r="U163" s="3">
        <v>3.8030278000000002</v>
      </c>
      <c r="V163" s="3">
        <v>3.7448106999999999</v>
      </c>
      <c r="W163" s="3">
        <v>3.6938624999999998</v>
      </c>
      <c r="X163" s="3">
        <v>3.6491874000000002</v>
      </c>
      <c r="Y163" s="3">
        <v>3.6097876000000002</v>
      </c>
      <c r="Z163" s="3">
        <v>3.5746655000000001</v>
      </c>
      <c r="AA163" s="3">
        <v>3.5428250999999999</v>
      </c>
      <c r="AB163" s="3">
        <v>3.5133842999999998</v>
      </c>
      <c r="AC163" s="3">
        <v>3.4859971999999999</v>
      </c>
      <c r="AD163" s="3">
        <v>3.4604742000000002</v>
      </c>
      <c r="AE163" s="3">
        <v>3.4366248000000001</v>
      </c>
      <c r="AF163" s="3">
        <v>3.4142584</v>
      </c>
      <c r="AG163" s="3">
        <v>3.3931852999999998</v>
      </c>
      <c r="AH163" s="3">
        <v>3.3732400999999999</v>
      </c>
      <c r="AI163" s="3">
        <v>3.354368</v>
      </c>
      <c r="AJ163" s="3">
        <v>3.3365455000000002</v>
      </c>
      <c r="AK163" s="3">
        <v>3.3197483999999999</v>
      </c>
      <c r="AL163" s="3">
        <v>3.3039524999999998</v>
      </c>
      <c r="AM163" s="3">
        <v>3.2891341000000001</v>
      </c>
      <c r="AN163" s="3">
        <v>3.2752691999999999</v>
      </c>
      <c r="AO163" s="3">
        <v>3.2623335999999998</v>
      </c>
      <c r="AP163" s="3">
        <v>3.2503034999999998</v>
      </c>
      <c r="AQ163" s="3">
        <v>3.2391548000000001</v>
      </c>
      <c r="AR163" s="3">
        <v>3.2288635999999999</v>
      </c>
      <c r="AS163" s="3">
        <v>3.2194058000000001</v>
      </c>
      <c r="AT163" s="3">
        <v>3.2107583000000002</v>
      </c>
      <c r="AU163" s="3">
        <v>3.2029006</v>
      </c>
      <c r="AV163" s="3">
        <v>3.1958131000000001</v>
      </c>
      <c r="AW163" s="3">
        <v>3.1894760999999998</v>
      </c>
      <c r="AX163" s="3">
        <v>3.1838698999999999</v>
      </c>
      <c r="AY163" s="3">
        <v>3.1789751000000002</v>
      </c>
      <c r="AZ163" s="3">
        <v>3.1747717999999998</v>
      </c>
      <c r="BA163" s="3">
        <v>3.1712405000000001</v>
      </c>
      <c r="BB163" s="3">
        <v>3.1683614000000002</v>
      </c>
      <c r="BC163" s="3">
        <v>3.166115</v>
      </c>
      <c r="BD163" s="3">
        <v>3.1644815999999998</v>
      </c>
      <c r="BE163" s="3">
        <v>3.1634414999999998</v>
      </c>
      <c r="BF163" s="3">
        <v>3.162976</v>
      </c>
      <c r="BG163" s="3">
        <v>3.1630699</v>
      </c>
      <c r="BH163" s="3">
        <v>3.1637092999999998</v>
      </c>
      <c r="BI163" s="3">
        <v>3.1648801</v>
      </c>
      <c r="BJ163" s="3">
        <v>3.1665681999999999</v>
      </c>
      <c r="BK163" s="3">
        <v>3.1687596</v>
      </c>
      <c r="BL163" s="3">
        <v>3.1714403</v>
      </c>
      <c r="BM163" s="3">
        <v>3.1745961999999999</v>
      </c>
      <c r="BN163" s="3">
        <v>3.1782132999999999</v>
      </c>
      <c r="BO163" s="3">
        <v>3.1822775999999999</v>
      </c>
      <c r="BP163" s="3">
        <v>3.1867749000000001</v>
      </c>
      <c r="BQ163" s="3">
        <v>3.1916913</v>
      </c>
      <c r="BR163" s="3">
        <v>3.2292334</v>
      </c>
      <c r="BS163" s="3">
        <v>3.2785025000000001</v>
      </c>
    </row>
    <row r="164" spans="1:71" x14ac:dyDescent="0.35">
      <c r="A164" s="6">
        <f t="shared" si="83"/>
        <v>45509</v>
      </c>
      <c r="B164">
        <f t="shared" si="78"/>
        <v>8</v>
      </c>
      <c r="C164">
        <f t="shared" si="79"/>
        <v>2024</v>
      </c>
      <c r="D164">
        <f t="shared" si="80"/>
        <v>202408</v>
      </c>
      <c r="E164">
        <f t="shared" si="81"/>
        <v>3</v>
      </c>
      <c r="F164">
        <f t="shared" si="82"/>
        <v>202403</v>
      </c>
      <c r="G164" t="s">
        <v>297</v>
      </c>
      <c r="H164" s="2">
        <v>5</v>
      </c>
      <c r="I164" s="2">
        <v>4.95</v>
      </c>
      <c r="J164" s="3">
        <v>4.9285021000000002</v>
      </c>
      <c r="K164" s="3">
        <v>4.8506874</v>
      </c>
      <c r="L164" s="3">
        <v>4.7511882999999999</v>
      </c>
      <c r="M164" s="3">
        <v>4.6309768</v>
      </c>
      <c r="N164" s="3">
        <v>4.5047240999999998</v>
      </c>
      <c r="O164" s="3">
        <v>4.3819469</v>
      </c>
      <c r="P164" s="3">
        <v>4.2684736000000001</v>
      </c>
      <c r="Q164" s="3">
        <v>4.1675591000000001</v>
      </c>
      <c r="R164" s="3">
        <v>4.0803681999999997</v>
      </c>
      <c r="S164" s="3">
        <v>4.0059836000000004</v>
      </c>
      <c r="T164" s="3">
        <v>3.9433682000000001</v>
      </c>
      <c r="U164" s="3">
        <v>3.8901843</v>
      </c>
      <c r="V164" s="3">
        <v>3.8432604000000001</v>
      </c>
      <c r="W164" s="3">
        <v>3.8012142999999998</v>
      </c>
      <c r="X164" s="3">
        <v>3.7631877</v>
      </c>
      <c r="Y164" s="3">
        <v>3.7283208000000001</v>
      </c>
      <c r="Z164" s="3">
        <v>3.6957540999999998</v>
      </c>
      <c r="AA164" s="3">
        <v>3.6646291</v>
      </c>
      <c r="AB164" s="3">
        <v>3.6342257</v>
      </c>
      <c r="AC164" s="3">
        <v>3.6044719000000001</v>
      </c>
      <c r="AD164" s="3">
        <v>3.5754847000000001</v>
      </c>
      <c r="AE164" s="3">
        <v>3.5473797</v>
      </c>
      <c r="AF164" s="3">
        <v>3.5202727</v>
      </c>
      <c r="AG164" s="3">
        <v>3.4942804999999999</v>
      </c>
      <c r="AH164" s="3">
        <v>3.4694970000000001</v>
      </c>
      <c r="AI164" s="3">
        <v>3.4459290999999999</v>
      </c>
      <c r="AJ164" s="3">
        <v>3.4235625000000001</v>
      </c>
      <c r="AK164" s="3">
        <v>3.4023819999999998</v>
      </c>
      <c r="AL164" s="3">
        <v>3.3823726999999999</v>
      </c>
      <c r="AM164" s="3">
        <v>3.3635202</v>
      </c>
      <c r="AN164" s="3">
        <v>3.3458095000000001</v>
      </c>
      <c r="AO164" s="3">
        <v>3.3292256999999998</v>
      </c>
      <c r="AP164" s="3">
        <v>3.3137542</v>
      </c>
      <c r="AQ164" s="3">
        <v>3.2993801999999999</v>
      </c>
      <c r="AR164" s="3">
        <v>3.2860885999999998</v>
      </c>
      <c r="AS164" s="3">
        <v>3.2738649999999998</v>
      </c>
      <c r="AT164" s="3">
        <v>3.2626916000000001</v>
      </c>
      <c r="AU164" s="3">
        <v>3.2525398999999999</v>
      </c>
      <c r="AV164" s="3">
        <v>3.2433789000000002</v>
      </c>
      <c r="AW164" s="3">
        <v>3.2351771999999999</v>
      </c>
      <c r="AX164" s="3">
        <v>3.2279034000000002</v>
      </c>
      <c r="AY164" s="3">
        <v>3.2215265999999998</v>
      </c>
      <c r="AZ164" s="3">
        <v>3.2160153</v>
      </c>
      <c r="BA164" s="3">
        <v>3.2113383</v>
      </c>
      <c r="BB164" s="3">
        <v>3.2074644999999999</v>
      </c>
      <c r="BC164" s="3">
        <v>3.2043624999999998</v>
      </c>
      <c r="BD164" s="3">
        <v>3.2020010999999999</v>
      </c>
      <c r="BE164" s="3">
        <v>3.2003490999999999</v>
      </c>
      <c r="BF164" s="3">
        <v>3.1993763</v>
      </c>
      <c r="BG164" s="3">
        <v>3.1990582999999999</v>
      </c>
      <c r="BH164" s="3">
        <v>3.1993727000000001</v>
      </c>
      <c r="BI164" s="3">
        <v>3.2002969999999999</v>
      </c>
      <c r="BJ164" s="3">
        <v>3.2018087999999998</v>
      </c>
      <c r="BK164" s="3">
        <v>3.2038856999999998</v>
      </c>
      <c r="BL164" s="3">
        <v>3.2065051000000002</v>
      </c>
      <c r="BM164" s="3">
        <v>3.2096447000000001</v>
      </c>
      <c r="BN164" s="3">
        <v>3.2132819000000001</v>
      </c>
      <c r="BO164" s="3">
        <v>3.2173943</v>
      </c>
      <c r="BP164" s="3">
        <v>3.2219595999999999</v>
      </c>
      <c r="BQ164" s="3">
        <v>3.2269551999999999</v>
      </c>
      <c r="BR164" s="3">
        <v>3.2648616000000001</v>
      </c>
      <c r="BS164" s="3">
        <v>3.3135390999999998</v>
      </c>
    </row>
    <row r="165" spans="1:71" x14ac:dyDescent="0.35">
      <c r="A165" s="6">
        <f t="shared" si="83"/>
        <v>45510</v>
      </c>
      <c r="B165">
        <f t="shared" si="78"/>
        <v>8</v>
      </c>
      <c r="C165">
        <f t="shared" si="79"/>
        <v>2024</v>
      </c>
      <c r="D165">
        <f t="shared" si="80"/>
        <v>202408</v>
      </c>
      <c r="E165">
        <f t="shared" si="81"/>
        <v>3</v>
      </c>
      <c r="F165">
        <f t="shared" si="82"/>
        <v>202403</v>
      </c>
      <c r="G165" t="s">
        <v>298</v>
      </c>
      <c r="H165" s="2">
        <v>5</v>
      </c>
      <c r="I165" s="2">
        <v>4.95</v>
      </c>
      <c r="J165" s="3">
        <v>4.9313586999999997</v>
      </c>
      <c r="K165" s="3">
        <v>4.8475462</v>
      </c>
      <c r="L165" s="3">
        <v>4.7457016999999997</v>
      </c>
      <c r="M165" s="3">
        <v>4.6306592999999996</v>
      </c>
      <c r="N165" s="3">
        <v>4.5126644000000002</v>
      </c>
      <c r="O165" s="3">
        <v>4.3962797</v>
      </c>
      <c r="P165" s="3">
        <v>4.2848573999999999</v>
      </c>
      <c r="Q165" s="3">
        <v>4.1821384999999998</v>
      </c>
      <c r="R165" s="3">
        <v>4.0908045</v>
      </c>
      <c r="S165" s="3">
        <v>4.0118768999999999</v>
      </c>
      <c r="T165" s="3">
        <v>3.9453583999999999</v>
      </c>
      <c r="U165" s="3">
        <v>3.8896861999999999</v>
      </c>
      <c r="V165" s="3">
        <v>3.8416264</v>
      </c>
      <c r="W165" s="3">
        <v>3.7995695999999999</v>
      </c>
      <c r="X165" s="3">
        <v>3.7624418999999998</v>
      </c>
      <c r="Y165" s="3">
        <v>3.729168</v>
      </c>
      <c r="Z165" s="3">
        <v>3.6986726000000001</v>
      </c>
      <c r="AA165" s="3">
        <v>3.6698814999999998</v>
      </c>
      <c r="AB165" s="3">
        <v>3.6418879999999998</v>
      </c>
      <c r="AC165" s="3">
        <v>3.6145672000000002</v>
      </c>
      <c r="AD165" s="3">
        <v>3.5880215</v>
      </c>
      <c r="AE165" s="3">
        <v>3.5623524</v>
      </c>
      <c r="AF165" s="3">
        <v>3.5376615999999999</v>
      </c>
      <c r="AG165" s="3">
        <v>3.5140514</v>
      </c>
      <c r="AH165" s="3">
        <v>3.4916040000000002</v>
      </c>
      <c r="AI165" s="3">
        <v>3.4703235000000001</v>
      </c>
      <c r="AJ165" s="3">
        <v>3.4501955999999998</v>
      </c>
      <c r="AK165" s="3">
        <v>3.4312051000000001</v>
      </c>
      <c r="AL165" s="3">
        <v>3.4133366000000001</v>
      </c>
      <c r="AM165" s="3">
        <v>3.3965757000000001</v>
      </c>
      <c r="AN165" s="3">
        <v>3.3809071999999998</v>
      </c>
      <c r="AO165" s="3">
        <v>3.3663159</v>
      </c>
      <c r="AP165" s="3">
        <v>3.3527871999999999</v>
      </c>
      <c r="AQ165" s="3">
        <v>3.3403059000000002</v>
      </c>
      <c r="AR165" s="3">
        <v>3.3288570000000002</v>
      </c>
      <c r="AS165" s="3">
        <v>3.3184257000000001</v>
      </c>
      <c r="AT165" s="3">
        <v>3.3089933</v>
      </c>
      <c r="AU165" s="3">
        <v>3.3005262000000002</v>
      </c>
      <c r="AV165" s="3">
        <v>3.2929878000000001</v>
      </c>
      <c r="AW165" s="3">
        <v>3.2863408000000001</v>
      </c>
      <c r="AX165" s="3">
        <v>3.2805482000000001</v>
      </c>
      <c r="AY165" s="3">
        <v>3.2755730000000001</v>
      </c>
      <c r="AZ165" s="3">
        <v>3.2713782999999999</v>
      </c>
      <c r="BA165" s="3">
        <v>3.2679269</v>
      </c>
      <c r="BB165" s="3">
        <v>3.2651819</v>
      </c>
      <c r="BC165" s="3">
        <v>3.2631062000000002</v>
      </c>
      <c r="BD165" s="3">
        <v>3.2616629000000001</v>
      </c>
      <c r="BE165" s="3">
        <v>3.2608147999999999</v>
      </c>
      <c r="BF165" s="3">
        <v>3.2605278000000002</v>
      </c>
      <c r="BG165" s="3">
        <v>3.2607811</v>
      </c>
      <c r="BH165" s="3">
        <v>3.2615582000000001</v>
      </c>
      <c r="BI165" s="3">
        <v>3.2628423</v>
      </c>
      <c r="BJ165" s="3">
        <v>3.2646169</v>
      </c>
      <c r="BK165" s="3">
        <v>3.2668655000000002</v>
      </c>
      <c r="BL165" s="3">
        <v>3.2695713</v>
      </c>
      <c r="BM165" s="3">
        <v>3.2727178000000001</v>
      </c>
      <c r="BN165" s="3">
        <v>3.2762883</v>
      </c>
      <c r="BO165" s="3">
        <v>3.2802663000000001</v>
      </c>
      <c r="BP165" s="3">
        <v>3.2846351</v>
      </c>
      <c r="BQ165" s="3">
        <v>3.2893781999999998</v>
      </c>
      <c r="BR165" s="3">
        <v>3.324865</v>
      </c>
      <c r="BS165" s="3">
        <v>3.3702426999999999</v>
      </c>
    </row>
    <row r="166" spans="1:71" x14ac:dyDescent="0.35">
      <c r="A166" s="6">
        <f t="shared" si="83"/>
        <v>45511</v>
      </c>
      <c r="B166">
        <f t="shared" si="78"/>
        <v>8</v>
      </c>
      <c r="C166">
        <f t="shared" si="79"/>
        <v>2024</v>
      </c>
      <c r="D166">
        <f t="shared" si="80"/>
        <v>202408</v>
      </c>
      <c r="E166">
        <f t="shared" si="81"/>
        <v>3</v>
      </c>
      <c r="F166">
        <f t="shared" si="82"/>
        <v>202403</v>
      </c>
      <c r="G166" t="s">
        <v>299</v>
      </c>
      <c r="H166" s="2">
        <v>5</v>
      </c>
      <c r="I166" s="2">
        <v>4.95</v>
      </c>
      <c r="J166" s="3">
        <v>4.9300408999999998</v>
      </c>
      <c r="K166" s="3">
        <v>4.8445467999999998</v>
      </c>
      <c r="L166" s="3">
        <v>4.7397866000000004</v>
      </c>
      <c r="M166" s="3">
        <v>4.6198125000000001</v>
      </c>
      <c r="N166" s="3">
        <v>4.4968938999999999</v>
      </c>
      <c r="O166" s="3">
        <v>4.3768443000000001</v>
      </c>
      <c r="P166" s="3">
        <v>4.2637269</v>
      </c>
      <c r="Q166" s="3">
        <v>4.1613049999999996</v>
      </c>
      <c r="R166" s="3">
        <v>4.0713486000000003</v>
      </c>
      <c r="S166" s="3">
        <v>3.9943317</v>
      </c>
      <c r="T166" s="3">
        <v>3.9293577000000002</v>
      </c>
      <c r="U166" s="3">
        <v>3.8748664000000002</v>
      </c>
      <c r="V166" s="3">
        <v>3.8276108999999998</v>
      </c>
      <c r="W166" s="3">
        <v>3.7860174999999998</v>
      </c>
      <c r="X166" s="3">
        <v>3.7490690999999998</v>
      </c>
      <c r="Y166" s="3">
        <v>3.7157474000000001</v>
      </c>
      <c r="Z166" s="3">
        <v>3.6850341000000002</v>
      </c>
      <c r="AA166" s="3">
        <v>3.6559119999999998</v>
      </c>
      <c r="AB166" s="3">
        <v>3.6274999999999999</v>
      </c>
      <c r="AC166" s="3">
        <v>3.5996931999999999</v>
      </c>
      <c r="AD166" s="3">
        <v>3.5726607000000001</v>
      </c>
      <c r="AE166" s="3">
        <v>3.5465710000000001</v>
      </c>
      <c r="AF166" s="3">
        <v>3.5215926999999998</v>
      </c>
      <c r="AG166" s="3">
        <v>3.4978951</v>
      </c>
      <c r="AH166" s="3">
        <v>3.4756127999999999</v>
      </c>
      <c r="AI166" s="3">
        <v>3.4547455999999999</v>
      </c>
      <c r="AJ166" s="3">
        <v>3.4352597999999999</v>
      </c>
      <c r="AK166" s="3">
        <v>3.4171212</v>
      </c>
      <c r="AL166" s="3">
        <v>3.4002956000000002</v>
      </c>
      <c r="AM166" s="3">
        <v>3.3847494999999999</v>
      </c>
      <c r="AN166" s="3">
        <v>3.3704486</v>
      </c>
      <c r="AO166" s="3">
        <v>3.3573588000000001</v>
      </c>
      <c r="AP166" s="3">
        <v>3.3454464000000002</v>
      </c>
      <c r="AQ166" s="3">
        <v>3.3346773000000001</v>
      </c>
      <c r="AR166" s="3">
        <v>3.3250172999999998</v>
      </c>
      <c r="AS166" s="3">
        <v>3.3164327</v>
      </c>
      <c r="AT166" s="3">
        <v>3.3088871000000002</v>
      </c>
      <c r="AU166" s="3">
        <v>3.3023326000000002</v>
      </c>
      <c r="AV166" s="3">
        <v>3.2967184999999999</v>
      </c>
      <c r="AW166" s="3">
        <v>3.2919934</v>
      </c>
      <c r="AX166" s="3">
        <v>3.2881062999999999</v>
      </c>
      <c r="AY166" s="3">
        <v>3.2850060999999999</v>
      </c>
      <c r="AZ166" s="3">
        <v>3.2826417000000001</v>
      </c>
      <c r="BA166" s="3">
        <v>3.2809621</v>
      </c>
      <c r="BB166" s="3">
        <v>3.2799160000000001</v>
      </c>
      <c r="BC166" s="3">
        <v>3.2794523999999998</v>
      </c>
      <c r="BD166" s="3">
        <v>3.2795203000000002</v>
      </c>
      <c r="BE166" s="3">
        <v>3.2800685000000001</v>
      </c>
      <c r="BF166" s="3">
        <v>3.2810516999999999</v>
      </c>
      <c r="BG166" s="3">
        <v>3.2824506000000002</v>
      </c>
      <c r="BH166" s="3">
        <v>3.2842530999999999</v>
      </c>
      <c r="BI166" s="3">
        <v>3.2864467999999998</v>
      </c>
      <c r="BJ166" s="3">
        <v>3.2890195000000002</v>
      </c>
      <c r="BK166" s="3">
        <v>3.2919591000000001</v>
      </c>
      <c r="BL166" s="3">
        <v>3.2952531999999999</v>
      </c>
      <c r="BM166" s="3">
        <v>3.2988898</v>
      </c>
      <c r="BN166" s="3">
        <v>3.3028564999999999</v>
      </c>
      <c r="BO166" s="3">
        <v>3.3071410999999999</v>
      </c>
      <c r="BP166" s="3">
        <v>3.3117314000000002</v>
      </c>
      <c r="BQ166" s="3">
        <v>3.3166152000000002</v>
      </c>
      <c r="BR166" s="3">
        <v>3.3515264999999999</v>
      </c>
      <c r="BS166" s="3">
        <v>3.3947091</v>
      </c>
    </row>
    <row r="167" spans="1:71" x14ac:dyDescent="0.35">
      <c r="A167" s="6">
        <f t="shared" si="83"/>
        <v>45512</v>
      </c>
      <c r="B167">
        <f t="shared" si="78"/>
        <v>8</v>
      </c>
      <c r="C167">
        <f t="shared" si="79"/>
        <v>2024</v>
      </c>
      <c r="D167">
        <f t="shared" si="80"/>
        <v>202408</v>
      </c>
      <c r="E167">
        <f t="shared" si="81"/>
        <v>3</v>
      </c>
      <c r="F167">
        <f t="shared" si="82"/>
        <v>202403</v>
      </c>
      <c r="G167" t="s">
        <v>300</v>
      </c>
      <c r="H167" s="2">
        <v>5</v>
      </c>
      <c r="I167" s="2">
        <v>4.95</v>
      </c>
      <c r="J167" s="3">
        <v>4.9331107000000003</v>
      </c>
      <c r="K167" s="3">
        <v>4.8519658999999997</v>
      </c>
      <c r="L167" s="3">
        <v>4.7507054999999996</v>
      </c>
      <c r="M167" s="3">
        <v>4.6358224999999997</v>
      </c>
      <c r="N167" s="3">
        <v>4.5190899</v>
      </c>
      <c r="O167" s="3">
        <v>4.4052821</v>
      </c>
      <c r="P167" s="3">
        <v>4.2970065000000002</v>
      </c>
      <c r="Q167" s="3">
        <v>4.1971895999999997</v>
      </c>
      <c r="R167" s="3">
        <v>4.1072819999999997</v>
      </c>
      <c r="S167" s="3">
        <v>4.0280184999999999</v>
      </c>
      <c r="T167" s="3">
        <v>3.9593862999999998</v>
      </c>
      <c r="U167" s="3">
        <v>3.9006017000000002</v>
      </c>
      <c r="V167" s="3">
        <v>3.8501316000000001</v>
      </c>
      <c r="W167" s="3">
        <v>3.8066786000000001</v>
      </c>
      <c r="X167" s="3">
        <v>3.7690492</v>
      </c>
      <c r="Y167" s="3">
        <v>3.7360484</v>
      </c>
      <c r="Z167" s="3">
        <v>3.7064815000000002</v>
      </c>
      <c r="AA167" s="3">
        <v>3.6791548000000001</v>
      </c>
      <c r="AB167" s="3">
        <v>3.6530320000000001</v>
      </c>
      <c r="AC167" s="3">
        <v>3.6278888</v>
      </c>
      <c r="AD167" s="3">
        <v>3.6037610999999998</v>
      </c>
      <c r="AE167" s="3">
        <v>3.5806841999999999</v>
      </c>
      <c r="AF167" s="3">
        <v>3.5586931000000002</v>
      </c>
      <c r="AG167" s="3">
        <v>3.5378238999999998</v>
      </c>
      <c r="AH167" s="3">
        <v>3.5181041999999998</v>
      </c>
      <c r="AI167" s="3">
        <v>3.4995245000000001</v>
      </c>
      <c r="AJ167" s="3">
        <v>3.4820646000000002</v>
      </c>
      <c r="AK167" s="3">
        <v>3.4657038</v>
      </c>
      <c r="AL167" s="3">
        <v>3.4504212999999999</v>
      </c>
      <c r="AM167" s="3">
        <v>3.4361969999999999</v>
      </c>
      <c r="AN167" s="3">
        <v>3.4230100000000001</v>
      </c>
      <c r="AO167" s="3">
        <v>3.4108398000000002</v>
      </c>
      <c r="AP167" s="3">
        <v>3.3996659</v>
      </c>
      <c r="AQ167" s="3">
        <v>3.3894677</v>
      </c>
      <c r="AR167" s="3">
        <v>3.3802246</v>
      </c>
      <c r="AS167" s="3">
        <v>3.3719161</v>
      </c>
      <c r="AT167" s="3">
        <v>3.3645185999999998</v>
      </c>
      <c r="AU167" s="3">
        <v>3.3579946000000001</v>
      </c>
      <c r="AV167" s="3">
        <v>3.3523035000000001</v>
      </c>
      <c r="AW167" s="3">
        <v>3.347404</v>
      </c>
      <c r="AX167" s="3">
        <v>3.3432552000000002</v>
      </c>
      <c r="AY167" s="3">
        <v>3.3398161000000002</v>
      </c>
      <c r="AZ167" s="3">
        <v>3.3370457999999998</v>
      </c>
      <c r="BA167" s="3">
        <v>3.3349031</v>
      </c>
      <c r="BB167" s="3">
        <v>3.3333472</v>
      </c>
      <c r="BC167" s="3">
        <v>3.3323371000000002</v>
      </c>
      <c r="BD167" s="3">
        <v>3.3318317</v>
      </c>
      <c r="BE167" s="3">
        <v>3.3317899999999998</v>
      </c>
      <c r="BF167" s="3">
        <v>3.3321757999999999</v>
      </c>
      <c r="BG167" s="3">
        <v>3.3329735999999999</v>
      </c>
      <c r="BH167" s="3">
        <v>3.3341734000000001</v>
      </c>
      <c r="BI167" s="3">
        <v>3.3357656000000002</v>
      </c>
      <c r="BJ167" s="3">
        <v>3.3377403999999999</v>
      </c>
      <c r="BK167" s="3">
        <v>3.3400878999999999</v>
      </c>
      <c r="BL167" s="3">
        <v>3.3427983000000001</v>
      </c>
      <c r="BM167" s="3">
        <v>3.3458619000000001</v>
      </c>
      <c r="BN167" s="3">
        <v>3.3492687999999999</v>
      </c>
      <c r="BO167" s="3">
        <v>3.3530091999999998</v>
      </c>
      <c r="BP167" s="3">
        <v>3.3570734</v>
      </c>
      <c r="BQ167" s="3">
        <v>3.3614516000000001</v>
      </c>
      <c r="BR167" s="3">
        <v>3.3937987000000001</v>
      </c>
      <c r="BS167" s="3">
        <v>3.4351851999999998</v>
      </c>
    </row>
    <row r="168" spans="1:71" x14ac:dyDescent="0.35">
      <c r="A168" s="6">
        <f t="shared" si="83"/>
        <v>45513</v>
      </c>
      <c r="B168">
        <f t="shared" si="78"/>
        <v>8</v>
      </c>
      <c r="C168">
        <f t="shared" si="79"/>
        <v>2024</v>
      </c>
      <c r="D168">
        <f t="shared" si="80"/>
        <v>202408</v>
      </c>
      <c r="E168">
        <f t="shared" si="81"/>
        <v>3</v>
      </c>
      <c r="F168">
        <f t="shared" si="82"/>
        <v>202403</v>
      </c>
      <c r="G168" t="s">
        <v>301</v>
      </c>
      <c r="H168" s="2">
        <v>5</v>
      </c>
      <c r="I168" s="2">
        <v>4.95</v>
      </c>
      <c r="J168" s="3">
        <v>4.9292503999999999</v>
      </c>
      <c r="K168" s="3">
        <v>4.8403371999999996</v>
      </c>
      <c r="L168" s="3">
        <v>4.7357569000000002</v>
      </c>
      <c r="M168" s="3">
        <v>4.6193809999999997</v>
      </c>
      <c r="N168" s="3">
        <v>4.5010453999999998</v>
      </c>
      <c r="O168" s="3">
        <v>4.3857670000000004</v>
      </c>
      <c r="P168" s="3">
        <v>4.2767689000000004</v>
      </c>
      <c r="Q168" s="3">
        <v>4.1770204</v>
      </c>
      <c r="R168" s="3">
        <v>4.0878144000000001</v>
      </c>
      <c r="S168" s="3">
        <v>4.0094618999999998</v>
      </c>
      <c r="T168" s="3">
        <v>3.9415616</v>
      </c>
      <c r="U168" s="3">
        <v>3.8827202000000001</v>
      </c>
      <c r="V168" s="3">
        <v>3.8305435999999999</v>
      </c>
      <c r="W168" s="3">
        <v>3.7838759</v>
      </c>
      <c r="X168" s="3">
        <v>3.7420247</v>
      </c>
      <c r="Y168" s="3">
        <v>3.7042956</v>
      </c>
      <c r="Z168" s="3">
        <v>3.6699947000000002</v>
      </c>
      <c r="AA168" s="3">
        <v>3.6384292</v>
      </c>
      <c r="AB168" s="3">
        <v>3.6089924999999998</v>
      </c>
      <c r="AC168" s="3">
        <v>3.5814843999999999</v>
      </c>
      <c r="AD168" s="3">
        <v>3.5558231999999999</v>
      </c>
      <c r="AE168" s="3">
        <v>3.5319262</v>
      </c>
      <c r="AF168" s="3">
        <v>3.5097109999999998</v>
      </c>
      <c r="AG168" s="3">
        <v>3.4890957999999999</v>
      </c>
      <c r="AH168" s="3">
        <v>3.4699998999999999</v>
      </c>
      <c r="AI168" s="3">
        <v>3.4523513000000001</v>
      </c>
      <c r="AJ168" s="3">
        <v>3.4360807000000002</v>
      </c>
      <c r="AK168" s="3">
        <v>3.4211185999999998</v>
      </c>
      <c r="AL168" s="3">
        <v>3.4073951</v>
      </c>
      <c r="AM168" s="3">
        <v>3.394841</v>
      </c>
      <c r="AN168" s="3">
        <v>3.3833867</v>
      </c>
      <c r="AO168" s="3">
        <v>3.3729624</v>
      </c>
      <c r="AP168" s="3">
        <v>3.3634989000000002</v>
      </c>
      <c r="AQ168" s="3">
        <v>3.3549266000000002</v>
      </c>
      <c r="AR168" s="3">
        <v>3.3471755999999999</v>
      </c>
      <c r="AS168" s="3">
        <v>3.3401768000000001</v>
      </c>
      <c r="AT168" s="3">
        <v>3.3338676999999999</v>
      </c>
      <c r="AU168" s="3">
        <v>3.3282156000000001</v>
      </c>
      <c r="AV168" s="3">
        <v>3.3231950000000001</v>
      </c>
      <c r="AW168" s="3">
        <v>3.3187804000000001</v>
      </c>
      <c r="AX168" s="3">
        <v>3.3149462000000001</v>
      </c>
      <c r="AY168" s="3">
        <v>3.3116669999999999</v>
      </c>
      <c r="AZ168" s="3">
        <v>3.3089173000000001</v>
      </c>
      <c r="BA168" s="3">
        <v>3.3066715000000002</v>
      </c>
      <c r="BB168" s="3">
        <v>3.3049043</v>
      </c>
      <c r="BC168" s="3">
        <v>3.3035899999999998</v>
      </c>
      <c r="BD168" s="3">
        <v>3.3027031999999998</v>
      </c>
      <c r="BE168" s="3">
        <v>3.3022184000000001</v>
      </c>
      <c r="BF168" s="3">
        <v>3.3021132999999998</v>
      </c>
      <c r="BG168" s="3">
        <v>3.3023799</v>
      </c>
      <c r="BH168" s="3">
        <v>3.3030140000000001</v>
      </c>
      <c r="BI168" s="3">
        <v>3.3040115999999999</v>
      </c>
      <c r="BJ168" s="3">
        <v>3.3053685000000002</v>
      </c>
      <c r="BK168" s="3">
        <v>3.3070805000000001</v>
      </c>
      <c r="BL168" s="3">
        <v>3.3091436000000001</v>
      </c>
      <c r="BM168" s="3">
        <v>3.3115535999999999</v>
      </c>
      <c r="BN168" s="3">
        <v>3.3143064999999998</v>
      </c>
      <c r="BO168" s="3">
        <v>3.3173979999999998</v>
      </c>
      <c r="BP168" s="3">
        <v>3.3208242000000001</v>
      </c>
      <c r="BQ168" s="3">
        <v>3.3245806999999998</v>
      </c>
      <c r="BR168" s="3">
        <v>3.3537270000000001</v>
      </c>
      <c r="BS168" s="3">
        <v>3.3931125</v>
      </c>
    </row>
    <row r="169" spans="1:71" x14ac:dyDescent="0.35">
      <c r="A169" s="6">
        <f t="shared" si="83"/>
        <v>45516</v>
      </c>
      <c r="B169">
        <f t="shared" si="78"/>
        <v>8</v>
      </c>
      <c r="C169">
        <f t="shared" si="79"/>
        <v>2024</v>
      </c>
      <c r="D169">
        <f t="shared" si="80"/>
        <v>202408</v>
      </c>
      <c r="E169">
        <f t="shared" si="81"/>
        <v>3</v>
      </c>
      <c r="F169">
        <f t="shared" si="82"/>
        <v>202403</v>
      </c>
      <c r="G169" t="s">
        <v>302</v>
      </c>
      <c r="H169" s="2">
        <v>5</v>
      </c>
      <c r="I169" s="2">
        <v>4.95</v>
      </c>
      <c r="J169" s="3">
        <v>4.9288447</v>
      </c>
      <c r="K169" s="3">
        <v>4.8374725999999999</v>
      </c>
      <c r="L169" s="3">
        <v>4.7332916999999997</v>
      </c>
      <c r="M169" s="3">
        <v>4.6187876000000001</v>
      </c>
      <c r="N169" s="3">
        <v>4.5023387000000001</v>
      </c>
      <c r="O169" s="3">
        <v>4.3883073000000001</v>
      </c>
      <c r="P169" s="3">
        <v>4.2797907000000004</v>
      </c>
      <c r="Q169" s="3">
        <v>4.1797901</v>
      </c>
      <c r="R169" s="3">
        <v>4.0903976000000002</v>
      </c>
      <c r="S169" s="3">
        <v>4.0121831999999999</v>
      </c>
      <c r="T169" s="3">
        <v>3.9451048000000002</v>
      </c>
      <c r="U169" s="3">
        <v>3.8878056999999999</v>
      </c>
      <c r="V169" s="3">
        <v>3.8377799000000001</v>
      </c>
      <c r="W169" s="3">
        <v>3.7936936999999999</v>
      </c>
      <c r="X169" s="3">
        <v>3.7545994999999999</v>
      </c>
      <c r="Y169" s="3">
        <v>3.7195483</v>
      </c>
      <c r="Z169" s="3">
        <v>3.6875912</v>
      </c>
      <c r="AA169" s="3">
        <v>3.6577804</v>
      </c>
      <c r="AB169" s="3">
        <v>3.6293039999999999</v>
      </c>
      <c r="AC169" s="3">
        <v>3.6019853999999998</v>
      </c>
      <c r="AD169" s="3">
        <v>3.5758329</v>
      </c>
      <c r="AE169" s="3">
        <v>3.5508541</v>
      </c>
      <c r="AF169" s="3">
        <v>3.5270565</v>
      </c>
      <c r="AG169" s="3">
        <v>3.5044483</v>
      </c>
      <c r="AH169" s="3">
        <v>3.4830304999999999</v>
      </c>
      <c r="AI169" s="3">
        <v>3.4627767999999999</v>
      </c>
      <c r="AJ169" s="3">
        <v>3.4436551</v>
      </c>
      <c r="AK169" s="3">
        <v>3.4256327</v>
      </c>
      <c r="AL169" s="3">
        <v>3.4086766000000002</v>
      </c>
      <c r="AM169" s="3">
        <v>3.3927546999999998</v>
      </c>
      <c r="AN169" s="3">
        <v>3.3778340999999998</v>
      </c>
      <c r="AO169" s="3">
        <v>3.3638821999999999</v>
      </c>
      <c r="AP169" s="3">
        <v>3.3508665999999998</v>
      </c>
      <c r="AQ169" s="3">
        <v>3.3387544999999998</v>
      </c>
      <c r="AR169" s="3">
        <v>3.3275133000000001</v>
      </c>
      <c r="AS169" s="3">
        <v>3.3171105000000001</v>
      </c>
      <c r="AT169" s="3">
        <v>3.3075155999999999</v>
      </c>
      <c r="AU169" s="3">
        <v>3.2987066</v>
      </c>
      <c r="AV169" s="3">
        <v>3.2906639000000002</v>
      </c>
      <c r="AW169" s="3">
        <v>3.2833678000000002</v>
      </c>
      <c r="AX169" s="3">
        <v>3.2767984000000001</v>
      </c>
      <c r="AY169" s="3">
        <v>3.2709362</v>
      </c>
      <c r="AZ169" s="3">
        <v>3.2657614000000001</v>
      </c>
      <c r="BA169" s="3">
        <v>3.2612540999999999</v>
      </c>
      <c r="BB169" s="3">
        <v>3.2573946999999999</v>
      </c>
      <c r="BC169" s="3">
        <v>3.2541635000000002</v>
      </c>
      <c r="BD169" s="3">
        <v>3.2515407000000001</v>
      </c>
      <c r="BE169" s="3">
        <v>3.2495067</v>
      </c>
      <c r="BF169" s="3">
        <v>3.2480424000000001</v>
      </c>
      <c r="BG169" s="3">
        <v>3.2471336000000002</v>
      </c>
      <c r="BH169" s="3">
        <v>3.2467671999999999</v>
      </c>
      <c r="BI169" s="3">
        <v>3.2469305999999998</v>
      </c>
      <c r="BJ169" s="3">
        <v>3.2476107000000001</v>
      </c>
      <c r="BK169" s="3">
        <v>3.2487946000000001</v>
      </c>
      <c r="BL169" s="3">
        <v>3.2504696000000002</v>
      </c>
      <c r="BM169" s="3">
        <v>3.2526226</v>
      </c>
      <c r="BN169" s="3">
        <v>3.2552408000000002</v>
      </c>
      <c r="BO169" s="3">
        <v>3.2583114000000002</v>
      </c>
      <c r="BP169" s="3">
        <v>3.2618214999999999</v>
      </c>
      <c r="BQ169" s="3">
        <v>3.2657579999999999</v>
      </c>
      <c r="BR169" s="3">
        <v>3.2974766</v>
      </c>
      <c r="BS169" s="3">
        <v>3.3404639999999999</v>
      </c>
    </row>
    <row r="170" spans="1:71" x14ac:dyDescent="0.35">
      <c r="A170" s="6">
        <f t="shared" si="83"/>
        <v>45517</v>
      </c>
      <c r="B170">
        <f t="shared" si="78"/>
        <v>8</v>
      </c>
      <c r="C170">
        <f t="shared" si="79"/>
        <v>2024</v>
      </c>
      <c r="D170">
        <f t="shared" si="80"/>
        <v>202408</v>
      </c>
      <c r="E170">
        <f t="shared" si="81"/>
        <v>3</v>
      </c>
      <c r="F170">
        <f t="shared" si="82"/>
        <v>202403</v>
      </c>
      <c r="G170" t="s">
        <v>303</v>
      </c>
      <c r="H170" s="2">
        <v>5</v>
      </c>
      <c r="I170" s="2">
        <v>4.95</v>
      </c>
      <c r="J170" s="3">
        <v>4.9285202000000004</v>
      </c>
      <c r="K170" s="3">
        <v>4.8383650999999999</v>
      </c>
      <c r="L170" s="3">
        <v>4.7305998000000002</v>
      </c>
      <c r="M170" s="3">
        <v>4.6089982000000003</v>
      </c>
      <c r="N170" s="3">
        <v>4.4840543999999998</v>
      </c>
      <c r="O170" s="3">
        <v>4.3617436999999999</v>
      </c>
      <c r="P170" s="3">
        <v>4.2460293</v>
      </c>
      <c r="Q170" s="3">
        <v>4.1403926999999996</v>
      </c>
      <c r="R170" s="3">
        <v>4.0469179999999998</v>
      </c>
      <c r="S170" s="3">
        <v>3.9659995000000001</v>
      </c>
      <c r="T170" s="3">
        <v>3.8972711000000002</v>
      </c>
      <c r="U170" s="3">
        <v>3.8390996999999998</v>
      </c>
      <c r="V170" s="3">
        <v>3.7886441999999998</v>
      </c>
      <c r="W170" s="3">
        <v>3.7444494000000001</v>
      </c>
      <c r="X170" s="3">
        <v>3.7055015</v>
      </c>
      <c r="Y170" s="3">
        <v>3.6707850999999998</v>
      </c>
      <c r="Z170" s="3">
        <v>3.6392848999999998</v>
      </c>
      <c r="AA170" s="3">
        <v>3.6099869</v>
      </c>
      <c r="AB170" s="3">
        <v>3.5820224000000001</v>
      </c>
      <c r="AC170" s="3">
        <v>3.5552030999999999</v>
      </c>
      <c r="AD170" s="3">
        <v>3.5295383</v>
      </c>
      <c r="AE170" s="3">
        <v>3.5050366999999998</v>
      </c>
      <c r="AF170" s="3">
        <v>3.4817068999999998</v>
      </c>
      <c r="AG170" s="3">
        <v>3.4595584000000001</v>
      </c>
      <c r="AH170" s="3">
        <v>3.4385943000000001</v>
      </c>
      <c r="AI170" s="3">
        <v>3.4187962999999999</v>
      </c>
      <c r="AJ170" s="3">
        <v>3.4001408999999998</v>
      </c>
      <c r="AK170" s="3">
        <v>3.3826043000000001</v>
      </c>
      <c r="AL170" s="3">
        <v>3.3661626</v>
      </c>
      <c r="AM170" s="3">
        <v>3.3507924999999998</v>
      </c>
      <c r="AN170" s="3">
        <v>3.3364699999999998</v>
      </c>
      <c r="AO170" s="3">
        <v>3.3231712</v>
      </c>
      <c r="AP170" s="3">
        <v>3.3108729000000001</v>
      </c>
      <c r="AQ170" s="3">
        <v>3.2995510000000001</v>
      </c>
      <c r="AR170" s="3">
        <v>3.2891818000000002</v>
      </c>
      <c r="AS170" s="3">
        <v>3.2797418999999999</v>
      </c>
      <c r="AT170" s="3">
        <v>3.2712059999999998</v>
      </c>
      <c r="AU170" s="3">
        <v>3.2635442000000001</v>
      </c>
      <c r="AV170" s="3">
        <v>3.2567252</v>
      </c>
      <c r="AW170" s="3">
        <v>3.2507179000000002</v>
      </c>
      <c r="AX170" s="3">
        <v>3.2454907999999998</v>
      </c>
      <c r="AY170" s="3">
        <v>3.2410128</v>
      </c>
      <c r="AZ170" s="3">
        <v>3.2372526000000001</v>
      </c>
      <c r="BA170" s="3">
        <v>3.2341788</v>
      </c>
      <c r="BB170" s="3">
        <v>3.2317602999999999</v>
      </c>
      <c r="BC170" s="3">
        <v>3.2299658</v>
      </c>
      <c r="BD170" s="3">
        <v>3.228764</v>
      </c>
      <c r="BE170" s="3">
        <v>3.2281236999999998</v>
      </c>
      <c r="BF170" s="3">
        <v>3.2280156</v>
      </c>
      <c r="BG170" s="3">
        <v>3.228421</v>
      </c>
      <c r="BH170" s="3">
        <v>3.2293240000000001</v>
      </c>
      <c r="BI170" s="3">
        <v>3.2307089000000002</v>
      </c>
      <c r="BJ170" s="3">
        <v>3.2325599999999999</v>
      </c>
      <c r="BK170" s="3">
        <v>3.2348615000000001</v>
      </c>
      <c r="BL170" s="3">
        <v>3.2375976</v>
      </c>
      <c r="BM170" s="3">
        <v>3.2407528000000001</v>
      </c>
      <c r="BN170" s="3">
        <v>3.2443110000000002</v>
      </c>
      <c r="BO170" s="3">
        <v>3.2482567000000002</v>
      </c>
      <c r="BP170" s="3">
        <v>3.2525740999999999</v>
      </c>
      <c r="BQ170" s="3">
        <v>3.2572473999999998</v>
      </c>
      <c r="BR170" s="3">
        <v>3.2919759000000002</v>
      </c>
      <c r="BS170" s="3">
        <v>3.3361318</v>
      </c>
    </row>
    <row r="171" spans="1:71" x14ac:dyDescent="0.35">
      <c r="A171" s="6">
        <f t="shared" si="83"/>
        <v>45518</v>
      </c>
      <c r="B171">
        <f t="shared" si="78"/>
        <v>8</v>
      </c>
      <c r="C171">
        <f t="shared" si="79"/>
        <v>2024</v>
      </c>
      <c r="D171">
        <f t="shared" si="80"/>
        <v>202408</v>
      </c>
      <c r="E171">
        <f t="shared" si="81"/>
        <v>3</v>
      </c>
      <c r="F171">
        <f t="shared" si="82"/>
        <v>202403</v>
      </c>
      <c r="G171" t="s">
        <v>304</v>
      </c>
      <c r="H171" s="2">
        <v>5</v>
      </c>
      <c r="I171" s="2">
        <v>4.95</v>
      </c>
      <c r="J171" s="3">
        <v>4.9286209999999997</v>
      </c>
      <c r="K171" s="3">
        <v>4.8308815999999997</v>
      </c>
      <c r="L171" s="3">
        <v>4.7177268000000003</v>
      </c>
      <c r="M171" s="3">
        <v>4.5909402000000004</v>
      </c>
      <c r="N171" s="3">
        <v>4.4609892999999996</v>
      </c>
      <c r="O171" s="3">
        <v>4.3348700999999998</v>
      </c>
      <c r="P171" s="3">
        <v>4.2169774000000002</v>
      </c>
      <c r="Q171" s="3">
        <v>4.1107981000000002</v>
      </c>
      <c r="R171" s="3">
        <v>4.0179118000000003</v>
      </c>
      <c r="S171" s="3">
        <v>3.9384926999999998</v>
      </c>
      <c r="T171" s="3">
        <v>3.8714146</v>
      </c>
      <c r="U171" s="3">
        <v>3.8150691999999999</v>
      </c>
      <c r="V171" s="3">
        <v>3.7662553999999999</v>
      </c>
      <c r="W171" s="3">
        <v>3.7233895000000001</v>
      </c>
      <c r="X171" s="3">
        <v>3.6854269</v>
      </c>
      <c r="Y171" s="3">
        <v>3.6513209999999998</v>
      </c>
      <c r="Z171" s="3">
        <v>3.6200256999999998</v>
      </c>
      <c r="AA171" s="3">
        <v>3.5904959999999999</v>
      </c>
      <c r="AB171" s="3">
        <v>3.5618192999999998</v>
      </c>
      <c r="AC171" s="3">
        <v>3.5338403999999999</v>
      </c>
      <c r="AD171" s="3">
        <v>3.5066714999999999</v>
      </c>
      <c r="AE171" s="3">
        <v>3.4804236999999998</v>
      </c>
      <c r="AF171" s="3">
        <v>3.4552086000000002</v>
      </c>
      <c r="AG171" s="3">
        <v>3.4311383000000002</v>
      </c>
      <c r="AH171" s="3">
        <v>3.4083033</v>
      </c>
      <c r="AI171" s="3">
        <v>3.3867094</v>
      </c>
      <c r="AJ171" s="3">
        <v>3.3663424000000002</v>
      </c>
      <c r="AK171" s="3">
        <v>3.3471872</v>
      </c>
      <c r="AL171" s="3">
        <v>3.3292288000000001</v>
      </c>
      <c r="AM171" s="3">
        <v>3.3124527000000001</v>
      </c>
      <c r="AN171" s="3">
        <v>3.2968438</v>
      </c>
      <c r="AO171" s="3">
        <v>3.2823872999999999</v>
      </c>
      <c r="AP171" s="3">
        <v>3.2690686000000002</v>
      </c>
      <c r="AQ171" s="3">
        <v>3.2568725999999999</v>
      </c>
      <c r="AR171" s="3">
        <v>3.2457845000000001</v>
      </c>
      <c r="AS171" s="3">
        <v>3.2357897000000002</v>
      </c>
      <c r="AT171" s="3">
        <v>3.2268685000000001</v>
      </c>
      <c r="AU171" s="3">
        <v>3.2189793</v>
      </c>
      <c r="AV171" s="3">
        <v>3.2120734999999998</v>
      </c>
      <c r="AW171" s="3">
        <v>3.2061025999999999</v>
      </c>
      <c r="AX171" s="3">
        <v>3.2010179999999999</v>
      </c>
      <c r="AY171" s="3">
        <v>3.1967712000000001</v>
      </c>
      <c r="AZ171" s="3">
        <v>3.1933136000000002</v>
      </c>
      <c r="BA171" s="3">
        <v>3.1905966000000001</v>
      </c>
      <c r="BB171" s="3">
        <v>3.1885718000000001</v>
      </c>
      <c r="BC171" s="3">
        <v>3.1871906000000001</v>
      </c>
      <c r="BD171" s="3">
        <v>3.1864043999999998</v>
      </c>
      <c r="BE171" s="3">
        <v>3.1861647</v>
      </c>
      <c r="BF171" s="3">
        <v>3.1864275000000002</v>
      </c>
      <c r="BG171" s="3">
        <v>3.1871694000000002</v>
      </c>
      <c r="BH171" s="3">
        <v>3.1883726000000001</v>
      </c>
      <c r="BI171" s="3">
        <v>3.1900192000000001</v>
      </c>
      <c r="BJ171" s="3">
        <v>3.1920913999999998</v>
      </c>
      <c r="BK171" s="3">
        <v>3.1945714999999999</v>
      </c>
      <c r="BL171" s="3">
        <v>3.1974415</v>
      </c>
      <c r="BM171" s="3">
        <v>3.2006836999999999</v>
      </c>
      <c r="BN171" s="3">
        <v>3.2042801000000001</v>
      </c>
      <c r="BO171" s="3">
        <v>3.2082131</v>
      </c>
      <c r="BP171" s="3">
        <v>3.2124647999999998</v>
      </c>
      <c r="BQ171" s="3">
        <v>3.2170173000000002</v>
      </c>
      <c r="BR171" s="3">
        <v>3.249968</v>
      </c>
      <c r="BS171" s="3">
        <v>3.2911728</v>
      </c>
    </row>
    <row r="172" spans="1:71" x14ac:dyDescent="0.35">
      <c r="A172" s="6">
        <f t="shared" si="83"/>
        <v>45519</v>
      </c>
      <c r="B172">
        <f t="shared" si="78"/>
        <v>8</v>
      </c>
      <c r="C172">
        <f t="shared" si="79"/>
        <v>2024</v>
      </c>
      <c r="D172">
        <f t="shared" si="80"/>
        <v>202408</v>
      </c>
      <c r="E172">
        <f t="shared" si="81"/>
        <v>3</v>
      </c>
      <c r="F172">
        <f t="shared" si="82"/>
        <v>202403</v>
      </c>
      <c r="G172" t="s">
        <v>305</v>
      </c>
      <c r="H172" s="2">
        <v>5</v>
      </c>
      <c r="I172" s="2">
        <v>4.95</v>
      </c>
      <c r="J172" s="3">
        <v>4.9309164000000001</v>
      </c>
      <c r="K172" s="3">
        <v>4.8441289999999997</v>
      </c>
      <c r="L172" s="3">
        <v>4.7432397000000002</v>
      </c>
      <c r="M172" s="3">
        <v>4.6306418999999996</v>
      </c>
      <c r="N172" s="3">
        <v>4.5151135</v>
      </c>
      <c r="O172" s="3">
        <v>4.4019263999999998</v>
      </c>
      <c r="P172" s="3">
        <v>4.2937782000000002</v>
      </c>
      <c r="Q172" s="3">
        <v>4.1933743999999997</v>
      </c>
      <c r="R172" s="3">
        <v>4.102341</v>
      </c>
      <c r="S172" s="3">
        <v>4.0215009999999998</v>
      </c>
      <c r="T172" s="3">
        <v>3.9508953999999998</v>
      </c>
      <c r="U172" s="3">
        <v>3.8898011000000001</v>
      </c>
      <c r="V172" s="3">
        <v>3.8366734</v>
      </c>
      <c r="W172" s="3">
        <v>3.7903392</v>
      </c>
      <c r="X172" s="3">
        <v>3.7497710999999998</v>
      </c>
      <c r="Y172" s="3">
        <v>3.71394</v>
      </c>
      <c r="Z172" s="3">
        <v>3.6818168999999998</v>
      </c>
      <c r="AA172" s="3">
        <v>3.6523740999999998</v>
      </c>
      <c r="AB172" s="3">
        <v>3.6247066999999999</v>
      </c>
      <c r="AC172" s="3">
        <v>3.5985453000000001</v>
      </c>
      <c r="AD172" s="3">
        <v>3.5738245000000002</v>
      </c>
      <c r="AE172" s="3">
        <v>3.5504777999999999</v>
      </c>
      <c r="AF172" s="3">
        <v>3.5284390000000001</v>
      </c>
      <c r="AG172" s="3">
        <v>3.5076426000000001</v>
      </c>
      <c r="AH172" s="3">
        <v>3.4880270000000002</v>
      </c>
      <c r="AI172" s="3">
        <v>3.4695531000000002</v>
      </c>
      <c r="AJ172" s="3">
        <v>3.4521891999999998</v>
      </c>
      <c r="AK172" s="3">
        <v>3.4359033000000001</v>
      </c>
      <c r="AL172" s="3">
        <v>3.4206631000000001</v>
      </c>
      <c r="AM172" s="3">
        <v>3.4064369000000001</v>
      </c>
      <c r="AN172" s="3">
        <v>3.3931927000000002</v>
      </c>
      <c r="AO172" s="3">
        <v>3.3808981999999999</v>
      </c>
      <c r="AP172" s="3">
        <v>3.3695217</v>
      </c>
      <c r="AQ172" s="3">
        <v>3.3590311000000002</v>
      </c>
      <c r="AR172" s="3">
        <v>3.3493943000000002</v>
      </c>
      <c r="AS172" s="3">
        <v>3.3405795</v>
      </c>
      <c r="AT172" s="3">
        <v>3.3325548</v>
      </c>
      <c r="AU172" s="3">
        <v>3.3252891</v>
      </c>
      <c r="AV172" s="3">
        <v>3.3187521000000002</v>
      </c>
      <c r="AW172" s="3">
        <v>3.3129129000000002</v>
      </c>
      <c r="AX172" s="3">
        <v>3.3077407999999999</v>
      </c>
      <c r="AY172" s="3">
        <v>3.3032053000000001</v>
      </c>
      <c r="AZ172" s="3">
        <v>3.2992756000000001</v>
      </c>
      <c r="BA172" s="3">
        <v>3.2959211000000002</v>
      </c>
      <c r="BB172" s="3">
        <v>3.2931111</v>
      </c>
      <c r="BC172" s="3">
        <v>3.2908149</v>
      </c>
      <c r="BD172" s="3">
        <v>3.2890017999999999</v>
      </c>
      <c r="BE172" s="3">
        <v>3.2876413000000002</v>
      </c>
      <c r="BF172" s="3">
        <v>3.2867058</v>
      </c>
      <c r="BG172" s="3">
        <v>3.2861823999999999</v>
      </c>
      <c r="BH172" s="3">
        <v>3.2860619</v>
      </c>
      <c r="BI172" s="3">
        <v>3.2863351999999999</v>
      </c>
      <c r="BJ172" s="3">
        <v>3.2869931999999999</v>
      </c>
      <c r="BK172" s="3">
        <v>3.2880269000000002</v>
      </c>
      <c r="BL172" s="3">
        <v>3.2894271000000002</v>
      </c>
      <c r="BM172" s="3">
        <v>3.2911849000000002</v>
      </c>
      <c r="BN172" s="3">
        <v>3.2932909000000001</v>
      </c>
      <c r="BO172" s="3">
        <v>3.2957361999999999</v>
      </c>
      <c r="BP172" s="3">
        <v>3.2985117000000002</v>
      </c>
      <c r="BQ172" s="3">
        <v>3.3016082</v>
      </c>
      <c r="BR172" s="3">
        <v>3.3264764000000002</v>
      </c>
      <c r="BS172" s="3">
        <v>3.3609490000000002</v>
      </c>
    </row>
    <row r="173" spans="1:71" x14ac:dyDescent="0.35">
      <c r="A173" s="6">
        <f t="shared" si="83"/>
        <v>45520</v>
      </c>
      <c r="B173">
        <f t="shared" si="78"/>
        <v>8</v>
      </c>
      <c r="C173">
        <f t="shared" si="79"/>
        <v>2024</v>
      </c>
      <c r="D173">
        <f t="shared" si="80"/>
        <v>202408</v>
      </c>
      <c r="E173">
        <f t="shared" si="81"/>
        <v>3</v>
      </c>
      <c r="F173">
        <f t="shared" si="82"/>
        <v>202403</v>
      </c>
      <c r="G173" t="s">
        <v>306</v>
      </c>
      <c r="H173" s="2">
        <v>5</v>
      </c>
      <c r="I173" s="2">
        <v>4.95</v>
      </c>
      <c r="J173" s="3">
        <v>4.9269641999999996</v>
      </c>
      <c r="K173" s="3">
        <v>4.8353770999999997</v>
      </c>
      <c r="L173" s="3">
        <v>4.7335212000000002</v>
      </c>
      <c r="M173" s="3">
        <v>4.6220369999999997</v>
      </c>
      <c r="N173" s="3">
        <v>4.5077205999999999</v>
      </c>
      <c r="O173" s="3">
        <v>4.3964562999999997</v>
      </c>
      <c r="P173" s="3">
        <v>4.2918098000000002</v>
      </c>
      <c r="Q173" s="3">
        <v>4.1964379000000003</v>
      </c>
      <c r="R173" s="3">
        <v>4.1116136000000001</v>
      </c>
      <c r="S173" s="3">
        <v>4.0375541000000004</v>
      </c>
      <c r="T173" s="3">
        <v>3.9737515000000001</v>
      </c>
      <c r="U173" s="3">
        <v>3.9188521999999999</v>
      </c>
      <c r="V173" s="3">
        <v>3.8704250999999998</v>
      </c>
      <c r="W173" s="3">
        <v>3.8272371999999999</v>
      </c>
      <c r="X173" s="3">
        <v>3.7885144999999998</v>
      </c>
      <c r="Y173" s="3">
        <v>3.7534817</v>
      </c>
      <c r="Z173" s="3">
        <v>3.7213636000000001</v>
      </c>
      <c r="AA173" s="3">
        <v>3.6913860000000001</v>
      </c>
      <c r="AB173" s="3">
        <v>3.6628832999999998</v>
      </c>
      <c r="AC173" s="3">
        <v>3.6356982000000002</v>
      </c>
      <c r="AD173" s="3">
        <v>3.6098216999999999</v>
      </c>
      <c r="AE173" s="3">
        <v>3.5852436000000001</v>
      </c>
      <c r="AF173" s="3">
        <v>3.5619542000000002</v>
      </c>
      <c r="AG173" s="3">
        <v>3.5399441</v>
      </c>
      <c r="AH173" s="3">
        <v>3.5191981999999999</v>
      </c>
      <c r="AI173" s="3">
        <v>3.4996770000000001</v>
      </c>
      <c r="AJ173" s="3">
        <v>3.4813356999999998</v>
      </c>
      <c r="AK173" s="3">
        <v>3.4641282000000002</v>
      </c>
      <c r="AL173" s="3">
        <v>3.4480089999999999</v>
      </c>
      <c r="AM173" s="3">
        <v>3.4329326999999998</v>
      </c>
      <c r="AN173" s="3">
        <v>3.4188537000000001</v>
      </c>
      <c r="AO173" s="3">
        <v>3.4057260999999999</v>
      </c>
      <c r="AP173" s="3">
        <v>3.3935048999999999</v>
      </c>
      <c r="AQ173" s="3">
        <v>3.3821441000000001</v>
      </c>
      <c r="AR173" s="3">
        <v>3.3715982000000002</v>
      </c>
      <c r="AS173" s="3">
        <v>3.3618218</v>
      </c>
      <c r="AT173" s="3">
        <v>3.3527727999999999</v>
      </c>
      <c r="AU173" s="3">
        <v>3.3444232</v>
      </c>
      <c r="AV173" s="3">
        <v>3.3367488000000001</v>
      </c>
      <c r="AW173" s="3">
        <v>3.3297254000000001</v>
      </c>
      <c r="AX173" s="3">
        <v>3.3233283999999998</v>
      </c>
      <c r="AY173" s="3">
        <v>3.3175336999999998</v>
      </c>
      <c r="AZ173" s="3">
        <v>3.3123170000000002</v>
      </c>
      <c r="BA173" s="3">
        <v>3.3076539</v>
      </c>
      <c r="BB173" s="3">
        <v>3.3035201000000001</v>
      </c>
      <c r="BC173" s="3">
        <v>3.2998913999999999</v>
      </c>
      <c r="BD173" s="3">
        <v>3.2967433000000002</v>
      </c>
      <c r="BE173" s="3">
        <v>3.2940515000000001</v>
      </c>
      <c r="BF173" s="3">
        <v>3.2917947000000001</v>
      </c>
      <c r="BG173" s="3">
        <v>3.2899638000000002</v>
      </c>
      <c r="BH173" s="3">
        <v>3.2885532</v>
      </c>
      <c r="BI173" s="3">
        <v>3.2875575000000001</v>
      </c>
      <c r="BJ173" s="3">
        <v>3.2869709999999999</v>
      </c>
      <c r="BK173" s="3">
        <v>3.2867883</v>
      </c>
      <c r="BL173" s="3">
        <v>3.2870037999999999</v>
      </c>
      <c r="BM173" s="3">
        <v>3.2876118999999999</v>
      </c>
      <c r="BN173" s="3">
        <v>3.2886072</v>
      </c>
      <c r="BO173" s="3">
        <v>3.289984</v>
      </c>
      <c r="BP173" s="3">
        <v>3.2917369000000001</v>
      </c>
      <c r="BQ173" s="3">
        <v>3.2938603</v>
      </c>
      <c r="BR173" s="3">
        <v>3.3140119000000001</v>
      </c>
      <c r="BS173" s="3">
        <v>3.3457469999999998</v>
      </c>
    </row>
    <row r="174" spans="1:71" x14ac:dyDescent="0.35">
      <c r="A174" s="6">
        <f t="shared" si="83"/>
        <v>45523</v>
      </c>
      <c r="B174">
        <f t="shared" si="78"/>
        <v>8</v>
      </c>
      <c r="C174">
        <f t="shared" si="79"/>
        <v>2024</v>
      </c>
      <c r="D174">
        <f t="shared" si="80"/>
        <v>202408</v>
      </c>
      <c r="E174">
        <f t="shared" si="81"/>
        <v>3</v>
      </c>
      <c r="F174">
        <f t="shared" si="82"/>
        <v>202403</v>
      </c>
      <c r="G174" t="s">
        <v>307</v>
      </c>
      <c r="H174" s="2">
        <v>5</v>
      </c>
      <c r="I174" s="2">
        <v>4.95</v>
      </c>
      <c r="J174" s="3">
        <v>4.9256823000000001</v>
      </c>
      <c r="K174" s="3">
        <v>4.8323955999999999</v>
      </c>
      <c r="L174" s="3">
        <v>4.7308820000000003</v>
      </c>
      <c r="M174" s="3">
        <v>4.6222494000000003</v>
      </c>
      <c r="N174" s="3">
        <v>4.5113165000000004</v>
      </c>
      <c r="O174" s="3">
        <v>4.4017448999999997</v>
      </c>
      <c r="P174" s="3">
        <v>4.2967640999999999</v>
      </c>
      <c r="Q174" s="3">
        <v>4.1998769999999999</v>
      </c>
      <c r="R174" s="3">
        <v>4.1138126000000002</v>
      </c>
      <c r="S174" s="3">
        <v>4.0391781</v>
      </c>
      <c r="T174" s="3">
        <v>3.9758683000000001</v>
      </c>
      <c r="U174" s="3">
        <v>3.9224860000000001</v>
      </c>
      <c r="V174" s="3">
        <v>3.8765477000000002</v>
      </c>
      <c r="W174" s="3">
        <v>3.836624</v>
      </c>
      <c r="X174" s="3">
        <v>3.8016345</v>
      </c>
      <c r="Y174" s="3">
        <v>3.7704971999999999</v>
      </c>
      <c r="Z174" s="3">
        <v>3.7421304000000002</v>
      </c>
      <c r="AA174" s="3">
        <v>3.7154533000000001</v>
      </c>
      <c r="AB174" s="3">
        <v>3.6895451000000001</v>
      </c>
      <c r="AC174" s="3">
        <v>3.6642318999999999</v>
      </c>
      <c r="AD174" s="3">
        <v>3.6395569000000001</v>
      </c>
      <c r="AE174" s="3">
        <v>3.6155624999999998</v>
      </c>
      <c r="AF174" s="3">
        <v>3.5922911000000002</v>
      </c>
      <c r="AG174" s="3">
        <v>3.5697858999999998</v>
      </c>
      <c r="AH174" s="3">
        <v>3.5480828999999998</v>
      </c>
      <c r="AI174" s="3">
        <v>3.5271919</v>
      </c>
      <c r="AJ174" s="3">
        <v>3.507117</v>
      </c>
      <c r="AK174" s="3">
        <v>3.4878618000000001</v>
      </c>
      <c r="AL174" s="3">
        <v>3.4694295999999998</v>
      </c>
      <c r="AM174" s="3">
        <v>3.4518244</v>
      </c>
      <c r="AN174" s="3">
        <v>3.4350497999999998</v>
      </c>
      <c r="AO174" s="3">
        <v>3.4191091999999998</v>
      </c>
      <c r="AP174" s="3">
        <v>3.4040064999999999</v>
      </c>
      <c r="AQ174" s="3">
        <v>3.3897453</v>
      </c>
      <c r="AR174" s="3">
        <v>3.3763290000000001</v>
      </c>
      <c r="AS174" s="3">
        <v>3.3637616000000001</v>
      </c>
      <c r="AT174" s="3">
        <v>3.3520428999999998</v>
      </c>
      <c r="AU174" s="3">
        <v>3.3411575</v>
      </c>
      <c r="AV174" s="3">
        <v>3.3310868</v>
      </c>
      <c r="AW174" s="3">
        <v>3.3218117999999999</v>
      </c>
      <c r="AX174" s="3">
        <v>3.3133135999999999</v>
      </c>
      <c r="AY174" s="3">
        <v>3.3055734000000001</v>
      </c>
      <c r="AZ174" s="3">
        <v>3.2985722000000002</v>
      </c>
      <c r="BA174" s="3">
        <v>3.2922910999999999</v>
      </c>
      <c r="BB174" s="3">
        <v>3.2867112999999999</v>
      </c>
      <c r="BC174" s="3">
        <v>3.2818138000000001</v>
      </c>
      <c r="BD174" s="3">
        <v>3.2775797999999998</v>
      </c>
      <c r="BE174" s="3">
        <v>3.2739904000000002</v>
      </c>
      <c r="BF174" s="3">
        <v>3.2710271</v>
      </c>
      <c r="BG174" s="3">
        <v>3.2686736000000001</v>
      </c>
      <c r="BH174" s="3">
        <v>3.2669144000000001</v>
      </c>
      <c r="BI174" s="3">
        <v>3.2657340000000001</v>
      </c>
      <c r="BJ174" s="3">
        <v>3.2651167999999999</v>
      </c>
      <c r="BK174" s="3">
        <v>3.2650473</v>
      </c>
      <c r="BL174" s="3">
        <v>3.2655101000000002</v>
      </c>
      <c r="BM174" s="3">
        <v>3.2664895</v>
      </c>
      <c r="BN174" s="3">
        <v>3.26797</v>
      </c>
      <c r="BO174" s="3">
        <v>3.2699360999999998</v>
      </c>
      <c r="BP174" s="3">
        <v>3.2723724000000001</v>
      </c>
      <c r="BQ174" s="3">
        <v>3.2752631000000001</v>
      </c>
      <c r="BR174" s="3">
        <v>3.3012020999999998</v>
      </c>
      <c r="BS174" s="3">
        <v>3.3390901999999998</v>
      </c>
    </row>
    <row r="175" spans="1:71" x14ac:dyDescent="0.35">
      <c r="A175" s="6">
        <f t="shared" si="83"/>
        <v>45524</v>
      </c>
      <c r="B175">
        <f t="shared" si="78"/>
        <v>8</v>
      </c>
      <c r="C175">
        <f t="shared" si="79"/>
        <v>2024</v>
      </c>
      <c r="D175">
        <f t="shared" si="80"/>
        <v>202408</v>
      </c>
      <c r="E175">
        <f t="shared" si="81"/>
        <v>3</v>
      </c>
      <c r="F175">
        <f t="shared" si="82"/>
        <v>202403</v>
      </c>
      <c r="G175" t="s">
        <v>308</v>
      </c>
      <c r="H175" s="2">
        <v>5</v>
      </c>
      <c r="I175" s="2">
        <v>4.95</v>
      </c>
      <c r="J175" s="3">
        <v>4.9245504000000002</v>
      </c>
      <c r="K175" s="3">
        <v>4.8312689999999998</v>
      </c>
      <c r="L175" s="3">
        <v>4.7276312999999996</v>
      </c>
      <c r="M175" s="3">
        <v>4.615691</v>
      </c>
      <c r="N175" s="3">
        <v>4.5010232999999999</v>
      </c>
      <c r="O175" s="3">
        <v>4.3880235000000001</v>
      </c>
      <c r="P175" s="3">
        <v>4.2805030000000004</v>
      </c>
      <c r="Q175" s="3">
        <v>4.1822993999999998</v>
      </c>
      <c r="R175" s="3">
        <v>4.0961676000000002</v>
      </c>
      <c r="S175" s="3">
        <v>4.0225175000000002</v>
      </c>
      <c r="T175" s="3">
        <v>3.9608506999999999</v>
      </c>
      <c r="U175" s="3">
        <v>3.9093914999999999</v>
      </c>
      <c r="V175" s="3">
        <v>3.8648997999999999</v>
      </c>
      <c r="W175" s="3">
        <v>3.8258429999999999</v>
      </c>
      <c r="X175" s="3">
        <v>3.7912349000000001</v>
      </c>
      <c r="Y175" s="3">
        <v>3.7600875999999999</v>
      </c>
      <c r="Z175" s="3">
        <v>3.7314134000000001</v>
      </c>
      <c r="AA175" s="3">
        <v>3.7042258000000001</v>
      </c>
      <c r="AB175" s="3">
        <v>3.6776919000000001</v>
      </c>
      <c r="AC175" s="3">
        <v>3.6516972000000001</v>
      </c>
      <c r="AD175" s="3">
        <v>3.6263361999999999</v>
      </c>
      <c r="AE175" s="3">
        <v>3.6017025999999999</v>
      </c>
      <c r="AF175" s="3">
        <v>3.57789</v>
      </c>
      <c r="AG175" s="3">
        <v>3.5549928999999998</v>
      </c>
      <c r="AH175" s="3">
        <v>3.5330878000000001</v>
      </c>
      <c r="AI175" s="3">
        <v>3.5121826</v>
      </c>
      <c r="AJ175" s="3">
        <v>3.4922691000000001</v>
      </c>
      <c r="AK175" s="3">
        <v>3.473338</v>
      </c>
      <c r="AL175" s="3">
        <v>3.4553801000000002</v>
      </c>
      <c r="AM175" s="3">
        <v>3.4383870999999999</v>
      </c>
      <c r="AN175" s="3">
        <v>3.4223498000000001</v>
      </c>
      <c r="AO175" s="3">
        <v>3.4072591000000001</v>
      </c>
      <c r="AP175" s="3">
        <v>3.3931064000000002</v>
      </c>
      <c r="AQ175" s="3">
        <v>3.3798827</v>
      </c>
      <c r="AR175" s="3">
        <v>3.3675788999999998</v>
      </c>
      <c r="AS175" s="3">
        <v>3.3561863000000001</v>
      </c>
      <c r="AT175" s="3">
        <v>3.3456926999999999</v>
      </c>
      <c r="AU175" s="3">
        <v>3.3360720000000001</v>
      </c>
      <c r="AV175" s="3">
        <v>3.3272952999999998</v>
      </c>
      <c r="AW175" s="3">
        <v>3.3193334999999999</v>
      </c>
      <c r="AX175" s="3">
        <v>3.3121572000000001</v>
      </c>
      <c r="AY175" s="3">
        <v>3.3057375000000002</v>
      </c>
      <c r="AZ175" s="3">
        <v>3.3000452</v>
      </c>
      <c r="BA175" s="3">
        <v>3.2950509000000001</v>
      </c>
      <c r="BB175" s="3">
        <v>3.2907259</v>
      </c>
      <c r="BC175" s="3">
        <v>3.2870406999999999</v>
      </c>
      <c r="BD175" s="3">
        <v>3.2839662999999999</v>
      </c>
      <c r="BE175" s="3">
        <v>3.2814735000000002</v>
      </c>
      <c r="BF175" s="3">
        <v>3.2795350999999999</v>
      </c>
      <c r="BG175" s="3">
        <v>3.2781327</v>
      </c>
      <c r="BH175" s="3">
        <v>3.2772510000000001</v>
      </c>
      <c r="BI175" s="3">
        <v>3.2768742999999998</v>
      </c>
      <c r="BJ175" s="3">
        <v>3.2769873</v>
      </c>
      <c r="BK175" s="3">
        <v>3.2775745000000001</v>
      </c>
      <c r="BL175" s="3">
        <v>3.2786203</v>
      </c>
      <c r="BM175" s="3">
        <v>3.2801092000000001</v>
      </c>
      <c r="BN175" s="3">
        <v>3.2820258999999998</v>
      </c>
      <c r="BO175" s="3">
        <v>3.2843547000000002</v>
      </c>
      <c r="BP175" s="3">
        <v>3.2870802000000001</v>
      </c>
      <c r="BQ175" s="3">
        <v>3.2901869000000001</v>
      </c>
      <c r="BR175" s="3">
        <v>3.3160569999999998</v>
      </c>
      <c r="BS175" s="3">
        <v>3.3523030999999999</v>
      </c>
    </row>
    <row r="176" spans="1:71" x14ac:dyDescent="0.35">
      <c r="A176" s="6">
        <f t="shared" si="83"/>
        <v>45525</v>
      </c>
      <c r="B176">
        <f t="shared" si="78"/>
        <v>8</v>
      </c>
      <c r="C176">
        <f t="shared" si="79"/>
        <v>2024</v>
      </c>
      <c r="D176">
        <f t="shared" si="80"/>
        <v>202408</v>
      </c>
      <c r="E176">
        <f t="shared" si="81"/>
        <v>3</v>
      </c>
      <c r="F176">
        <f t="shared" si="82"/>
        <v>202403</v>
      </c>
      <c r="G176" t="s">
        <v>309</v>
      </c>
      <c r="H176" s="2">
        <v>5</v>
      </c>
      <c r="I176" s="2">
        <v>4.95</v>
      </c>
      <c r="J176" s="3">
        <v>4.9211038</v>
      </c>
      <c r="K176" s="3">
        <v>4.8259040999999998</v>
      </c>
      <c r="L176" s="3">
        <v>4.7162623999999997</v>
      </c>
      <c r="M176" s="3">
        <v>4.5963200999999998</v>
      </c>
      <c r="N176" s="3">
        <v>4.4734337000000002</v>
      </c>
      <c r="O176" s="3">
        <v>4.3530223000000001</v>
      </c>
      <c r="P176" s="3">
        <v>4.2396596999999998</v>
      </c>
      <c r="Q176" s="3">
        <v>4.1375985000000002</v>
      </c>
      <c r="R176" s="3">
        <v>4.0494235999999999</v>
      </c>
      <c r="S176" s="3">
        <v>3.9753828000000002</v>
      </c>
      <c r="T176" s="3">
        <v>3.9141887</v>
      </c>
      <c r="U176" s="3">
        <v>3.8639720999999998</v>
      </c>
      <c r="V176" s="3">
        <v>3.8210706999999999</v>
      </c>
      <c r="W176" s="3">
        <v>3.7837567999999999</v>
      </c>
      <c r="X176" s="3">
        <v>3.7509369000000001</v>
      </c>
      <c r="Y176" s="3">
        <v>3.7215164000000001</v>
      </c>
      <c r="Z176" s="3">
        <v>3.6944009000000002</v>
      </c>
      <c r="AA176" s="3">
        <v>3.6684967999999998</v>
      </c>
      <c r="AB176" s="3">
        <v>3.6428569</v>
      </c>
      <c r="AC176" s="3">
        <v>3.6173693999999998</v>
      </c>
      <c r="AD176" s="3">
        <v>3.5922168000000001</v>
      </c>
      <c r="AE176" s="3">
        <v>3.5675811999999998</v>
      </c>
      <c r="AF176" s="3">
        <v>3.5436445999999999</v>
      </c>
      <c r="AG176" s="3">
        <v>3.5205901000000002</v>
      </c>
      <c r="AH176" s="3">
        <v>3.4985685000000002</v>
      </c>
      <c r="AI176" s="3">
        <v>3.4776068000000002</v>
      </c>
      <c r="AJ176" s="3">
        <v>3.4577016999999999</v>
      </c>
      <c r="AK176" s="3">
        <v>3.4388491000000001</v>
      </c>
      <c r="AL176" s="3">
        <v>3.4210448000000002</v>
      </c>
      <c r="AM176" s="3">
        <v>3.4042854999999999</v>
      </c>
      <c r="AN176" s="3">
        <v>3.3885670999999999</v>
      </c>
      <c r="AO176" s="3">
        <v>3.3738855000000001</v>
      </c>
      <c r="AP176" s="3">
        <v>3.3602371999999998</v>
      </c>
      <c r="AQ176" s="3">
        <v>3.3476181999999999</v>
      </c>
      <c r="AR176" s="3">
        <v>3.3360245000000002</v>
      </c>
      <c r="AS176" s="3">
        <v>3.3254526000000002</v>
      </c>
      <c r="AT176" s="3">
        <v>3.3158926000000002</v>
      </c>
      <c r="AU176" s="3">
        <v>3.3073065000000001</v>
      </c>
      <c r="AV176" s="3">
        <v>3.2996482</v>
      </c>
      <c r="AW176" s="3">
        <v>3.2928709</v>
      </c>
      <c r="AX176" s="3">
        <v>3.2869282000000002</v>
      </c>
      <c r="AY176" s="3">
        <v>3.2817737999999999</v>
      </c>
      <c r="AZ176" s="3">
        <v>3.2773610999999998</v>
      </c>
      <c r="BA176" s="3">
        <v>3.2736434999999999</v>
      </c>
      <c r="BB176" s="3">
        <v>3.2705747999999999</v>
      </c>
      <c r="BC176" s="3">
        <v>3.2681083000000002</v>
      </c>
      <c r="BD176" s="3">
        <v>3.2661977000000002</v>
      </c>
      <c r="BE176" s="3">
        <v>3.2647963999999998</v>
      </c>
      <c r="BF176" s="3">
        <v>3.2638628999999999</v>
      </c>
      <c r="BG176" s="3">
        <v>3.2633776000000001</v>
      </c>
      <c r="BH176" s="3">
        <v>3.2633266999999999</v>
      </c>
      <c r="BI176" s="3">
        <v>3.2636967000000001</v>
      </c>
      <c r="BJ176" s="3">
        <v>3.2644739</v>
      </c>
      <c r="BK176" s="3">
        <v>3.2656445999999999</v>
      </c>
      <c r="BL176" s="3">
        <v>3.2671950999999999</v>
      </c>
      <c r="BM176" s="3">
        <v>3.2691119</v>
      </c>
      <c r="BN176" s="3">
        <v>3.2713812</v>
      </c>
      <c r="BO176" s="3">
        <v>3.2739894999999999</v>
      </c>
      <c r="BP176" s="3">
        <v>3.276923</v>
      </c>
      <c r="BQ176" s="3">
        <v>3.2801680000000002</v>
      </c>
      <c r="BR176" s="3">
        <v>3.305628</v>
      </c>
      <c r="BS176" s="3">
        <v>3.3401437999999999</v>
      </c>
    </row>
    <row r="177" spans="1:71" x14ac:dyDescent="0.35">
      <c r="A177" s="6">
        <f t="shared" si="83"/>
        <v>45526</v>
      </c>
      <c r="B177">
        <f t="shared" si="78"/>
        <v>8</v>
      </c>
      <c r="C177">
        <f t="shared" si="79"/>
        <v>2024</v>
      </c>
      <c r="D177">
        <f t="shared" si="80"/>
        <v>202408</v>
      </c>
      <c r="E177">
        <f t="shared" si="81"/>
        <v>3</v>
      </c>
      <c r="F177">
        <f t="shared" si="82"/>
        <v>202403</v>
      </c>
      <c r="G177" t="s">
        <v>310</v>
      </c>
      <c r="H177" s="2">
        <v>5</v>
      </c>
      <c r="I177" s="2">
        <v>4.95</v>
      </c>
      <c r="J177" s="3">
        <v>4.9259807000000002</v>
      </c>
      <c r="K177" s="3">
        <v>4.8341196000000002</v>
      </c>
      <c r="L177" s="3">
        <v>4.7283435999999996</v>
      </c>
      <c r="M177" s="3">
        <v>4.6137990000000002</v>
      </c>
      <c r="N177" s="3">
        <v>4.4973910000000004</v>
      </c>
      <c r="O177" s="3">
        <v>4.3835075999999997</v>
      </c>
      <c r="P177" s="3">
        <v>4.2754791000000001</v>
      </c>
      <c r="Q177" s="3">
        <v>4.1768198999999999</v>
      </c>
      <c r="R177" s="3">
        <v>4.0894820000000003</v>
      </c>
      <c r="S177" s="3">
        <v>4.0142353000000002</v>
      </c>
      <c r="T177" s="3">
        <v>3.9507783000000001</v>
      </c>
      <c r="U177" s="3">
        <v>3.8979219999999999</v>
      </c>
      <c r="V177" s="3">
        <v>3.853399</v>
      </c>
      <c r="W177" s="3">
        <v>3.8156781</v>
      </c>
      <c r="X177" s="3">
        <v>3.7834867000000001</v>
      </c>
      <c r="Y177" s="3">
        <v>3.7555513</v>
      </c>
      <c r="Z177" s="3">
        <v>3.7305982000000002</v>
      </c>
      <c r="AA177" s="3">
        <v>3.7073546999999998</v>
      </c>
      <c r="AB177" s="3">
        <v>3.6847237000000002</v>
      </c>
      <c r="AC177" s="3">
        <v>3.6625122999999999</v>
      </c>
      <c r="AD177" s="3">
        <v>3.6408168000000001</v>
      </c>
      <c r="AE177" s="3">
        <v>3.6197330999999999</v>
      </c>
      <c r="AF177" s="3">
        <v>3.5993569999999999</v>
      </c>
      <c r="AG177" s="3">
        <v>3.5797851999999999</v>
      </c>
      <c r="AH177" s="3">
        <v>3.561099</v>
      </c>
      <c r="AI177" s="3">
        <v>3.5433094999999999</v>
      </c>
      <c r="AJ177" s="3">
        <v>3.5264068000000002</v>
      </c>
      <c r="AK177" s="3">
        <v>3.5103805000000001</v>
      </c>
      <c r="AL177" s="3">
        <v>3.4952201999999999</v>
      </c>
      <c r="AM177" s="3">
        <v>3.4809158999999998</v>
      </c>
      <c r="AN177" s="3">
        <v>3.4674573999999998</v>
      </c>
      <c r="AO177" s="3">
        <v>3.4548342000000001</v>
      </c>
      <c r="AP177" s="3">
        <v>3.4430363000000002</v>
      </c>
      <c r="AQ177" s="3">
        <v>3.4320534999999999</v>
      </c>
      <c r="AR177" s="3">
        <v>3.4218752000000001</v>
      </c>
      <c r="AS177" s="3">
        <v>3.4124916999999999</v>
      </c>
      <c r="AT177" s="3">
        <v>3.4038890999999998</v>
      </c>
      <c r="AU177" s="3">
        <v>3.3960389000000002</v>
      </c>
      <c r="AV177" s="3">
        <v>3.3889089999999999</v>
      </c>
      <c r="AW177" s="3">
        <v>3.3824668</v>
      </c>
      <c r="AX177" s="3">
        <v>3.3766797</v>
      </c>
      <c r="AY177" s="3">
        <v>3.3715153999999998</v>
      </c>
      <c r="AZ177" s="3">
        <v>3.3669414</v>
      </c>
      <c r="BA177" s="3">
        <v>3.3629251999999998</v>
      </c>
      <c r="BB177" s="3">
        <v>3.3594344</v>
      </c>
      <c r="BC177" s="3">
        <v>3.3564365999999999</v>
      </c>
      <c r="BD177" s="3">
        <v>3.3538993000000001</v>
      </c>
      <c r="BE177" s="3">
        <v>3.3517899</v>
      </c>
      <c r="BF177" s="3">
        <v>3.3500804999999998</v>
      </c>
      <c r="BG177" s="3">
        <v>3.3487621000000001</v>
      </c>
      <c r="BH177" s="3">
        <v>3.3478308999999999</v>
      </c>
      <c r="BI177" s="3">
        <v>3.3472833</v>
      </c>
      <c r="BJ177" s="3">
        <v>3.3471156999999998</v>
      </c>
      <c r="BK177" s="3">
        <v>3.3473244000000002</v>
      </c>
      <c r="BL177" s="3">
        <v>3.3479055999999998</v>
      </c>
      <c r="BM177" s="3">
        <v>3.3488557999999999</v>
      </c>
      <c r="BN177" s="3">
        <v>3.3501712000000001</v>
      </c>
      <c r="BO177" s="3">
        <v>3.3518482000000001</v>
      </c>
      <c r="BP177" s="3">
        <v>3.3538831999999998</v>
      </c>
      <c r="BQ177" s="3">
        <v>3.3562723000000001</v>
      </c>
      <c r="BR177" s="3">
        <v>3.3776587999999999</v>
      </c>
      <c r="BS177" s="3">
        <v>3.4097675999999999</v>
      </c>
    </row>
    <row r="178" spans="1:71" x14ac:dyDescent="0.35">
      <c r="A178" s="6">
        <f t="shared" si="83"/>
        <v>45527</v>
      </c>
      <c r="B178">
        <f t="shared" si="78"/>
        <v>8</v>
      </c>
      <c r="C178">
        <f t="shared" si="79"/>
        <v>2024</v>
      </c>
      <c r="D178">
        <f t="shared" si="80"/>
        <v>202408</v>
      </c>
      <c r="E178">
        <f t="shared" si="81"/>
        <v>3</v>
      </c>
      <c r="F178">
        <f t="shared" si="82"/>
        <v>202403</v>
      </c>
      <c r="G178" t="s">
        <v>311</v>
      </c>
      <c r="H178" s="2">
        <v>5</v>
      </c>
      <c r="I178" s="2">
        <v>4.95</v>
      </c>
      <c r="J178" s="3">
        <v>4.9202450999999998</v>
      </c>
      <c r="K178" s="3">
        <v>4.8231983999999999</v>
      </c>
      <c r="L178" s="3">
        <v>4.7112609000000001</v>
      </c>
      <c r="M178" s="3">
        <v>4.5902003000000002</v>
      </c>
      <c r="N178" s="3">
        <v>4.4674262999999996</v>
      </c>
      <c r="O178" s="3">
        <v>4.3482196999999996</v>
      </c>
      <c r="P178" s="3">
        <v>4.2364686000000003</v>
      </c>
      <c r="Q178" s="3">
        <v>4.1355253000000003</v>
      </c>
      <c r="R178" s="3">
        <v>4.0470246000000003</v>
      </c>
      <c r="S178" s="3">
        <v>3.9711465000000001</v>
      </c>
      <c r="T178" s="3">
        <v>3.9071501</v>
      </c>
      <c r="U178" s="3">
        <v>3.8533241</v>
      </c>
      <c r="V178" s="3">
        <v>3.8066292000000002</v>
      </c>
      <c r="W178" s="3">
        <v>3.7656687999999998</v>
      </c>
      <c r="X178" s="3">
        <v>3.7297256999999999</v>
      </c>
      <c r="Y178" s="3">
        <v>3.6980818000000002</v>
      </c>
      <c r="Z178" s="3">
        <v>3.6700192999999999</v>
      </c>
      <c r="AA178" s="3">
        <v>3.6448211000000001</v>
      </c>
      <c r="AB178" s="3">
        <v>3.6218332000000002</v>
      </c>
      <c r="AC178" s="3">
        <v>3.600698</v>
      </c>
      <c r="AD178" s="3">
        <v>3.5811445000000002</v>
      </c>
      <c r="AE178" s="3">
        <v>3.5629010999999999</v>
      </c>
      <c r="AF178" s="3">
        <v>3.545696</v>
      </c>
      <c r="AG178" s="3">
        <v>3.5292582000000001</v>
      </c>
      <c r="AH178" s="3">
        <v>3.5133592</v>
      </c>
      <c r="AI178" s="3">
        <v>3.4979608</v>
      </c>
      <c r="AJ178" s="3">
        <v>3.4830779000000001</v>
      </c>
      <c r="AK178" s="3">
        <v>3.4687250000000001</v>
      </c>
      <c r="AL178" s="3">
        <v>3.4549164999999999</v>
      </c>
      <c r="AM178" s="3">
        <v>3.4416671999999999</v>
      </c>
      <c r="AN178" s="3">
        <v>3.4289915999999998</v>
      </c>
      <c r="AO178" s="3">
        <v>3.4169041</v>
      </c>
      <c r="AP178" s="3">
        <v>3.4054196000000001</v>
      </c>
      <c r="AQ178" s="3">
        <v>3.3945525000000001</v>
      </c>
      <c r="AR178" s="3">
        <v>3.3843171999999999</v>
      </c>
      <c r="AS178" s="3">
        <v>3.3747286000000001</v>
      </c>
      <c r="AT178" s="3">
        <v>3.3657976000000001</v>
      </c>
      <c r="AU178" s="3">
        <v>3.3575208999999999</v>
      </c>
      <c r="AV178" s="3">
        <v>3.3498920000000001</v>
      </c>
      <c r="AW178" s="3">
        <v>3.3429042</v>
      </c>
      <c r="AX178" s="3">
        <v>3.3365505</v>
      </c>
      <c r="AY178" s="3">
        <v>3.3308246000000001</v>
      </c>
      <c r="AZ178" s="3">
        <v>3.3257194999999999</v>
      </c>
      <c r="BA178" s="3">
        <v>3.3212286</v>
      </c>
      <c r="BB178" s="3">
        <v>3.3173452000000001</v>
      </c>
      <c r="BC178" s="3">
        <v>3.3140626000000002</v>
      </c>
      <c r="BD178" s="3">
        <v>3.3113741000000001</v>
      </c>
      <c r="BE178" s="3">
        <v>3.3092730000000001</v>
      </c>
      <c r="BF178" s="3">
        <v>3.3077502000000001</v>
      </c>
      <c r="BG178" s="3">
        <v>3.3067864999999999</v>
      </c>
      <c r="BH178" s="3">
        <v>3.3063600000000002</v>
      </c>
      <c r="BI178" s="3">
        <v>3.3064486</v>
      </c>
      <c r="BJ178" s="3">
        <v>3.3070301999999998</v>
      </c>
      <c r="BK178" s="3">
        <v>3.3080829</v>
      </c>
      <c r="BL178" s="3">
        <v>3.3095846</v>
      </c>
      <c r="BM178" s="3">
        <v>3.3115133999999999</v>
      </c>
      <c r="BN178" s="3">
        <v>3.313847</v>
      </c>
      <c r="BO178" s="3">
        <v>3.3165637000000001</v>
      </c>
      <c r="BP178" s="3">
        <v>3.3196412999999998</v>
      </c>
      <c r="BQ178" s="3">
        <v>3.3230577000000001</v>
      </c>
      <c r="BR178" s="3">
        <v>3.3497908999999999</v>
      </c>
      <c r="BS178" s="3">
        <v>3.3853037000000001</v>
      </c>
    </row>
    <row r="179" spans="1:71" x14ac:dyDescent="0.35">
      <c r="A179" s="6">
        <f t="shared" si="83"/>
        <v>45530</v>
      </c>
      <c r="B179">
        <f t="shared" si="78"/>
        <v>8</v>
      </c>
      <c r="C179">
        <f t="shared" si="79"/>
        <v>2024</v>
      </c>
      <c r="D179">
        <f t="shared" si="80"/>
        <v>202408</v>
      </c>
      <c r="E179">
        <f t="shared" si="81"/>
        <v>3</v>
      </c>
      <c r="F179">
        <f t="shared" si="82"/>
        <v>202403</v>
      </c>
      <c r="G179" t="s">
        <v>312</v>
      </c>
      <c r="H179" s="2">
        <v>5</v>
      </c>
      <c r="I179" s="2" t="e">
        <v>#N/A</v>
      </c>
      <c r="J179" s="3" t="e">
        <v>#N/A</v>
      </c>
      <c r="K179" s="3" t="e">
        <v>#N/A</v>
      </c>
      <c r="L179" s="3" t="e">
        <v>#N/A</v>
      </c>
      <c r="M179" s="3" t="e">
        <v>#N/A</v>
      </c>
      <c r="N179" s="3" t="e">
        <v>#N/A</v>
      </c>
      <c r="O179" s="3" t="e">
        <v>#N/A</v>
      </c>
      <c r="P179" s="3" t="e">
        <v>#N/A</v>
      </c>
      <c r="Q179" s="3" t="e">
        <v>#N/A</v>
      </c>
      <c r="R179" s="3" t="e">
        <v>#N/A</v>
      </c>
      <c r="S179" s="3" t="e">
        <v>#N/A</v>
      </c>
      <c r="T179" s="3" t="e">
        <v>#N/A</v>
      </c>
      <c r="U179" s="3" t="e">
        <v>#N/A</v>
      </c>
      <c r="V179" s="3" t="e">
        <v>#N/A</v>
      </c>
      <c r="W179" s="3" t="e">
        <v>#N/A</v>
      </c>
      <c r="X179" s="3" t="e">
        <v>#N/A</v>
      </c>
      <c r="Y179" s="3" t="e">
        <v>#N/A</v>
      </c>
      <c r="Z179" s="3" t="e">
        <v>#N/A</v>
      </c>
      <c r="AA179" s="3" t="e">
        <v>#N/A</v>
      </c>
      <c r="AB179" s="3" t="e">
        <v>#N/A</v>
      </c>
      <c r="AC179" s="3" t="e">
        <v>#N/A</v>
      </c>
      <c r="AD179" s="3" t="e">
        <v>#N/A</v>
      </c>
      <c r="AE179" s="3" t="e">
        <v>#N/A</v>
      </c>
      <c r="AF179" s="3" t="e">
        <v>#N/A</v>
      </c>
      <c r="AG179" s="3" t="e">
        <v>#N/A</v>
      </c>
      <c r="AH179" s="3" t="e">
        <v>#N/A</v>
      </c>
      <c r="AI179" s="3" t="e">
        <v>#N/A</v>
      </c>
      <c r="AJ179" s="3" t="e">
        <v>#N/A</v>
      </c>
      <c r="AK179" s="3" t="e">
        <v>#N/A</v>
      </c>
      <c r="AL179" s="3" t="e">
        <v>#N/A</v>
      </c>
      <c r="AM179" s="3" t="e">
        <v>#N/A</v>
      </c>
      <c r="AN179" s="3" t="e">
        <v>#N/A</v>
      </c>
      <c r="AO179" s="3" t="e">
        <v>#N/A</v>
      </c>
      <c r="AP179" s="3" t="e">
        <v>#N/A</v>
      </c>
      <c r="AQ179" s="3" t="e">
        <v>#N/A</v>
      </c>
      <c r="AR179" s="3" t="e">
        <v>#N/A</v>
      </c>
      <c r="AS179" s="3" t="e">
        <v>#N/A</v>
      </c>
      <c r="AT179" s="3" t="e">
        <v>#N/A</v>
      </c>
      <c r="AU179" s="3" t="e">
        <v>#N/A</v>
      </c>
      <c r="AV179" s="3" t="e">
        <v>#N/A</v>
      </c>
      <c r="AW179" s="3" t="e">
        <v>#N/A</v>
      </c>
      <c r="AX179" s="3" t="e">
        <v>#N/A</v>
      </c>
      <c r="AY179" s="3" t="e">
        <v>#N/A</v>
      </c>
      <c r="AZ179" s="3" t="e">
        <v>#N/A</v>
      </c>
      <c r="BA179" s="3" t="e">
        <v>#N/A</v>
      </c>
      <c r="BB179" s="3" t="e">
        <v>#N/A</v>
      </c>
      <c r="BC179" s="3" t="e">
        <v>#N/A</v>
      </c>
      <c r="BD179" s="3" t="e">
        <v>#N/A</v>
      </c>
      <c r="BE179" s="3" t="e">
        <v>#N/A</v>
      </c>
      <c r="BF179" s="3" t="e">
        <v>#N/A</v>
      </c>
      <c r="BG179" s="3" t="e">
        <v>#N/A</v>
      </c>
      <c r="BH179" s="3" t="e">
        <v>#N/A</v>
      </c>
      <c r="BI179" s="3" t="e">
        <v>#N/A</v>
      </c>
      <c r="BJ179" s="3" t="e">
        <v>#N/A</v>
      </c>
      <c r="BK179" s="3" t="e">
        <v>#N/A</v>
      </c>
      <c r="BL179" s="3" t="e">
        <v>#N/A</v>
      </c>
      <c r="BM179" s="3" t="e">
        <v>#N/A</v>
      </c>
      <c r="BN179" s="3" t="e">
        <v>#N/A</v>
      </c>
      <c r="BO179" s="3" t="e">
        <v>#N/A</v>
      </c>
      <c r="BP179" s="3" t="e">
        <v>#N/A</v>
      </c>
      <c r="BQ179" s="3" t="e">
        <v>#N/A</v>
      </c>
      <c r="BR179" s="3" t="e">
        <v>#N/A</v>
      </c>
      <c r="BS179" s="3" t="e">
        <v>#N/A</v>
      </c>
    </row>
    <row r="180" spans="1:71" x14ac:dyDescent="0.35">
      <c r="A180" s="6">
        <f t="shared" si="83"/>
        <v>45531</v>
      </c>
      <c r="B180">
        <f t="shared" si="78"/>
        <v>8</v>
      </c>
      <c r="C180">
        <f t="shared" si="79"/>
        <v>2024</v>
      </c>
      <c r="D180">
        <f t="shared" si="80"/>
        <v>202408</v>
      </c>
      <c r="E180">
        <f t="shared" si="81"/>
        <v>3</v>
      </c>
      <c r="F180">
        <f t="shared" si="82"/>
        <v>202403</v>
      </c>
      <c r="G180" t="s">
        <v>313</v>
      </c>
      <c r="H180" s="2">
        <v>5</v>
      </c>
      <c r="I180" s="2">
        <v>4.95</v>
      </c>
      <c r="J180" s="3">
        <v>4.9155233999999997</v>
      </c>
      <c r="K180" s="3">
        <v>4.8196772000000001</v>
      </c>
      <c r="L180" s="3">
        <v>4.7080793999999999</v>
      </c>
      <c r="M180" s="3">
        <v>4.5892358</v>
      </c>
      <c r="N180" s="3">
        <v>4.4695406000000002</v>
      </c>
      <c r="O180" s="3">
        <v>4.3533755000000003</v>
      </c>
      <c r="P180" s="3">
        <v>4.2449205000000001</v>
      </c>
      <c r="Q180" s="3">
        <v>4.1477281000000001</v>
      </c>
      <c r="R180" s="3">
        <v>4.0640678000000001</v>
      </c>
      <c r="S180" s="3">
        <v>3.9941422000000002</v>
      </c>
      <c r="T180" s="3">
        <v>3.9371556000000001</v>
      </c>
      <c r="U180" s="3">
        <v>3.8910960999999999</v>
      </c>
      <c r="V180" s="3">
        <v>3.8526007</v>
      </c>
      <c r="W180" s="3">
        <v>3.8200021999999998</v>
      </c>
      <c r="X180" s="3">
        <v>3.7921702000000002</v>
      </c>
      <c r="Y180" s="3">
        <v>3.7679732000000001</v>
      </c>
      <c r="Z180" s="3">
        <v>3.7462797000000001</v>
      </c>
      <c r="AA180" s="3">
        <v>3.725959</v>
      </c>
      <c r="AB180" s="3">
        <v>3.7060487000000002</v>
      </c>
      <c r="AC180" s="3">
        <v>3.6863693</v>
      </c>
      <c r="AD180" s="3">
        <v>3.6669692</v>
      </c>
      <c r="AE180" s="3">
        <v>3.6478961000000001</v>
      </c>
      <c r="AF180" s="3">
        <v>3.6291975999999999</v>
      </c>
      <c r="AG180" s="3">
        <v>3.6109220999999998</v>
      </c>
      <c r="AH180" s="3">
        <v>3.5931131999999999</v>
      </c>
      <c r="AI180" s="3">
        <v>3.5757987</v>
      </c>
      <c r="AJ180" s="3">
        <v>3.5590028</v>
      </c>
      <c r="AK180" s="3">
        <v>3.5427493999999999</v>
      </c>
      <c r="AL180" s="3">
        <v>3.5270621000000002</v>
      </c>
      <c r="AM180" s="3">
        <v>3.5119653</v>
      </c>
      <c r="AN180" s="3">
        <v>3.4974827999999998</v>
      </c>
      <c r="AO180" s="3">
        <v>3.4836382000000001</v>
      </c>
      <c r="AP180" s="3">
        <v>3.4704557999999999</v>
      </c>
      <c r="AQ180" s="3">
        <v>3.4579594999999999</v>
      </c>
      <c r="AR180" s="3">
        <v>3.4461729000000001</v>
      </c>
      <c r="AS180" s="3">
        <v>3.4351204000000002</v>
      </c>
      <c r="AT180" s="3">
        <v>3.4248191000000001</v>
      </c>
      <c r="AU180" s="3">
        <v>3.4152602000000001</v>
      </c>
      <c r="AV180" s="3">
        <v>3.4064287000000002</v>
      </c>
      <c r="AW180" s="3">
        <v>3.3983093000000002</v>
      </c>
      <c r="AX180" s="3">
        <v>3.3908863999999999</v>
      </c>
      <c r="AY180" s="3">
        <v>3.3841451999999999</v>
      </c>
      <c r="AZ180" s="3">
        <v>3.3780701999999998</v>
      </c>
      <c r="BA180" s="3">
        <v>3.372646</v>
      </c>
      <c r="BB180" s="3">
        <v>3.3678577000000001</v>
      </c>
      <c r="BC180" s="3">
        <v>3.3636897000000001</v>
      </c>
      <c r="BD180" s="3">
        <v>3.3601269</v>
      </c>
      <c r="BE180" s="3">
        <v>3.357154</v>
      </c>
      <c r="BF180" s="3">
        <v>3.3547557000000001</v>
      </c>
      <c r="BG180" s="3">
        <v>3.3529163999999998</v>
      </c>
      <c r="BH180" s="3">
        <v>3.3516202000000002</v>
      </c>
      <c r="BI180" s="3">
        <v>3.3508515999999999</v>
      </c>
      <c r="BJ180" s="3">
        <v>3.3505946999999998</v>
      </c>
      <c r="BK180" s="3">
        <v>3.3508338000000002</v>
      </c>
      <c r="BL180" s="3">
        <v>3.3515532000000001</v>
      </c>
      <c r="BM180" s="3">
        <v>3.3527372</v>
      </c>
      <c r="BN180" s="3">
        <v>3.3543699</v>
      </c>
      <c r="BO180" s="3">
        <v>3.3564357999999999</v>
      </c>
      <c r="BP180" s="3">
        <v>3.3589190000000002</v>
      </c>
      <c r="BQ180" s="3">
        <v>3.3618036999999998</v>
      </c>
      <c r="BR180" s="3">
        <v>3.3866825</v>
      </c>
      <c r="BS180" s="3">
        <v>3.422161</v>
      </c>
    </row>
    <row r="181" spans="1:71" x14ac:dyDescent="0.35">
      <c r="A181" s="6">
        <f t="shared" si="83"/>
        <v>45532</v>
      </c>
      <c r="B181">
        <f t="shared" si="78"/>
        <v>8</v>
      </c>
      <c r="C181">
        <f t="shared" si="79"/>
        <v>2024</v>
      </c>
      <c r="D181">
        <f t="shared" si="80"/>
        <v>202408</v>
      </c>
      <c r="E181">
        <f t="shared" si="81"/>
        <v>3</v>
      </c>
      <c r="F181">
        <f t="shared" si="82"/>
        <v>202403</v>
      </c>
      <c r="G181" t="s">
        <v>314</v>
      </c>
      <c r="H181" s="2">
        <v>5</v>
      </c>
      <c r="I181" s="2">
        <v>4.95</v>
      </c>
      <c r="J181" s="3">
        <v>4.9147240999999999</v>
      </c>
      <c r="K181" s="3">
        <v>4.8208685999999998</v>
      </c>
      <c r="L181" s="3">
        <v>4.7098015999999996</v>
      </c>
      <c r="M181" s="3">
        <v>4.5906903000000003</v>
      </c>
      <c r="N181" s="3">
        <v>4.4705404</v>
      </c>
      <c r="O181" s="3">
        <v>4.3544315999999998</v>
      </c>
      <c r="P181" s="3">
        <v>4.2471195000000002</v>
      </c>
      <c r="Q181" s="3">
        <v>4.1522049000000001</v>
      </c>
      <c r="R181" s="3">
        <v>4.0712523000000003</v>
      </c>
      <c r="S181" s="3">
        <v>4.0039765000000003</v>
      </c>
      <c r="T181" s="3">
        <v>3.9483948</v>
      </c>
      <c r="U181" s="3">
        <v>3.9020871000000001</v>
      </c>
      <c r="V181" s="3">
        <v>3.8606715999999999</v>
      </c>
      <c r="W181" s="3">
        <v>3.8228102000000002</v>
      </c>
      <c r="X181" s="3">
        <v>3.7881128999999998</v>
      </c>
      <c r="Y181" s="3">
        <v>3.7561881000000001</v>
      </c>
      <c r="Z181" s="3">
        <v>3.7266442999999998</v>
      </c>
      <c r="AA181" s="3">
        <v>3.6990913000000001</v>
      </c>
      <c r="AB181" s="3">
        <v>3.6731815000000001</v>
      </c>
      <c r="AC181" s="3">
        <v>3.6488163999999998</v>
      </c>
      <c r="AD181" s="3">
        <v>3.6259857000000002</v>
      </c>
      <c r="AE181" s="3">
        <v>3.6046784000000001</v>
      </c>
      <c r="AF181" s="3">
        <v>3.5848833999999998</v>
      </c>
      <c r="AG181" s="3">
        <v>3.5665906999999999</v>
      </c>
      <c r="AH181" s="3">
        <v>3.5497760999999999</v>
      </c>
      <c r="AI181" s="3">
        <v>3.5343635</v>
      </c>
      <c r="AJ181" s="3">
        <v>3.5202643</v>
      </c>
      <c r="AK181" s="3">
        <v>3.5073889999999999</v>
      </c>
      <c r="AL181" s="3">
        <v>3.4956486999999998</v>
      </c>
      <c r="AM181" s="3">
        <v>3.4849545000000002</v>
      </c>
      <c r="AN181" s="3">
        <v>3.4752171999999999</v>
      </c>
      <c r="AO181" s="3">
        <v>3.4663477</v>
      </c>
      <c r="AP181" s="3">
        <v>3.4582571</v>
      </c>
      <c r="AQ181" s="3">
        <v>3.4508562999999999</v>
      </c>
      <c r="AR181" s="3">
        <v>3.4440561999999999</v>
      </c>
      <c r="AS181" s="3">
        <v>3.4377678</v>
      </c>
      <c r="AT181" s="3">
        <v>3.4319120999999999</v>
      </c>
      <c r="AU181" s="3">
        <v>3.4264640000000002</v>
      </c>
      <c r="AV181" s="3">
        <v>3.4214166000000001</v>
      </c>
      <c r="AW181" s="3">
        <v>3.4167632000000001</v>
      </c>
      <c r="AX181" s="3">
        <v>3.4124965999999999</v>
      </c>
      <c r="AY181" s="3">
        <v>3.4086101000000002</v>
      </c>
      <c r="AZ181" s="3">
        <v>3.4050967999999999</v>
      </c>
      <c r="BA181" s="3">
        <v>3.4019496</v>
      </c>
      <c r="BB181" s="3">
        <v>3.3991619000000002</v>
      </c>
      <c r="BC181" s="3">
        <v>3.3967266999999999</v>
      </c>
      <c r="BD181" s="3">
        <v>3.3946369000000001</v>
      </c>
      <c r="BE181" s="3">
        <v>3.3928859</v>
      </c>
      <c r="BF181" s="3">
        <v>3.3914675000000001</v>
      </c>
      <c r="BG181" s="3">
        <v>3.3903804000000002</v>
      </c>
      <c r="BH181" s="3">
        <v>3.3896242999999999</v>
      </c>
      <c r="BI181" s="3">
        <v>3.3891993</v>
      </c>
      <c r="BJ181" s="3">
        <v>3.3891051999999999</v>
      </c>
      <c r="BK181" s="3">
        <v>3.3893418</v>
      </c>
      <c r="BL181" s="3">
        <v>3.3899091000000001</v>
      </c>
      <c r="BM181" s="3">
        <v>3.3908070000000001</v>
      </c>
      <c r="BN181" s="3">
        <v>3.3920352999999999</v>
      </c>
      <c r="BO181" s="3">
        <v>3.3935940000000002</v>
      </c>
      <c r="BP181" s="3">
        <v>3.395483</v>
      </c>
      <c r="BQ181" s="3">
        <v>3.3977020000000002</v>
      </c>
      <c r="BR181" s="3">
        <v>3.4176883999999998</v>
      </c>
      <c r="BS181" s="3">
        <v>3.4479856999999998</v>
      </c>
    </row>
    <row r="182" spans="1:71" x14ac:dyDescent="0.35">
      <c r="A182" s="6">
        <f t="shared" si="83"/>
        <v>45533</v>
      </c>
      <c r="B182">
        <f t="shared" si="78"/>
        <v>8</v>
      </c>
      <c r="C182">
        <f t="shared" si="79"/>
        <v>2024</v>
      </c>
      <c r="D182">
        <f t="shared" si="80"/>
        <v>202408</v>
      </c>
      <c r="E182">
        <f t="shared" si="81"/>
        <v>3</v>
      </c>
      <c r="F182">
        <f t="shared" si="82"/>
        <v>202403</v>
      </c>
      <c r="G182" t="s">
        <v>315</v>
      </c>
      <c r="H182" s="2">
        <v>5</v>
      </c>
      <c r="I182" s="2">
        <v>4.95</v>
      </c>
      <c r="J182" s="3">
        <v>4.9128534999999998</v>
      </c>
      <c r="K182" s="3">
        <v>4.8158218000000002</v>
      </c>
      <c r="L182" s="3">
        <v>4.7036191000000001</v>
      </c>
      <c r="M182" s="3">
        <v>4.5852789999999999</v>
      </c>
      <c r="N182" s="3">
        <v>4.4657977000000004</v>
      </c>
      <c r="O182" s="3">
        <v>4.3488955999999996</v>
      </c>
      <c r="P182" s="3">
        <v>4.2389323000000001</v>
      </c>
      <c r="Q182" s="3">
        <v>4.1399068999999997</v>
      </c>
      <c r="R182" s="3">
        <v>4.0532130999999998</v>
      </c>
      <c r="S182" s="3">
        <v>3.9789078999999998</v>
      </c>
      <c r="T182" s="3">
        <v>3.9161136000000001</v>
      </c>
      <c r="U182" s="3">
        <v>3.8634857</v>
      </c>
      <c r="V182" s="3">
        <v>3.8187565999999999</v>
      </c>
      <c r="W182" s="3">
        <v>3.7806356999999999</v>
      </c>
      <c r="X182" s="3">
        <v>3.7481526999999999</v>
      </c>
      <c r="Y182" s="3">
        <v>3.7203360999999999</v>
      </c>
      <c r="Z182" s="3">
        <v>3.6962144000000001</v>
      </c>
      <c r="AA182" s="3">
        <v>3.6748169000000002</v>
      </c>
      <c r="AB182" s="3">
        <v>3.6552768000000002</v>
      </c>
      <c r="AC182" s="3">
        <v>3.6372627</v>
      </c>
      <c r="AD182" s="3">
        <v>3.6206151000000002</v>
      </c>
      <c r="AE182" s="3">
        <v>3.6051738000000002</v>
      </c>
      <c r="AF182" s="3">
        <v>3.5907787</v>
      </c>
      <c r="AG182" s="3">
        <v>3.5772702999999999</v>
      </c>
      <c r="AH182" s="3">
        <v>3.5645041000000002</v>
      </c>
      <c r="AI182" s="3">
        <v>3.5524212999999998</v>
      </c>
      <c r="AJ182" s="3">
        <v>3.5409918</v>
      </c>
      <c r="AK182" s="3">
        <v>3.5301852999999999</v>
      </c>
      <c r="AL182" s="3">
        <v>3.5199714000000002</v>
      </c>
      <c r="AM182" s="3">
        <v>3.5103200999999999</v>
      </c>
      <c r="AN182" s="3">
        <v>3.501201</v>
      </c>
      <c r="AO182" s="3">
        <v>3.4925839000000001</v>
      </c>
      <c r="AP182" s="3">
        <v>3.4844385</v>
      </c>
      <c r="AQ182" s="3">
        <v>3.4767347000000002</v>
      </c>
      <c r="AR182" s="3">
        <v>3.4694419999999999</v>
      </c>
      <c r="AS182" s="3">
        <v>3.4625303999999999</v>
      </c>
      <c r="AT182" s="3">
        <v>3.4559738000000002</v>
      </c>
      <c r="AU182" s="3">
        <v>3.4497661000000002</v>
      </c>
      <c r="AV182" s="3">
        <v>3.4439079000000001</v>
      </c>
      <c r="AW182" s="3">
        <v>3.4383995000000001</v>
      </c>
      <c r="AX182" s="3">
        <v>3.4332410000000002</v>
      </c>
      <c r="AY182" s="3">
        <v>3.4284330000000001</v>
      </c>
      <c r="AZ182" s="3">
        <v>3.4239757000000002</v>
      </c>
      <c r="BA182" s="3">
        <v>3.4198694000000001</v>
      </c>
      <c r="BB182" s="3">
        <v>3.4161144999999999</v>
      </c>
      <c r="BC182" s="3">
        <v>3.4127111999999999</v>
      </c>
      <c r="BD182" s="3">
        <v>3.4096600000000001</v>
      </c>
      <c r="BE182" s="3">
        <v>3.4069611000000002</v>
      </c>
      <c r="BF182" s="3">
        <v>3.4046151</v>
      </c>
      <c r="BG182" s="3">
        <v>3.4026238000000002</v>
      </c>
      <c r="BH182" s="3">
        <v>3.4009893</v>
      </c>
      <c r="BI182" s="3">
        <v>3.3997137999999998</v>
      </c>
      <c r="BJ182" s="3">
        <v>3.3987992</v>
      </c>
      <c r="BK182" s="3">
        <v>3.3982477000000002</v>
      </c>
      <c r="BL182" s="3">
        <v>3.3980614</v>
      </c>
      <c r="BM182" s="3">
        <v>3.3982424</v>
      </c>
      <c r="BN182" s="3">
        <v>3.3987927999999998</v>
      </c>
      <c r="BO182" s="3">
        <v>3.3997147000000001</v>
      </c>
      <c r="BP182" s="3">
        <v>3.4010102</v>
      </c>
      <c r="BQ182" s="3">
        <v>3.4026814000000001</v>
      </c>
      <c r="BR182" s="3">
        <v>3.4203304999999999</v>
      </c>
      <c r="BS182" s="3">
        <v>3.4496973999999998</v>
      </c>
    </row>
    <row r="183" spans="1:71" x14ac:dyDescent="0.35">
      <c r="A183" s="6">
        <f t="shared" si="83"/>
        <v>45534</v>
      </c>
      <c r="B183">
        <f t="shared" si="78"/>
        <v>8</v>
      </c>
      <c r="C183">
        <f t="shared" si="79"/>
        <v>2024</v>
      </c>
      <c r="D183">
        <f t="shared" si="80"/>
        <v>202408</v>
      </c>
      <c r="E183">
        <f t="shared" si="81"/>
        <v>3</v>
      </c>
      <c r="F183">
        <f t="shared" si="82"/>
        <v>202403</v>
      </c>
      <c r="G183" t="s">
        <v>316</v>
      </c>
      <c r="H183" s="2">
        <v>5</v>
      </c>
      <c r="I183" s="2">
        <v>4.95</v>
      </c>
      <c r="J183" s="3">
        <v>4.9142292000000003</v>
      </c>
      <c r="K183" s="3">
        <v>4.8179299000000002</v>
      </c>
      <c r="L183" s="3">
        <v>4.7029605999999999</v>
      </c>
      <c r="M183" s="3">
        <v>4.5820289000000001</v>
      </c>
      <c r="N183" s="3">
        <v>4.4618149999999996</v>
      </c>
      <c r="O183" s="3">
        <v>4.3455396000000004</v>
      </c>
      <c r="P183" s="3">
        <v>4.2374483999999999</v>
      </c>
      <c r="Q183" s="3">
        <v>4.1415478999999999</v>
      </c>
      <c r="R183" s="3">
        <v>4.0592537999999996</v>
      </c>
      <c r="S183" s="3">
        <v>3.9901738999999998</v>
      </c>
      <c r="T183" s="3">
        <v>3.9328530000000002</v>
      </c>
      <c r="U183" s="3">
        <v>3.8850392999999999</v>
      </c>
      <c r="V183" s="3">
        <v>3.8436477999999998</v>
      </c>
      <c r="W183" s="3">
        <v>3.8073614</v>
      </c>
      <c r="X183" s="3">
        <v>3.775487</v>
      </c>
      <c r="Y183" s="3">
        <v>3.7473301000000001</v>
      </c>
      <c r="Z183" s="3">
        <v>3.7221966000000002</v>
      </c>
      <c r="AA183" s="3">
        <v>3.6993931</v>
      </c>
      <c r="AB183" s="3">
        <v>3.6783046000000001</v>
      </c>
      <c r="AC183" s="3">
        <v>3.6586827</v>
      </c>
      <c r="AD183" s="3">
        <v>3.6403859000000001</v>
      </c>
      <c r="AE183" s="3">
        <v>3.6232722000000002</v>
      </c>
      <c r="AF183" s="3">
        <v>3.6071995000000001</v>
      </c>
      <c r="AG183" s="3">
        <v>3.5920264</v>
      </c>
      <c r="AH183" s="3">
        <v>3.577626</v>
      </c>
      <c r="AI183" s="3">
        <v>3.5639452</v>
      </c>
      <c r="AJ183" s="3">
        <v>3.5509539999999999</v>
      </c>
      <c r="AK183" s="3">
        <v>3.5386218999999999</v>
      </c>
      <c r="AL183" s="3">
        <v>3.5269184999999998</v>
      </c>
      <c r="AM183" s="3">
        <v>3.5158136</v>
      </c>
      <c r="AN183" s="3">
        <v>3.5052767</v>
      </c>
      <c r="AO183" s="3">
        <v>3.4952774</v>
      </c>
      <c r="AP183" s="3">
        <v>3.4857855</v>
      </c>
      <c r="AQ183" s="3">
        <v>3.4767706</v>
      </c>
      <c r="AR183" s="3">
        <v>3.4682021000000001</v>
      </c>
      <c r="AS183" s="3">
        <v>3.4600501000000001</v>
      </c>
      <c r="AT183" s="3">
        <v>3.4522897000000001</v>
      </c>
      <c r="AU183" s="3">
        <v>3.4449215999999998</v>
      </c>
      <c r="AV183" s="3">
        <v>3.4379537</v>
      </c>
      <c r="AW183" s="3">
        <v>3.4313937999999999</v>
      </c>
      <c r="AX183" s="3">
        <v>3.4252495999999999</v>
      </c>
      <c r="AY183" s="3">
        <v>3.4195289</v>
      </c>
      <c r="AZ183" s="3">
        <v>3.4142394</v>
      </c>
      <c r="BA183" s="3">
        <v>3.4093889000000002</v>
      </c>
      <c r="BB183" s="3">
        <v>3.4049852</v>
      </c>
      <c r="BC183" s="3">
        <v>3.4010360999999998</v>
      </c>
      <c r="BD183" s="3">
        <v>3.3975491999999998</v>
      </c>
      <c r="BE183" s="3">
        <v>3.3945325</v>
      </c>
      <c r="BF183" s="3">
        <v>3.3919915999999999</v>
      </c>
      <c r="BG183" s="3">
        <v>3.389923</v>
      </c>
      <c r="BH183" s="3">
        <v>3.3883209999999999</v>
      </c>
      <c r="BI183" s="3">
        <v>3.3871796999999999</v>
      </c>
      <c r="BJ183" s="3">
        <v>3.3864931999999999</v>
      </c>
      <c r="BK183" s="3">
        <v>3.3862556000000001</v>
      </c>
      <c r="BL183" s="3">
        <v>3.3864610000000002</v>
      </c>
      <c r="BM183" s="3">
        <v>3.3871036000000001</v>
      </c>
      <c r="BN183" s="3">
        <v>3.3881774999999998</v>
      </c>
      <c r="BO183" s="3">
        <v>3.3896768000000002</v>
      </c>
      <c r="BP183" s="3">
        <v>3.3915956</v>
      </c>
      <c r="BQ183" s="3">
        <v>3.3939281000000001</v>
      </c>
      <c r="BR183" s="3">
        <v>3.4160202000000002</v>
      </c>
      <c r="BS183" s="3">
        <v>3.4499439000000001</v>
      </c>
    </row>
    <row r="184" spans="1:71" x14ac:dyDescent="0.35">
      <c r="A184" s="6">
        <f t="shared" si="83"/>
        <v>45537</v>
      </c>
      <c r="B184">
        <f t="shared" si="78"/>
        <v>9</v>
      </c>
      <c r="C184">
        <f t="shared" si="79"/>
        <v>2024</v>
      </c>
      <c r="D184">
        <f t="shared" si="80"/>
        <v>202409</v>
      </c>
      <c r="E184">
        <f t="shared" si="81"/>
        <v>3</v>
      </c>
      <c r="F184">
        <f t="shared" si="82"/>
        <v>202403</v>
      </c>
      <c r="G184" t="s">
        <v>317</v>
      </c>
      <c r="H184" s="2">
        <v>5</v>
      </c>
      <c r="I184" s="2">
        <v>4.95</v>
      </c>
      <c r="J184" s="3">
        <v>4.9064360000000002</v>
      </c>
      <c r="K184" s="3">
        <v>4.8077443999999998</v>
      </c>
      <c r="L184" s="3">
        <v>4.6900969999999997</v>
      </c>
      <c r="M184" s="3">
        <v>4.5692522000000002</v>
      </c>
      <c r="N184" s="3">
        <v>4.4502733000000001</v>
      </c>
      <c r="O184" s="3">
        <v>4.3360238999999998</v>
      </c>
      <c r="P184" s="3">
        <v>4.2304493000000001</v>
      </c>
      <c r="Q184" s="3">
        <v>4.1362610000000002</v>
      </c>
      <c r="R184" s="3">
        <v>4.0546778999999997</v>
      </c>
      <c r="S184" s="3">
        <v>3.9857809</v>
      </c>
      <c r="T184" s="3">
        <v>3.9286367000000002</v>
      </c>
      <c r="U184" s="3">
        <v>3.8812505000000002</v>
      </c>
      <c r="V184" s="3">
        <v>3.8407002000000001</v>
      </c>
      <c r="W184" s="3">
        <v>3.8056632000000001</v>
      </c>
      <c r="X184" s="3">
        <v>3.7753098999999999</v>
      </c>
      <c r="Y184" s="3">
        <v>3.7488095000000001</v>
      </c>
      <c r="Z184" s="3">
        <v>3.7253314999999998</v>
      </c>
      <c r="AA184" s="3">
        <v>3.7040460999999998</v>
      </c>
      <c r="AB184" s="3">
        <v>3.6842597000000001</v>
      </c>
      <c r="AC184" s="3">
        <v>3.6657514</v>
      </c>
      <c r="AD184" s="3">
        <v>3.6484030999999999</v>
      </c>
      <c r="AE184" s="3">
        <v>3.6320958999999999</v>
      </c>
      <c r="AF184" s="3">
        <v>3.6167107999999999</v>
      </c>
      <c r="AG184" s="3">
        <v>3.6021296999999999</v>
      </c>
      <c r="AH184" s="3">
        <v>3.5882496000000002</v>
      </c>
      <c r="AI184" s="3">
        <v>3.5750308999999998</v>
      </c>
      <c r="AJ184" s="3">
        <v>3.5624506999999999</v>
      </c>
      <c r="AK184" s="3">
        <v>3.5504853000000001</v>
      </c>
      <c r="AL184" s="3">
        <v>3.5391113000000001</v>
      </c>
      <c r="AM184" s="3">
        <v>3.5283055999999999</v>
      </c>
      <c r="AN184" s="3">
        <v>3.5180444999999998</v>
      </c>
      <c r="AO184" s="3">
        <v>3.5083046000000002</v>
      </c>
      <c r="AP184" s="3">
        <v>3.4990625999999998</v>
      </c>
      <c r="AQ184" s="3">
        <v>3.4902951999999998</v>
      </c>
      <c r="AR184" s="3">
        <v>3.4819787999999998</v>
      </c>
      <c r="AS184" s="3">
        <v>3.4740902</v>
      </c>
      <c r="AT184" s="3">
        <v>3.4666106999999999</v>
      </c>
      <c r="AU184" s="3">
        <v>3.4595410000000002</v>
      </c>
      <c r="AV184" s="3">
        <v>3.4528867999999999</v>
      </c>
      <c r="AW184" s="3">
        <v>3.4466535</v>
      </c>
      <c r="AX184" s="3">
        <v>3.4408466</v>
      </c>
      <c r="AY184" s="3">
        <v>3.4354718000000002</v>
      </c>
      <c r="AZ184" s="3">
        <v>3.4305344999999998</v>
      </c>
      <c r="BA184" s="3">
        <v>3.4260404000000002</v>
      </c>
      <c r="BB184" s="3">
        <v>3.4219949000000001</v>
      </c>
      <c r="BC184" s="3">
        <v>3.4184036999999998</v>
      </c>
      <c r="BD184" s="3">
        <v>3.4152721000000001</v>
      </c>
      <c r="BE184" s="3">
        <v>3.4126059</v>
      </c>
      <c r="BF184" s="3">
        <v>3.4104092000000001</v>
      </c>
      <c r="BG184" s="3">
        <v>3.4086789</v>
      </c>
      <c r="BH184" s="3">
        <v>3.4074099000000002</v>
      </c>
      <c r="BI184" s="3">
        <v>3.4065965</v>
      </c>
      <c r="BJ184" s="3">
        <v>3.4062334999999999</v>
      </c>
      <c r="BK184" s="3">
        <v>3.4063154</v>
      </c>
      <c r="BL184" s="3">
        <v>3.4068369000000001</v>
      </c>
      <c r="BM184" s="3">
        <v>3.4077926000000001</v>
      </c>
      <c r="BN184" s="3">
        <v>3.4091770000000001</v>
      </c>
      <c r="BO184" s="3">
        <v>3.4109848</v>
      </c>
      <c r="BP184" s="3">
        <v>3.4132106000000002</v>
      </c>
      <c r="BQ184" s="3">
        <v>3.4158488999999999</v>
      </c>
      <c r="BR184" s="3">
        <v>3.4397669999999998</v>
      </c>
      <c r="BS184" s="3">
        <v>3.4754961999999998</v>
      </c>
    </row>
    <row r="185" spans="1:71" x14ac:dyDescent="0.35">
      <c r="A185" s="6">
        <f t="shared" si="83"/>
        <v>45538</v>
      </c>
      <c r="B185">
        <f t="shared" si="78"/>
        <v>9</v>
      </c>
      <c r="C185">
        <f t="shared" si="79"/>
        <v>2024</v>
      </c>
      <c r="D185">
        <f t="shared" si="80"/>
        <v>202409</v>
      </c>
      <c r="E185">
        <f t="shared" si="81"/>
        <v>3</v>
      </c>
      <c r="F185">
        <f t="shared" si="82"/>
        <v>202403</v>
      </c>
      <c r="G185" t="s">
        <v>318</v>
      </c>
      <c r="H185" s="2">
        <v>5</v>
      </c>
      <c r="I185" s="2">
        <v>4.95</v>
      </c>
      <c r="J185" s="3">
        <v>4.9003962999999997</v>
      </c>
      <c r="K185" s="3">
        <v>4.8015128000000002</v>
      </c>
      <c r="L185" s="3">
        <v>4.6812848000000002</v>
      </c>
      <c r="M185" s="3">
        <v>4.5565761</v>
      </c>
      <c r="N185" s="3">
        <v>4.4334875</v>
      </c>
      <c r="O185" s="3">
        <v>4.3155878999999997</v>
      </c>
      <c r="P185" s="3">
        <v>4.2071772000000003</v>
      </c>
      <c r="Q185" s="3">
        <v>4.1107718000000002</v>
      </c>
      <c r="R185" s="3">
        <v>4.0281444999999998</v>
      </c>
      <c r="S185" s="3">
        <v>3.9589297000000001</v>
      </c>
      <c r="T185" s="3">
        <v>3.9020065000000002</v>
      </c>
      <c r="U185" s="3">
        <v>3.8549785999999999</v>
      </c>
      <c r="V185" s="3">
        <v>3.8141115999999999</v>
      </c>
      <c r="W185" s="3">
        <v>3.7780208000000002</v>
      </c>
      <c r="X185" s="3">
        <v>3.7460315</v>
      </c>
      <c r="Y185" s="3">
        <v>3.7174676999999998</v>
      </c>
      <c r="Z185" s="3">
        <v>3.6916533999999999</v>
      </c>
      <c r="AA185" s="3">
        <v>3.6679137000000002</v>
      </c>
      <c r="AB185" s="3">
        <v>3.6456859000000001</v>
      </c>
      <c r="AC185" s="3">
        <v>3.6247991000000002</v>
      </c>
      <c r="AD185" s="3">
        <v>3.6051671999999999</v>
      </c>
      <c r="AE185" s="3">
        <v>3.5867035999999999</v>
      </c>
      <c r="AF185" s="3">
        <v>3.5693215999999999</v>
      </c>
      <c r="AG185" s="3">
        <v>3.5529351999999998</v>
      </c>
      <c r="AH185" s="3">
        <v>3.5374653999999999</v>
      </c>
      <c r="AI185" s="3">
        <v>3.5228640000000002</v>
      </c>
      <c r="AJ185" s="3">
        <v>3.5090911999999999</v>
      </c>
      <c r="AK185" s="3">
        <v>3.4961063999999999</v>
      </c>
      <c r="AL185" s="3">
        <v>3.4838692999999998</v>
      </c>
      <c r="AM185" s="3">
        <v>3.4723399000000001</v>
      </c>
      <c r="AN185" s="3">
        <v>3.4614777000000001</v>
      </c>
      <c r="AO185" s="3">
        <v>3.4512421999999998</v>
      </c>
      <c r="AP185" s="3">
        <v>3.4415936</v>
      </c>
      <c r="AQ185" s="3">
        <v>3.4324914</v>
      </c>
      <c r="AR185" s="3">
        <v>3.4238951000000002</v>
      </c>
      <c r="AS185" s="3">
        <v>3.4157647</v>
      </c>
      <c r="AT185" s="3">
        <v>3.4080674000000002</v>
      </c>
      <c r="AU185" s="3">
        <v>3.4008003000000002</v>
      </c>
      <c r="AV185" s="3">
        <v>3.3939683999999999</v>
      </c>
      <c r="AW185" s="3">
        <v>3.3875763999999999</v>
      </c>
      <c r="AX185" s="3">
        <v>3.3816290000000002</v>
      </c>
      <c r="AY185" s="3">
        <v>3.3761310999999998</v>
      </c>
      <c r="AZ185" s="3">
        <v>3.3710874</v>
      </c>
      <c r="BA185" s="3">
        <v>3.3665026999999998</v>
      </c>
      <c r="BB185" s="3">
        <v>3.3623818999999999</v>
      </c>
      <c r="BC185" s="3">
        <v>3.3587296000000002</v>
      </c>
      <c r="BD185" s="3">
        <v>3.3555507000000002</v>
      </c>
      <c r="BE185" s="3">
        <v>3.3528500000000001</v>
      </c>
      <c r="BF185" s="3">
        <v>3.3506307999999998</v>
      </c>
      <c r="BG185" s="3">
        <v>3.3488891999999999</v>
      </c>
      <c r="BH185" s="3">
        <v>3.3476192</v>
      </c>
      <c r="BI185" s="3">
        <v>3.3468148000000002</v>
      </c>
      <c r="BJ185" s="3">
        <v>3.3464697999999999</v>
      </c>
      <c r="BK185" s="3">
        <v>3.3465783999999998</v>
      </c>
      <c r="BL185" s="3">
        <v>3.3471343999999998</v>
      </c>
      <c r="BM185" s="3">
        <v>3.3481318</v>
      </c>
      <c r="BN185" s="3">
        <v>3.3495645999999999</v>
      </c>
      <c r="BO185" s="3">
        <v>3.3514268</v>
      </c>
      <c r="BP185" s="3">
        <v>3.3537123000000002</v>
      </c>
      <c r="BQ185" s="3">
        <v>3.3564151</v>
      </c>
      <c r="BR185" s="3">
        <v>3.3807659000000001</v>
      </c>
      <c r="BS185" s="3">
        <v>3.4168547</v>
      </c>
    </row>
    <row r="186" spans="1:71" x14ac:dyDescent="0.35">
      <c r="A186" s="6">
        <f t="shared" si="83"/>
        <v>45539</v>
      </c>
      <c r="B186">
        <f t="shared" si="78"/>
        <v>9</v>
      </c>
      <c r="C186">
        <f t="shared" si="79"/>
        <v>2024</v>
      </c>
      <c r="D186">
        <f t="shared" si="80"/>
        <v>202409</v>
      </c>
      <c r="E186">
        <f t="shared" si="81"/>
        <v>3</v>
      </c>
      <c r="F186">
        <f t="shared" si="82"/>
        <v>202403</v>
      </c>
      <c r="G186" t="s">
        <v>319</v>
      </c>
      <c r="H186" s="2">
        <v>5</v>
      </c>
      <c r="I186" s="2">
        <v>4.95</v>
      </c>
      <c r="J186" s="3">
        <v>4.8856779000000001</v>
      </c>
      <c r="K186" s="3">
        <v>4.7833924999999997</v>
      </c>
      <c r="L186" s="3">
        <v>4.6567401999999998</v>
      </c>
      <c r="M186" s="3">
        <v>4.5241173999999997</v>
      </c>
      <c r="N186" s="3">
        <v>4.3927461000000001</v>
      </c>
      <c r="O186" s="3">
        <v>4.2670199999999996</v>
      </c>
      <c r="P186" s="3">
        <v>4.1519874000000003</v>
      </c>
      <c r="Q186" s="3">
        <v>4.0504343</v>
      </c>
      <c r="R186" s="3">
        <v>3.9639362</v>
      </c>
      <c r="S186" s="3">
        <v>3.8919522</v>
      </c>
      <c r="T186" s="3">
        <v>3.8331027</v>
      </c>
      <c r="U186" s="3">
        <v>3.7847822</v>
      </c>
      <c r="V186" s="3">
        <v>3.7430857999999998</v>
      </c>
      <c r="W186" s="3">
        <v>3.7065486000000001</v>
      </c>
      <c r="X186" s="3">
        <v>3.6744265</v>
      </c>
      <c r="Y186" s="3">
        <v>3.6459746000000002</v>
      </c>
      <c r="Z186" s="3">
        <v>3.6204478999999998</v>
      </c>
      <c r="AA186" s="3">
        <v>3.5971023</v>
      </c>
      <c r="AB186" s="3">
        <v>3.5753140999999999</v>
      </c>
      <c r="AC186" s="3">
        <v>3.5548788</v>
      </c>
      <c r="AD186" s="3">
        <v>3.5356825000000001</v>
      </c>
      <c r="AE186" s="3">
        <v>3.517611</v>
      </c>
      <c r="AF186" s="3">
        <v>3.5005499000000002</v>
      </c>
      <c r="AG186" s="3">
        <v>3.4843853</v>
      </c>
      <c r="AH186" s="3">
        <v>3.4690181999999998</v>
      </c>
      <c r="AI186" s="3">
        <v>3.4544107999999998</v>
      </c>
      <c r="AJ186" s="3">
        <v>3.4405410999999999</v>
      </c>
      <c r="AK186" s="3">
        <v>3.4273864000000001</v>
      </c>
      <c r="AL186" s="3">
        <v>3.4149242000000002</v>
      </c>
      <c r="AM186" s="3">
        <v>3.4031324000000001</v>
      </c>
      <c r="AN186" s="3">
        <v>3.3919885000000001</v>
      </c>
      <c r="AO186" s="3">
        <v>3.3814701</v>
      </c>
      <c r="AP186" s="3">
        <v>3.3715548000000002</v>
      </c>
      <c r="AQ186" s="3">
        <v>3.3622203000000002</v>
      </c>
      <c r="AR186" s="3">
        <v>3.3534440000000001</v>
      </c>
      <c r="AS186" s="3">
        <v>3.3452036999999999</v>
      </c>
      <c r="AT186" s="3">
        <v>3.3374801999999999</v>
      </c>
      <c r="AU186" s="3">
        <v>3.3302695999999998</v>
      </c>
      <c r="AV186" s="3">
        <v>3.3235733000000001</v>
      </c>
      <c r="AW186" s="3">
        <v>3.3173921000000002</v>
      </c>
      <c r="AX186" s="3">
        <v>3.3117269999999999</v>
      </c>
      <c r="AY186" s="3">
        <v>3.3065793000000001</v>
      </c>
      <c r="AZ186" s="3">
        <v>3.3019498999999999</v>
      </c>
      <c r="BA186" s="3">
        <v>3.2978398000000002</v>
      </c>
      <c r="BB186" s="3">
        <v>3.2942501000000002</v>
      </c>
      <c r="BC186" s="3">
        <v>3.2911820000000001</v>
      </c>
      <c r="BD186" s="3">
        <v>3.2886362999999998</v>
      </c>
      <c r="BE186" s="3">
        <v>3.2866141999999998</v>
      </c>
      <c r="BF186" s="3">
        <v>3.2851146</v>
      </c>
      <c r="BG186" s="3">
        <v>3.2841273000000002</v>
      </c>
      <c r="BH186" s="3">
        <v>3.2836397000000002</v>
      </c>
      <c r="BI186" s="3">
        <v>3.2836387999999999</v>
      </c>
      <c r="BJ186" s="3">
        <v>3.2841121000000002</v>
      </c>
      <c r="BK186" s="3">
        <v>3.2850467000000001</v>
      </c>
      <c r="BL186" s="3">
        <v>3.2864300000000002</v>
      </c>
      <c r="BM186" s="3">
        <v>3.2882490999999998</v>
      </c>
      <c r="BN186" s="3">
        <v>3.2904912999999998</v>
      </c>
      <c r="BO186" s="3">
        <v>3.2931439999999998</v>
      </c>
      <c r="BP186" s="3">
        <v>3.2961942999999998</v>
      </c>
      <c r="BQ186" s="3">
        <v>3.2996294000000002</v>
      </c>
      <c r="BR186" s="3">
        <v>3.327553</v>
      </c>
      <c r="BS186" s="3">
        <v>3.3657764000000001</v>
      </c>
    </row>
    <row r="187" spans="1:71" x14ac:dyDescent="0.35">
      <c r="A187" s="6">
        <f t="shared" si="83"/>
        <v>45540</v>
      </c>
      <c r="B187">
        <f t="shared" si="78"/>
        <v>9</v>
      </c>
      <c r="C187">
        <f t="shared" si="79"/>
        <v>2024</v>
      </c>
      <c r="D187">
        <f t="shared" si="80"/>
        <v>202409</v>
      </c>
      <c r="E187">
        <f t="shared" si="81"/>
        <v>3</v>
      </c>
      <c r="F187">
        <f t="shared" si="82"/>
        <v>202403</v>
      </c>
      <c r="G187" t="s">
        <v>320</v>
      </c>
      <c r="H187" s="2">
        <v>5</v>
      </c>
      <c r="I187" s="2">
        <v>4.95</v>
      </c>
      <c r="J187" s="3">
        <v>4.8860558000000003</v>
      </c>
      <c r="K187" s="3">
        <v>4.7832631000000001</v>
      </c>
      <c r="L187" s="3">
        <v>4.6536578999999998</v>
      </c>
      <c r="M187" s="3">
        <v>4.5163281</v>
      </c>
      <c r="N187" s="3">
        <v>4.3788517999999996</v>
      </c>
      <c r="O187" s="3">
        <v>4.2465352999999997</v>
      </c>
      <c r="P187" s="3">
        <v>4.1253510000000002</v>
      </c>
      <c r="Q187" s="3">
        <v>4.0188145000000004</v>
      </c>
      <c r="R187" s="3">
        <v>3.928436</v>
      </c>
      <c r="S187" s="3">
        <v>3.8538697000000002</v>
      </c>
      <c r="T187" s="3">
        <v>3.7931911</v>
      </c>
      <c r="U187" s="3">
        <v>3.7437768999999999</v>
      </c>
      <c r="V187" s="3">
        <v>3.7013531999999998</v>
      </c>
      <c r="W187" s="3">
        <v>3.6643015000000001</v>
      </c>
      <c r="X187" s="3">
        <v>3.6318185999999999</v>
      </c>
      <c r="Y187" s="3">
        <v>3.6031002000000001</v>
      </c>
      <c r="Z187" s="3">
        <v>3.5773421000000001</v>
      </c>
      <c r="AA187" s="3">
        <v>3.5537409000000002</v>
      </c>
      <c r="AB187" s="3">
        <v>3.5316386999999998</v>
      </c>
      <c r="AC187" s="3">
        <v>3.5108820000000001</v>
      </c>
      <c r="AD187" s="3">
        <v>3.4914266999999999</v>
      </c>
      <c r="AE187" s="3">
        <v>3.4732281</v>
      </c>
      <c r="AF187" s="3">
        <v>3.4562415</v>
      </c>
      <c r="AG187" s="3">
        <v>3.4404229000000002</v>
      </c>
      <c r="AH187" s="3">
        <v>3.4257252999999999</v>
      </c>
      <c r="AI187" s="3">
        <v>3.4120922999999999</v>
      </c>
      <c r="AJ187" s="3">
        <v>3.3994643</v>
      </c>
      <c r="AK187" s="3">
        <v>3.3877817000000001</v>
      </c>
      <c r="AL187" s="3">
        <v>3.3769847999999998</v>
      </c>
      <c r="AM187" s="3">
        <v>3.3670141</v>
      </c>
      <c r="AN187" s="3">
        <v>3.3578100000000002</v>
      </c>
      <c r="AO187" s="3">
        <v>3.3493127</v>
      </c>
      <c r="AP187" s="3">
        <v>3.3414628999999998</v>
      </c>
      <c r="AQ187" s="3">
        <v>3.3342008000000001</v>
      </c>
      <c r="AR187" s="3">
        <v>3.3274667</v>
      </c>
      <c r="AS187" s="3">
        <v>3.3212012</v>
      </c>
      <c r="AT187" s="3">
        <v>3.3153533999999998</v>
      </c>
      <c r="AU187" s="3">
        <v>3.3099116999999998</v>
      </c>
      <c r="AV187" s="3">
        <v>3.3048750999999998</v>
      </c>
      <c r="AW187" s="3">
        <v>3.3002429000000002</v>
      </c>
      <c r="AX187" s="3">
        <v>3.296014</v>
      </c>
      <c r="AY187" s="3">
        <v>3.2921876000000001</v>
      </c>
      <c r="AZ187" s="3">
        <v>3.2887629</v>
      </c>
      <c r="BA187" s="3">
        <v>3.2857387999999998</v>
      </c>
      <c r="BB187" s="3">
        <v>3.2831144999999999</v>
      </c>
      <c r="BC187" s="3">
        <v>3.2808891999999998</v>
      </c>
      <c r="BD187" s="3">
        <v>3.2790618</v>
      </c>
      <c r="BE187" s="3">
        <v>3.2776317000000001</v>
      </c>
      <c r="BF187" s="3">
        <v>3.2765973000000002</v>
      </c>
      <c r="BG187" s="3">
        <v>3.2759554999999998</v>
      </c>
      <c r="BH187" s="3">
        <v>3.2757027000000001</v>
      </c>
      <c r="BI187" s="3">
        <v>3.2758351999999999</v>
      </c>
      <c r="BJ187" s="3">
        <v>3.2763491999999999</v>
      </c>
      <c r="BK187" s="3">
        <v>3.2772410999999999</v>
      </c>
      <c r="BL187" s="3">
        <v>3.2785072</v>
      </c>
      <c r="BM187" s="3">
        <v>3.2801437999999998</v>
      </c>
      <c r="BN187" s="3">
        <v>3.2821471999999998</v>
      </c>
      <c r="BO187" s="3">
        <v>3.2845137000000002</v>
      </c>
      <c r="BP187" s="3">
        <v>3.2872397000000002</v>
      </c>
      <c r="BQ187" s="3">
        <v>3.2903213999999998</v>
      </c>
      <c r="BR187" s="3">
        <v>3.3157778000000002</v>
      </c>
      <c r="BS187" s="3">
        <v>3.3513044999999999</v>
      </c>
    </row>
    <row r="188" spans="1:71" x14ac:dyDescent="0.35">
      <c r="A188" s="6">
        <f t="shared" si="83"/>
        <v>45541</v>
      </c>
      <c r="B188">
        <f t="shared" si="78"/>
        <v>9</v>
      </c>
      <c r="C188">
        <f t="shared" si="79"/>
        <v>2024</v>
      </c>
      <c r="D188">
        <f t="shared" si="80"/>
        <v>202409</v>
      </c>
      <c r="E188">
        <f t="shared" si="81"/>
        <v>3</v>
      </c>
      <c r="F188">
        <f t="shared" si="82"/>
        <v>202403</v>
      </c>
      <c r="G188" t="s">
        <v>321</v>
      </c>
      <c r="H188" s="2">
        <v>5</v>
      </c>
      <c r="I188" s="2">
        <v>4.95</v>
      </c>
      <c r="J188" s="3">
        <v>4.9041651000000002</v>
      </c>
      <c r="K188" s="3">
        <v>4.7948696000000002</v>
      </c>
      <c r="L188" s="3">
        <v>4.6584504000000004</v>
      </c>
      <c r="M188" s="3">
        <v>4.5148263999999996</v>
      </c>
      <c r="N188" s="3">
        <v>4.3714608000000004</v>
      </c>
      <c r="O188" s="3">
        <v>4.2337154999999997</v>
      </c>
      <c r="P188" s="3">
        <v>4.1077646000000003</v>
      </c>
      <c r="Q188" s="3">
        <v>3.9972356000000002</v>
      </c>
      <c r="R188" s="3">
        <v>3.903413</v>
      </c>
      <c r="S188" s="3">
        <v>3.8261303999999998</v>
      </c>
      <c r="T188" s="3">
        <v>3.7635687999999998</v>
      </c>
      <c r="U188" s="3">
        <v>3.7129110000000001</v>
      </c>
      <c r="V188" s="3">
        <v>3.6696163999999998</v>
      </c>
      <c r="W188" s="3">
        <v>3.6319596999999999</v>
      </c>
      <c r="X188" s="3">
        <v>3.5992473999999999</v>
      </c>
      <c r="Y188" s="3">
        <v>3.5707846999999999</v>
      </c>
      <c r="Z188" s="3">
        <v>3.5458772999999999</v>
      </c>
      <c r="AA188" s="3">
        <v>3.5238314000000002</v>
      </c>
      <c r="AB188" s="3">
        <v>3.5040404999999999</v>
      </c>
      <c r="AC188" s="3">
        <v>3.4862015999999998</v>
      </c>
      <c r="AD188" s="3">
        <v>3.4700776000000002</v>
      </c>
      <c r="AE188" s="3">
        <v>3.4554309000000001</v>
      </c>
      <c r="AF188" s="3">
        <v>3.4420237999999999</v>
      </c>
      <c r="AG188" s="3">
        <v>3.4296193000000001</v>
      </c>
      <c r="AH188" s="3">
        <v>3.4180098000000001</v>
      </c>
      <c r="AI188" s="3">
        <v>3.4071204000000002</v>
      </c>
      <c r="AJ188" s="3">
        <v>3.3969130000000001</v>
      </c>
      <c r="AK188" s="3">
        <v>3.3873492999999999</v>
      </c>
      <c r="AL188" s="3">
        <v>3.3783910000000001</v>
      </c>
      <c r="AM188" s="3">
        <v>3.3700000999999999</v>
      </c>
      <c r="AN188" s="3">
        <v>3.3621382</v>
      </c>
      <c r="AO188" s="3">
        <v>3.3547669999999998</v>
      </c>
      <c r="AP188" s="3">
        <v>3.3478485</v>
      </c>
      <c r="AQ188" s="3">
        <v>3.3413442999999998</v>
      </c>
      <c r="AR188" s="3">
        <v>3.3352162000000001</v>
      </c>
      <c r="AS188" s="3">
        <v>3.3294260000000002</v>
      </c>
      <c r="AT188" s="3">
        <v>3.3239436000000002</v>
      </c>
      <c r="AU188" s="3">
        <v>3.3187711000000002</v>
      </c>
      <c r="AV188" s="3">
        <v>3.3139189999999998</v>
      </c>
      <c r="AW188" s="3">
        <v>3.3093975000000002</v>
      </c>
      <c r="AX188" s="3">
        <v>3.3052169</v>
      </c>
      <c r="AY188" s="3">
        <v>3.3013876</v>
      </c>
      <c r="AZ188" s="3">
        <v>3.29792</v>
      </c>
      <c r="BA188" s="3">
        <v>3.2948241999999999</v>
      </c>
      <c r="BB188" s="3">
        <v>3.2921106999999998</v>
      </c>
      <c r="BC188" s="3">
        <v>3.2897897</v>
      </c>
      <c r="BD188" s="3">
        <v>3.2878715999999999</v>
      </c>
      <c r="BE188" s="3">
        <v>3.2863668000000001</v>
      </c>
      <c r="BF188" s="3">
        <v>3.2852826999999998</v>
      </c>
      <c r="BG188" s="3">
        <v>3.2846148999999998</v>
      </c>
      <c r="BH188" s="3">
        <v>3.2843555000000002</v>
      </c>
      <c r="BI188" s="3">
        <v>3.2844966000000002</v>
      </c>
      <c r="BJ188" s="3">
        <v>3.2850302999999998</v>
      </c>
      <c r="BK188" s="3">
        <v>3.2859487999999999</v>
      </c>
      <c r="BL188" s="3">
        <v>3.2872441999999999</v>
      </c>
      <c r="BM188" s="3">
        <v>3.2889084999999998</v>
      </c>
      <c r="BN188" s="3">
        <v>3.290934</v>
      </c>
      <c r="BO188" s="3">
        <v>3.2933127999999998</v>
      </c>
      <c r="BP188" s="3">
        <v>3.2960368999999998</v>
      </c>
      <c r="BQ188" s="3">
        <v>3.2990986000000002</v>
      </c>
      <c r="BR188" s="3">
        <v>3.3240547999999999</v>
      </c>
      <c r="BS188" s="3">
        <v>3.3588111</v>
      </c>
    </row>
    <row r="189" spans="1:71" x14ac:dyDescent="0.35">
      <c r="A189" s="6">
        <f t="shared" si="83"/>
        <v>45544</v>
      </c>
      <c r="B189">
        <f t="shared" si="78"/>
        <v>9</v>
      </c>
      <c r="C189">
        <f t="shared" si="79"/>
        <v>2024</v>
      </c>
      <c r="D189">
        <f t="shared" si="80"/>
        <v>202409</v>
      </c>
      <c r="E189">
        <f t="shared" si="81"/>
        <v>3</v>
      </c>
      <c r="F189">
        <f t="shared" si="82"/>
        <v>202403</v>
      </c>
      <c r="G189" t="s">
        <v>322</v>
      </c>
      <c r="H189" s="2">
        <v>5</v>
      </c>
      <c r="I189" s="2">
        <v>4.95</v>
      </c>
      <c r="J189" s="3">
        <v>4.8853628000000002</v>
      </c>
      <c r="K189" s="3">
        <v>4.7642632999999996</v>
      </c>
      <c r="L189" s="3">
        <v>4.6189551</v>
      </c>
      <c r="M189" s="3">
        <v>4.4668058999999998</v>
      </c>
      <c r="N189" s="3">
        <v>4.3139843999999998</v>
      </c>
      <c r="O189" s="3">
        <v>4.1648674000000003</v>
      </c>
      <c r="P189" s="3">
        <v>4.0257366000000001</v>
      </c>
      <c r="Q189" s="3">
        <v>3.9013887999999999</v>
      </c>
      <c r="R189" s="3">
        <v>3.7942974999999999</v>
      </c>
      <c r="S189" s="3">
        <v>3.7050396000000001</v>
      </c>
      <c r="T189" s="3">
        <v>3.6325392999999999</v>
      </c>
      <c r="U189" s="3">
        <v>3.5741923</v>
      </c>
      <c r="V189" s="3">
        <v>3.5263290999999999</v>
      </c>
      <c r="W189" s="3">
        <v>3.4871013999999998</v>
      </c>
      <c r="X189" s="3">
        <v>3.4552184000000001</v>
      </c>
      <c r="Y189" s="3">
        <v>3.4293879</v>
      </c>
      <c r="Z189" s="3">
        <v>3.4083182999999999</v>
      </c>
      <c r="AA189" s="3">
        <v>3.3907183000000001</v>
      </c>
      <c r="AB189" s="3">
        <v>3.3754919999999999</v>
      </c>
      <c r="AC189" s="3">
        <v>3.3622198000000001</v>
      </c>
      <c r="AD189" s="3">
        <v>3.3506282999999999</v>
      </c>
      <c r="AE189" s="3">
        <v>3.3404435000000001</v>
      </c>
      <c r="AF189" s="3">
        <v>3.3313915999999999</v>
      </c>
      <c r="AG189" s="3">
        <v>3.3231989999999998</v>
      </c>
      <c r="AH189" s="3">
        <v>3.3156314</v>
      </c>
      <c r="AI189" s="3">
        <v>3.3086126999999999</v>
      </c>
      <c r="AJ189" s="3">
        <v>3.3021064999999998</v>
      </c>
      <c r="AK189" s="3">
        <v>3.2960761999999999</v>
      </c>
      <c r="AL189" s="3">
        <v>3.2904851000000002</v>
      </c>
      <c r="AM189" s="3">
        <v>3.2852969000000001</v>
      </c>
      <c r="AN189" s="3">
        <v>3.2804749000000002</v>
      </c>
      <c r="AO189" s="3">
        <v>3.2759825999999999</v>
      </c>
      <c r="AP189" s="3">
        <v>3.2717835000000002</v>
      </c>
      <c r="AQ189" s="3">
        <v>3.2678410000000002</v>
      </c>
      <c r="AR189" s="3">
        <v>3.2641186000000002</v>
      </c>
      <c r="AS189" s="3">
        <v>3.2605797999999999</v>
      </c>
      <c r="AT189" s="3">
        <v>3.2571965999999999</v>
      </c>
      <c r="AU189" s="3">
        <v>3.2539756999999998</v>
      </c>
      <c r="AV189" s="3">
        <v>3.2509323999999999</v>
      </c>
      <c r="AW189" s="3">
        <v>3.2480821</v>
      </c>
      <c r="AX189" s="3">
        <v>3.2454399999999999</v>
      </c>
      <c r="AY189" s="3">
        <v>3.2430214999999998</v>
      </c>
      <c r="AZ189" s="3">
        <v>3.2408418999999999</v>
      </c>
      <c r="BA189" s="3">
        <v>3.2389163999999999</v>
      </c>
      <c r="BB189" s="3">
        <v>3.2372603999999998</v>
      </c>
      <c r="BC189" s="3">
        <v>3.2358891999999999</v>
      </c>
      <c r="BD189" s="3">
        <v>3.2348181</v>
      </c>
      <c r="BE189" s="3">
        <v>3.2340624</v>
      </c>
      <c r="BF189" s="3">
        <v>3.2336358000000001</v>
      </c>
      <c r="BG189" s="3">
        <v>3.2335433</v>
      </c>
      <c r="BH189" s="3">
        <v>3.2337870999999998</v>
      </c>
      <c r="BI189" s="3">
        <v>3.2343693</v>
      </c>
      <c r="BJ189" s="3">
        <v>3.2352921000000001</v>
      </c>
      <c r="BK189" s="3">
        <v>3.2365575</v>
      </c>
      <c r="BL189" s="3">
        <v>3.2381676000000001</v>
      </c>
      <c r="BM189" s="3">
        <v>3.2401247</v>
      </c>
      <c r="BN189" s="3">
        <v>3.2424308000000002</v>
      </c>
      <c r="BO189" s="3">
        <v>3.2450880999999998</v>
      </c>
      <c r="BP189" s="3">
        <v>3.2480986999999999</v>
      </c>
      <c r="BQ189" s="3">
        <v>3.2514645999999998</v>
      </c>
      <c r="BR189" s="3">
        <v>3.2788154</v>
      </c>
      <c r="BS189" s="3">
        <v>3.3168725999999999</v>
      </c>
    </row>
    <row r="190" spans="1:71" x14ac:dyDescent="0.35">
      <c r="A190" s="6">
        <f t="shared" si="83"/>
        <v>45545</v>
      </c>
      <c r="B190">
        <f t="shared" si="78"/>
        <v>9</v>
      </c>
      <c r="C190">
        <f t="shared" si="79"/>
        <v>2024</v>
      </c>
      <c r="D190">
        <f t="shared" si="80"/>
        <v>202409</v>
      </c>
      <c r="E190">
        <f t="shared" si="81"/>
        <v>3</v>
      </c>
      <c r="F190">
        <f t="shared" si="82"/>
        <v>202403</v>
      </c>
      <c r="G190" t="s">
        <v>323</v>
      </c>
      <c r="H190" s="2">
        <v>5</v>
      </c>
      <c r="I190" s="2">
        <v>4.95</v>
      </c>
      <c r="J190" s="3">
        <v>4.8949669</v>
      </c>
      <c r="K190" s="3">
        <v>4.7715873999999996</v>
      </c>
      <c r="L190" s="3">
        <v>4.6249608000000002</v>
      </c>
      <c r="M190" s="3">
        <v>4.4705417000000001</v>
      </c>
      <c r="N190" s="3">
        <v>4.3132438000000004</v>
      </c>
      <c r="O190" s="3">
        <v>4.1583667999999996</v>
      </c>
      <c r="P190" s="3">
        <v>4.0138800999999997</v>
      </c>
      <c r="Q190" s="3">
        <v>3.8854350000000002</v>
      </c>
      <c r="R190" s="3">
        <v>3.7762737999999998</v>
      </c>
      <c r="S190" s="3">
        <v>3.6862881999999999</v>
      </c>
      <c r="T190" s="3">
        <v>3.6140425999999999</v>
      </c>
      <c r="U190" s="3">
        <v>3.5564258999999998</v>
      </c>
      <c r="V190" s="3">
        <v>3.5088870000000001</v>
      </c>
      <c r="W190" s="3">
        <v>3.4694552000000001</v>
      </c>
      <c r="X190" s="3">
        <v>3.4369345</v>
      </c>
      <c r="Y190" s="3">
        <v>3.4101270000000001</v>
      </c>
      <c r="Z190" s="3">
        <v>3.3878355999999998</v>
      </c>
      <c r="AA190" s="3">
        <v>3.3688634</v>
      </c>
      <c r="AB190" s="3">
        <v>3.3521979000000002</v>
      </c>
      <c r="AC190" s="3">
        <v>3.3374633999999999</v>
      </c>
      <c r="AD190" s="3">
        <v>3.3244224</v>
      </c>
      <c r="AE190" s="3">
        <v>3.3128367000000001</v>
      </c>
      <c r="AF190" s="3">
        <v>3.3024683000000001</v>
      </c>
      <c r="AG190" s="3">
        <v>3.2930793999999999</v>
      </c>
      <c r="AH190" s="3">
        <v>3.2844639</v>
      </c>
      <c r="AI190" s="3">
        <v>3.2765430000000002</v>
      </c>
      <c r="AJ190" s="3">
        <v>3.2692701</v>
      </c>
      <c r="AK190" s="3">
        <v>3.2625983000000001</v>
      </c>
      <c r="AL190" s="3">
        <v>3.2564807999999998</v>
      </c>
      <c r="AM190" s="3">
        <v>3.2508708999999998</v>
      </c>
      <c r="AN190" s="3">
        <v>3.2457218000000001</v>
      </c>
      <c r="AO190" s="3">
        <v>3.2409865999999998</v>
      </c>
      <c r="AP190" s="3">
        <v>3.2366187000000002</v>
      </c>
      <c r="AQ190" s="3">
        <v>3.2325712000000002</v>
      </c>
      <c r="AR190" s="3">
        <v>3.2287971999999998</v>
      </c>
      <c r="AS190" s="3">
        <v>3.2252500999999998</v>
      </c>
      <c r="AT190" s="3">
        <v>3.2218930000000001</v>
      </c>
      <c r="AU190" s="3">
        <v>3.2187285000000001</v>
      </c>
      <c r="AV190" s="3">
        <v>3.2157692</v>
      </c>
      <c r="AW190" s="3">
        <v>3.2130276000000002</v>
      </c>
      <c r="AX190" s="3">
        <v>3.2105163000000001</v>
      </c>
      <c r="AY190" s="3">
        <v>3.2082478999999999</v>
      </c>
      <c r="AZ190" s="3">
        <v>3.2062349000000001</v>
      </c>
      <c r="BA190" s="3">
        <v>3.2044899</v>
      </c>
      <c r="BB190" s="3">
        <v>3.2030254999999999</v>
      </c>
      <c r="BC190" s="3">
        <v>3.2018542999999999</v>
      </c>
      <c r="BD190" s="3">
        <v>3.2009886999999999</v>
      </c>
      <c r="BE190" s="3">
        <v>3.2004413999999999</v>
      </c>
      <c r="BF190" s="3">
        <v>3.2002234000000001</v>
      </c>
      <c r="BG190" s="3">
        <v>3.2003393</v>
      </c>
      <c r="BH190" s="3">
        <v>3.2007911999999998</v>
      </c>
      <c r="BI190" s="3">
        <v>3.2015815000000001</v>
      </c>
      <c r="BJ190" s="3">
        <v>3.2027123</v>
      </c>
      <c r="BK190" s="3">
        <v>3.2041860999999998</v>
      </c>
      <c r="BL190" s="3">
        <v>3.2060048999999999</v>
      </c>
      <c r="BM190" s="3">
        <v>3.2081713000000001</v>
      </c>
      <c r="BN190" s="3">
        <v>3.2106873</v>
      </c>
      <c r="BO190" s="3">
        <v>3.2135552999999999</v>
      </c>
      <c r="BP190" s="3">
        <v>3.2167775999999999</v>
      </c>
      <c r="BQ190" s="3">
        <v>3.2203563000000002</v>
      </c>
      <c r="BR190" s="3">
        <v>3.2489870000000001</v>
      </c>
      <c r="BS190" s="3">
        <v>3.2882552</v>
      </c>
    </row>
    <row r="191" spans="1:71" x14ac:dyDescent="0.35">
      <c r="A191" s="6">
        <f t="shared" si="83"/>
        <v>45546</v>
      </c>
      <c r="B191">
        <f t="shared" si="78"/>
        <v>9</v>
      </c>
      <c r="C191">
        <f t="shared" si="79"/>
        <v>2024</v>
      </c>
      <c r="D191">
        <f t="shared" si="80"/>
        <v>202409</v>
      </c>
      <c r="E191">
        <f t="shared" si="81"/>
        <v>3</v>
      </c>
      <c r="F191">
        <f t="shared" si="82"/>
        <v>202403</v>
      </c>
      <c r="G191" t="s">
        <v>324</v>
      </c>
      <c r="H191" s="2">
        <v>5</v>
      </c>
      <c r="I191" s="2">
        <v>4.95</v>
      </c>
      <c r="J191" s="3">
        <v>4.8989111999999997</v>
      </c>
      <c r="K191" s="3">
        <v>4.7599605</v>
      </c>
      <c r="L191" s="3">
        <v>4.5995920999999997</v>
      </c>
      <c r="M191" s="3">
        <v>4.4331474000000002</v>
      </c>
      <c r="N191" s="3">
        <v>4.2651541000000002</v>
      </c>
      <c r="O191" s="3">
        <v>4.1007895000000003</v>
      </c>
      <c r="P191" s="3">
        <v>3.9481891</v>
      </c>
      <c r="Q191" s="3">
        <v>3.8133995999999999</v>
      </c>
      <c r="R191" s="3">
        <v>3.6994655000000001</v>
      </c>
      <c r="S191" s="3">
        <v>3.6061974999999999</v>
      </c>
      <c r="T191" s="3">
        <v>3.5317677000000001</v>
      </c>
      <c r="U191" s="3">
        <v>3.4727622</v>
      </c>
      <c r="V191" s="3">
        <v>3.4244170999999999</v>
      </c>
      <c r="W191" s="3">
        <v>3.3846455999999998</v>
      </c>
      <c r="X191" s="3">
        <v>3.3521458000000002</v>
      </c>
      <c r="Y191" s="3">
        <v>3.3256141000000001</v>
      </c>
      <c r="Z191" s="3">
        <v>3.3037473999999998</v>
      </c>
      <c r="AA191" s="3">
        <v>3.2852435</v>
      </c>
      <c r="AB191" s="3">
        <v>3.2690008000000002</v>
      </c>
      <c r="AC191" s="3">
        <v>3.2546138</v>
      </c>
      <c r="AD191" s="3">
        <v>3.2418277999999998</v>
      </c>
      <c r="AE191" s="3">
        <v>3.2303872</v>
      </c>
      <c r="AF191" s="3">
        <v>3.2200367000000001</v>
      </c>
      <c r="AG191" s="3">
        <v>3.2105214000000002</v>
      </c>
      <c r="AH191" s="3">
        <v>3.2016252999999999</v>
      </c>
      <c r="AI191" s="3">
        <v>3.1932906000000001</v>
      </c>
      <c r="AJ191" s="3">
        <v>3.1854990999999999</v>
      </c>
      <c r="AK191" s="3">
        <v>3.1782322999999999</v>
      </c>
      <c r="AL191" s="3">
        <v>3.1714718</v>
      </c>
      <c r="AM191" s="3">
        <v>3.1651994000000001</v>
      </c>
      <c r="AN191" s="3">
        <v>3.1593968000000001</v>
      </c>
      <c r="AO191" s="3">
        <v>3.1540454000000002</v>
      </c>
      <c r="AP191" s="3">
        <v>3.1491270999999998</v>
      </c>
      <c r="AQ191" s="3">
        <v>3.1446234999999998</v>
      </c>
      <c r="AR191" s="3">
        <v>3.1405162</v>
      </c>
      <c r="AS191" s="3">
        <v>3.1367867999999999</v>
      </c>
      <c r="AT191" s="3">
        <v>3.1334203</v>
      </c>
      <c r="AU191" s="3">
        <v>3.1304172000000001</v>
      </c>
      <c r="AV191" s="3">
        <v>3.127783</v>
      </c>
      <c r="AW191" s="3">
        <v>3.1255229999999998</v>
      </c>
      <c r="AX191" s="3">
        <v>3.1236426000000002</v>
      </c>
      <c r="AY191" s="3">
        <v>3.1221473</v>
      </c>
      <c r="AZ191" s="3">
        <v>3.1210423</v>
      </c>
      <c r="BA191" s="3">
        <v>3.1203330999999999</v>
      </c>
      <c r="BB191" s="3">
        <v>3.120025</v>
      </c>
      <c r="BC191" s="3">
        <v>3.1201235</v>
      </c>
      <c r="BD191" s="3">
        <v>3.1206339999999999</v>
      </c>
      <c r="BE191" s="3">
        <v>3.1215617</v>
      </c>
      <c r="BF191" s="3">
        <v>3.1229098999999998</v>
      </c>
      <c r="BG191" s="3">
        <v>3.1246716000000001</v>
      </c>
      <c r="BH191" s="3">
        <v>3.1268370000000001</v>
      </c>
      <c r="BI191" s="3">
        <v>3.1293964000000001</v>
      </c>
      <c r="BJ191" s="3">
        <v>3.1323400000000001</v>
      </c>
      <c r="BK191" s="3">
        <v>3.1356579999999998</v>
      </c>
      <c r="BL191" s="3">
        <v>3.1393407999999998</v>
      </c>
      <c r="BM191" s="3">
        <v>3.1433786000000001</v>
      </c>
      <c r="BN191" s="3">
        <v>3.1477615999999999</v>
      </c>
      <c r="BO191" s="3">
        <v>3.1524801</v>
      </c>
      <c r="BP191" s="3">
        <v>3.1575243</v>
      </c>
      <c r="BQ191" s="3">
        <v>3.1628845999999999</v>
      </c>
      <c r="BR191" s="3">
        <v>3.2010687</v>
      </c>
      <c r="BS191" s="3">
        <v>3.2477642000000002</v>
      </c>
    </row>
    <row r="192" spans="1:71" x14ac:dyDescent="0.35">
      <c r="A192" s="6">
        <f t="shared" si="83"/>
        <v>45547</v>
      </c>
      <c r="B192">
        <f t="shared" si="78"/>
        <v>9</v>
      </c>
      <c r="C192">
        <f t="shared" si="79"/>
        <v>2024</v>
      </c>
      <c r="D192">
        <f t="shared" si="80"/>
        <v>202409</v>
      </c>
      <c r="E192">
        <f t="shared" si="81"/>
        <v>3</v>
      </c>
      <c r="F192">
        <f t="shared" si="82"/>
        <v>202403</v>
      </c>
      <c r="G192" t="s">
        <v>325</v>
      </c>
      <c r="H192" s="2">
        <v>5</v>
      </c>
      <c r="I192" s="2">
        <v>4.95</v>
      </c>
      <c r="J192" s="3">
        <v>4.9011401000000001</v>
      </c>
      <c r="K192" s="3">
        <v>4.7699708000000003</v>
      </c>
      <c r="L192" s="3">
        <v>4.6201340999999996</v>
      </c>
      <c r="M192" s="3">
        <v>4.4629949</v>
      </c>
      <c r="N192" s="3">
        <v>4.3021758999999999</v>
      </c>
      <c r="O192" s="3">
        <v>4.1436658</v>
      </c>
      <c r="P192" s="3">
        <v>3.9967480000000002</v>
      </c>
      <c r="Q192" s="3">
        <v>3.8682322999999998</v>
      </c>
      <c r="R192" s="3">
        <v>3.7602389000000001</v>
      </c>
      <c r="S192" s="3">
        <v>3.6722796999999998</v>
      </c>
      <c r="T192" s="3">
        <v>3.6015081000000002</v>
      </c>
      <c r="U192" s="3">
        <v>3.5445867999999998</v>
      </c>
      <c r="V192" s="3">
        <v>3.4966474999999999</v>
      </c>
      <c r="W192" s="3">
        <v>3.4557668000000001</v>
      </c>
      <c r="X192" s="3">
        <v>3.4209141999999999</v>
      </c>
      <c r="Y192" s="3">
        <v>3.3910575000000001</v>
      </c>
      <c r="Z192" s="3">
        <v>3.3651648999999999</v>
      </c>
      <c r="AA192" s="3">
        <v>3.3422054999999999</v>
      </c>
      <c r="AB192" s="3">
        <v>3.3213197999999999</v>
      </c>
      <c r="AC192" s="3">
        <v>3.3022429</v>
      </c>
      <c r="AD192" s="3">
        <v>3.2848389</v>
      </c>
      <c r="AE192" s="3">
        <v>3.2689710999999999</v>
      </c>
      <c r="AF192" s="3">
        <v>3.2545030000000001</v>
      </c>
      <c r="AG192" s="3">
        <v>3.2412985999999999</v>
      </c>
      <c r="AH192" s="3">
        <v>3.2292315</v>
      </c>
      <c r="AI192" s="3">
        <v>3.2182255999999998</v>
      </c>
      <c r="AJ192" s="3">
        <v>3.2082204000000001</v>
      </c>
      <c r="AK192" s="3">
        <v>3.1991551999999999</v>
      </c>
      <c r="AL192" s="3">
        <v>3.1909689000000001</v>
      </c>
      <c r="AM192" s="3">
        <v>3.1836011000000002</v>
      </c>
      <c r="AN192" s="3">
        <v>3.1769910000000001</v>
      </c>
      <c r="AO192" s="3">
        <v>3.1710777999999999</v>
      </c>
      <c r="AP192" s="3">
        <v>3.1658008</v>
      </c>
      <c r="AQ192" s="3">
        <v>3.1610992000000002</v>
      </c>
      <c r="AR192" s="3">
        <v>3.1569123000000001</v>
      </c>
      <c r="AS192" s="3">
        <v>3.1531794</v>
      </c>
      <c r="AT192" s="3">
        <v>3.1498485000000001</v>
      </c>
      <c r="AU192" s="3">
        <v>3.146906</v>
      </c>
      <c r="AV192" s="3">
        <v>3.1443490000000001</v>
      </c>
      <c r="AW192" s="3">
        <v>3.1421747999999998</v>
      </c>
      <c r="AX192" s="3">
        <v>3.1403802999999999</v>
      </c>
      <c r="AY192" s="3">
        <v>3.1389627999999998</v>
      </c>
      <c r="AZ192" s="3">
        <v>3.1379193000000001</v>
      </c>
      <c r="BA192" s="3">
        <v>3.1372469999999999</v>
      </c>
      <c r="BB192" s="3">
        <v>3.1369429000000002</v>
      </c>
      <c r="BC192" s="3">
        <v>3.1370041999999998</v>
      </c>
      <c r="BD192" s="3">
        <v>3.1374279999999999</v>
      </c>
      <c r="BE192" s="3">
        <v>3.1382115000000002</v>
      </c>
      <c r="BF192" s="3">
        <v>3.1393513999999998</v>
      </c>
      <c r="BG192" s="3">
        <v>3.1408431999999999</v>
      </c>
      <c r="BH192" s="3">
        <v>3.1426823000000002</v>
      </c>
      <c r="BI192" s="3">
        <v>3.1448637000000002</v>
      </c>
      <c r="BJ192" s="3">
        <v>3.1473825999999998</v>
      </c>
      <c r="BK192" s="3">
        <v>3.1502343000000002</v>
      </c>
      <c r="BL192" s="3">
        <v>3.1534138999999999</v>
      </c>
      <c r="BM192" s="3">
        <v>3.1569166000000002</v>
      </c>
      <c r="BN192" s="3">
        <v>3.1607376</v>
      </c>
      <c r="BO192" s="3">
        <v>3.1648719999999999</v>
      </c>
      <c r="BP192" s="3">
        <v>3.1693152000000002</v>
      </c>
      <c r="BQ192" s="3">
        <v>3.1740621</v>
      </c>
      <c r="BR192" s="3">
        <v>3.2084636999999998</v>
      </c>
      <c r="BS192" s="3">
        <v>3.2514286999999999</v>
      </c>
    </row>
    <row r="193" spans="1:71" x14ac:dyDescent="0.35">
      <c r="A193" s="6">
        <f t="shared" si="83"/>
        <v>45548</v>
      </c>
      <c r="B193">
        <f t="shared" si="78"/>
        <v>9</v>
      </c>
      <c r="C193">
        <f t="shared" si="79"/>
        <v>2024</v>
      </c>
      <c r="D193">
        <f t="shared" si="80"/>
        <v>202409</v>
      </c>
      <c r="E193">
        <f t="shared" si="81"/>
        <v>3</v>
      </c>
      <c r="F193">
        <f t="shared" si="82"/>
        <v>202403</v>
      </c>
      <c r="G193" t="s">
        <v>326</v>
      </c>
      <c r="H193" s="2">
        <v>5</v>
      </c>
      <c r="I193" s="2">
        <v>4.95</v>
      </c>
      <c r="J193" s="3">
        <v>4.8706255000000001</v>
      </c>
      <c r="K193" s="3">
        <v>4.7297359999999999</v>
      </c>
      <c r="L193" s="3">
        <v>4.5724448999999998</v>
      </c>
      <c r="M193" s="3">
        <v>4.4097996000000004</v>
      </c>
      <c r="N193" s="3">
        <v>4.2438336999999997</v>
      </c>
      <c r="O193" s="3">
        <v>4.0788536999999998</v>
      </c>
      <c r="P193" s="3">
        <v>3.9236949000000001</v>
      </c>
      <c r="Q193" s="3">
        <v>3.7860027000000001</v>
      </c>
      <c r="R193" s="3">
        <v>3.6691539999999998</v>
      </c>
      <c r="S193" s="3">
        <v>3.5736279999999998</v>
      </c>
      <c r="T193" s="3">
        <v>3.4975087999999999</v>
      </c>
      <c r="U193" s="3">
        <v>3.4375651999999999</v>
      </c>
      <c r="V193" s="3">
        <v>3.3889821000000002</v>
      </c>
      <c r="W193" s="3">
        <v>3.3494735000000002</v>
      </c>
      <c r="X193" s="3">
        <v>3.3176782</v>
      </c>
      <c r="Y193" s="3">
        <v>3.2922337000000002</v>
      </c>
      <c r="Z193" s="3">
        <v>3.2717779</v>
      </c>
      <c r="AA193" s="3">
        <v>3.2549492</v>
      </c>
      <c r="AB193" s="3">
        <v>3.2405892999999999</v>
      </c>
      <c r="AC193" s="3">
        <v>3.2282435999999999</v>
      </c>
      <c r="AD193" s="3">
        <v>3.2176095999999998</v>
      </c>
      <c r="AE193" s="3">
        <v>3.2083843999999999</v>
      </c>
      <c r="AF193" s="3">
        <v>3.2002649999999999</v>
      </c>
      <c r="AG193" s="3">
        <v>3.192949</v>
      </c>
      <c r="AH193" s="3">
        <v>3.1861757000000002</v>
      </c>
      <c r="AI193" s="3">
        <v>3.1798723999999998</v>
      </c>
      <c r="AJ193" s="3">
        <v>3.1740181000000001</v>
      </c>
      <c r="AK193" s="3">
        <v>3.1685916999999999</v>
      </c>
      <c r="AL193" s="3">
        <v>3.1635719</v>
      </c>
      <c r="AM193" s="3">
        <v>3.1589379000000002</v>
      </c>
      <c r="AN193" s="3">
        <v>3.1546685000000001</v>
      </c>
      <c r="AO193" s="3">
        <v>3.1507426000000001</v>
      </c>
      <c r="AP193" s="3">
        <v>3.1471391</v>
      </c>
      <c r="AQ193" s="3">
        <v>3.1438369000000002</v>
      </c>
      <c r="AR193" s="3">
        <v>3.1408149999999999</v>
      </c>
      <c r="AS193" s="3">
        <v>3.1380523</v>
      </c>
      <c r="AT193" s="3">
        <v>3.1355327000000002</v>
      </c>
      <c r="AU193" s="3">
        <v>3.1332605</v>
      </c>
      <c r="AV193" s="3">
        <v>3.1312449999999998</v>
      </c>
      <c r="AW193" s="3">
        <v>3.1294955999999998</v>
      </c>
      <c r="AX193" s="3">
        <v>3.1280215</v>
      </c>
      <c r="AY193" s="3">
        <v>3.1268321000000001</v>
      </c>
      <c r="AZ193" s="3">
        <v>3.1259367</v>
      </c>
      <c r="BA193" s="3">
        <v>3.1253446999999999</v>
      </c>
      <c r="BB193" s="3">
        <v>3.1250653000000002</v>
      </c>
      <c r="BC193" s="3">
        <v>3.1251079000000002</v>
      </c>
      <c r="BD193" s="3">
        <v>3.1254819</v>
      </c>
      <c r="BE193" s="3">
        <v>3.1261964</v>
      </c>
      <c r="BF193" s="3">
        <v>3.1272587000000001</v>
      </c>
      <c r="BG193" s="3">
        <v>3.1286659999999999</v>
      </c>
      <c r="BH193" s="3">
        <v>3.1304131000000002</v>
      </c>
      <c r="BI193" s="3">
        <v>3.1324947000000001</v>
      </c>
      <c r="BJ193" s="3">
        <v>3.1349051999999999</v>
      </c>
      <c r="BK193" s="3">
        <v>3.1376395000000001</v>
      </c>
      <c r="BL193" s="3">
        <v>3.1406922000000002</v>
      </c>
      <c r="BM193" s="3">
        <v>3.1440579999999998</v>
      </c>
      <c r="BN193" s="3">
        <v>3.1477314000000001</v>
      </c>
      <c r="BO193" s="3">
        <v>3.1517070999999999</v>
      </c>
      <c r="BP193" s="3">
        <v>3.1559799000000002</v>
      </c>
      <c r="BQ193" s="3">
        <v>3.1605444</v>
      </c>
      <c r="BR193" s="3">
        <v>3.1936543999999998</v>
      </c>
      <c r="BS193" s="3">
        <v>3.2352957999999998</v>
      </c>
    </row>
    <row r="194" spans="1:71" x14ac:dyDescent="0.35">
      <c r="A194" s="6">
        <f t="shared" si="83"/>
        <v>45551</v>
      </c>
      <c r="B194">
        <f t="shared" si="78"/>
        <v>9</v>
      </c>
      <c r="C194">
        <f t="shared" si="79"/>
        <v>2024</v>
      </c>
      <c r="D194">
        <f t="shared" si="80"/>
        <v>202409</v>
      </c>
      <c r="E194">
        <f t="shared" si="81"/>
        <v>3</v>
      </c>
      <c r="F194">
        <f t="shared" si="82"/>
        <v>202403</v>
      </c>
      <c r="G194" t="s">
        <v>327</v>
      </c>
      <c r="H194" s="2">
        <v>5</v>
      </c>
      <c r="I194" s="2">
        <v>4.95</v>
      </c>
      <c r="J194" s="3">
        <v>4.8601238000000002</v>
      </c>
      <c r="K194" s="3">
        <v>4.7104084999999998</v>
      </c>
      <c r="L194" s="3">
        <v>4.5467665999999998</v>
      </c>
      <c r="M194" s="3">
        <v>4.3773704000000002</v>
      </c>
      <c r="N194" s="3">
        <v>4.2065631999999997</v>
      </c>
      <c r="O194" s="3">
        <v>4.0390265999999997</v>
      </c>
      <c r="P194" s="3">
        <v>3.8826589</v>
      </c>
      <c r="Q194" s="3">
        <v>3.7443078999999999</v>
      </c>
      <c r="R194" s="3">
        <v>3.6270326000000002</v>
      </c>
      <c r="S194" s="3">
        <v>3.5312890000000001</v>
      </c>
      <c r="T194" s="3">
        <v>3.4556195000000001</v>
      </c>
      <c r="U194" s="3">
        <v>3.3967177</v>
      </c>
      <c r="V194" s="3">
        <v>3.3500559999999999</v>
      </c>
      <c r="W194" s="3">
        <v>3.3133501999999999</v>
      </c>
      <c r="X194" s="3">
        <v>3.2849957000000001</v>
      </c>
      <c r="Y194" s="3">
        <v>3.2633866</v>
      </c>
      <c r="Z194" s="3">
        <v>3.2469171000000001</v>
      </c>
      <c r="AA194" s="3">
        <v>3.2339821999999998</v>
      </c>
      <c r="AB194" s="3">
        <v>3.2232302000000002</v>
      </c>
      <c r="AC194" s="3">
        <v>3.2141860000000002</v>
      </c>
      <c r="AD194" s="3">
        <v>3.2065638999999999</v>
      </c>
      <c r="AE194" s="3">
        <v>3.2000776000000002</v>
      </c>
      <c r="AF194" s="3">
        <v>3.1944411000000001</v>
      </c>
      <c r="AG194" s="3">
        <v>3.1893685999999999</v>
      </c>
      <c r="AH194" s="3">
        <v>3.1846193</v>
      </c>
      <c r="AI194" s="3">
        <v>3.1801339</v>
      </c>
      <c r="AJ194" s="3">
        <v>3.1758986999999999</v>
      </c>
      <c r="AK194" s="3">
        <v>3.1718997999999998</v>
      </c>
      <c r="AL194" s="3">
        <v>3.1681233</v>
      </c>
      <c r="AM194" s="3">
        <v>3.1645553999999998</v>
      </c>
      <c r="AN194" s="3">
        <v>3.1611821</v>
      </c>
      <c r="AO194" s="3">
        <v>3.1579896000000001</v>
      </c>
      <c r="AP194" s="3">
        <v>3.1549640999999999</v>
      </c>
      <c r="AQ194" s="3">
        <v>3.1520917000000002</v>
      </c>
      <c r="AR194" s="3">
        <v>3.1493584999999999</v>
      </c>
      <c r="AS194" s="3">
        <v>3.1467507000000001</v>
      </c>
      <c r="AT194" s="3">
        <v>3.1442597000000001</v>
      </c>
      <c r="AU194" s="3">
        <v>3.1418979</v>
      </c>
      <c r="AV194" s="3">
        <v>3.1396833000000002</v>
      </c>
      <c r="AW194" s="3">
        <v>3.1376336999999999</v>
      </c>
      <c r="AX194" s="3">
        <v>3.1357667999999999</v>
      </c>
      <c r="AY194" s="3">
        <v>3.1341005000000002</v>
      </c>
      <c r="AZ194" s="3">
        <v>3.1326524999999998</v>
      </c>
      <c r="BA194" s="3">
        <v>3.1314408</v>
      </c>
      <c r="BB194" s="3">
        <v>3.1304831000000002</v>
      </c>
      <c r="BC194" s="3">
        <v>3.1297972000000001</v>
      </c>
      <c r="BD194" s="3">
        <v>3.1294010000000001</v>
      </c>
      <c r="BE194" s="3">
        <v>3.1293122000000002</v>
      </c>
      <c r="BF194" s="3">
        <v>3.1295467000000001</v>
      </c>
      <c r="BG194" s="3">
        <v>3.1301089000000002</v>
      </c>
      <c r="BH194" s="3">
        <v>3.1309998999999999</v>
      </c>
      <c r="BI194" s="3">
        <v>3.1322204</v>
      </c>
      <c r="BJ194" s="3">
        <v>3.1337714000000001</v>
      </c>
      <c r="BK194" s="3">
        <v>3.1356537000000002</v>
      </c>
      <c r="BL194" s="3">
        <v>3.1378680999999999</v>
      </c>
      <c r="BM194" s="3">
        <v>3.1404157000000001</v>
      </c>
      <c r="BN194" s="3">
        <v>3.1432970999999998</v>
      </c>
      <c r="BO194" s="3">
        <v>3.1465133000000001</v>
      </c>
      <c r="BP194" s="3">
        <v>3.1500653000000001</v>
      </c>
      <c r="BQ194" s="3">
        <v>3.1539537000000002</v>
      </c>
      <c r="BR194" s="3">
        <v>3.1840343999999998</v>
      </c>
      <c r="BS194" s="3">
        <v>3.2242017999999999</v>
      </c>
    </row>
    <row r="195" spans="1:71" x14ac:dyDescent="0.35">
      <c r="A195" s="6">
        <f t="shared" si="83"/>
        <v>45552</v>
      </c>
      <c r="B195">
        <f t="shared" si="78"/>
        <v>9</v>
      </c>
      <c r="C195">
        <f t="shared" si="79"/>
        <v>2024</v>
      </c>
      <c r="D195">
        <f t="shared" si="80"/>
        <v>202409</v>
      </c>
      <c r="E195">
        <f t="shared" si="81"/>
        <v>3</v>
      </c>
      <c r="F195">
        <f t="shared" si="82"/>
        <v>202403</v>
      </c>
      <c r="G195" t="s">
        <v>328</v>
      </c>
      <c r="H195" s="2">
        <v>5</v>
      </c>
      <c r="I195" s="2">
        <v>4.95</v>
      </c>
      <c r="J195" s="3">
        <v>4.8586013000000001</v>
      </c>
      <c r="K195" s="3">
        <v>4.7089460000000001</v>
      </c>
      <c r="L195" s="3">
        <v>4.5488771999999997</v>
      </c>
      <c r="M195" s="3">
        <v>4.3848614000000001</v>
      </c>
      <c r="N195" s="3">
        <v>4.2196068000000002</v>
      </c>
      <c r="O195" s="3">
        <v>4.0576074999999996</v>
      </c>
      <c r="P195" s="3">
        <v>3.9073302999999999</v>
      </c>
      <c r="Q195" s="3">
        <v>3.7757258999999999</v>
      </c>
      <c r="R195" s="3">
        <v>3.6663692000000001</v>
      </c>
      <c r="S195" s="3">
        <v>3.5787545000000001</v>
      </c>
      <c r="T195" s="3">
        <v>3.5109455000000001</v>
      </c>
      <c r="U195" s="3">
        <v>3.4590920000000001</v>
      </c>
      <c r="V195" s="3">
        <v>3.4177265999999999</v>
      </c>
      <c r="W195" s="3">
        <v>3.3845369000000001</v>
      </c>
      <c r="X195" s="3">
        <v>3.3581476000000001</v>
      </c>
      <c r="Y195" s="3">
        <v>3.3371819999999999</v>
      </c>
      <c r="Z195" s="3">
        <v>3.3202638000000002</v>
      </c>
      <c r="AA195" s="3">
        <v>3.3060170000000002</v>
      </c>
      <c r="AB195" s="3">
        <v>3.2933005999999998</v>
      </c>
      <c r="AC195" s="3">
        <v>3.2817848000000001</v>
      </c>
      <c r="AD195" s="3">
        <v>3.2713154000000002</v>
      </c>
      <c r="AE195" s="3">
        <v>3.2617378000000001</v>
      </c>
      <c r="AF195" s="3">
        <v>3.2528974000000002</v>
      </c>
      <c r="AG195" s="3">
        <v>3.2446399000000001</v>
      </c>
      <c r="AH195" s="3">
        <v>3.2368332999999998</v>
      </c>
      <c r="AI195" s="3">
        <v>3.2294369999999999</v>
      </c>
      <c r="AJ195" s="3">
        <v>3.2224332000000002</v>
      </c>
      <c r="AK195" s="3">
        <v>3.2158039999999999</v>
      </c>
      <c r="AL195" s="3">
        <v>3.2095313000000001</v>
      </c>
      <c r="AM195" s="3">
        <v>3.2035974</v>
      </c>
      <c r="AN195" s="3">
        <v>3.1979842000000001</v>
      </c>
      <c r="AO195" s="3">
        <v>3.1926739</v>
      </c>
      <c r="AP195" s="3">
        <v>3.1876487</v>
      </c>
      <c r="AQ195" s="3">
        <v>3.1828905999999999</v>
      </c>
      <c r="AR195" s="3">
        <v>3.1783815</v>
      </c>
      <c r="AS195" s="3">
        <v>3.1741038000000001</v>
      </c>
      <c r="AT195" s="3">
        <v>3.1700446000000002</v>
      </c>
      <c r="AU195" s="3">
        <v>3.1662116</v>
      </c>
      <c r="AV195" s="3">
        <v>3.1626178</v>
      </c>
      <c r="AW195" s="3">
        <v>3.1592761</v>
      </c>
      <c r="AX195" s="3">
        <v>3.1561992999999999</v>
      </c>
      <c r="AY195" s="3">
        <v>3.1534002999999999</v>
      </c>
      <c r="AZ195" s="3">
        <v>3.1508921000000001</v>
      </c>
      <c r="BA195" s="3">
        <v>3.1486874999999999</v>
      </c>
      <c r="BB195" s="3">
        <v>3.1467995000000002</v>
      </c>
      <c r="BC195" s="3">
        <v>3.1452407999999998</v>
      </c>
      <c r="BD195" s="3">
        <v>3.1440245</v>
      </c>
      <c r="BE195" s="3">
        <v>3.1431634000000002</v>
      </c>
      <c r="BF195" s="3">
        <v>3.1426685999999999</v>
      </c>
      <c r="BG195" s="3">
        <v>3.1425418000000001</v>
      </c>
      <c r="BH195" s="3">
        <v>3.1427822999999999</v>
      </c>
      <c r="BI195" s="3">
        <v>3.143389</v>
      </c>
      <c r="BJ195" s="3">
        <v>3.1443610999999998</v>
      </c>
      <c r="BK195" s="3">
        <v>3.1456976000000001</v>
      </c>
      <c r="BL195" s="3">
        <v>3.1473977</v>
      </c>
      <c r="BM195" s="3">
        <v>3.1494604000000002</v>
      </c>
      <c r="BN195" s="3">
        <v>3.1518847999999999</v>
      </c>
      <c r="BO195" s="3">
        <v>3.1546699</v>
      </c>
      <c r="BP195" s="3">
        <v>3.1578149999999998</v>
      </c>
      <c r="BQ195" s="3">
        <v>3.1613190000000002</v>
      </c>
      <c r="BR195" s="3">
        <v>3.1894733</v>
      </c>
      <c r="BS195" s="3">
        <v>3.2281564999999999</v>
      </c>
    </row>
    <row r="196" spans="1:71" x14ac:dyDescent="0.35">
      <c r="A196" s="6">
        <f t="shared" si="83"/>
        <v>45553</v>
      </c>
      <c r="B196">
        <f t="shared" si="78"/>
        <v>9</v>
      </c>
      <c r="C196">
        <f t="shared" si="79"/>
        <v>2024</v>
      </c>
      <c r="D196">
        <f t="shared" si="80"/>
        <v>202409</v>
      </c>
      <c r="E196">
        <f t="shared" si="81"/>
        <v>3</v>
      </c>
      <c r="F196">
        <f t="shared" si="82"/>
        <v>202403</v>
      </c>
      <c r="G196" t="s">
        <v>329</v>
      </c>
      <c r="H196" s="2">
        <v>5</v>
      </c>
      <c r="I196" s="2">
        <v>4.95</v>
      </c>
      <c r="J196" s="3">
        <v>4.8768703000000002</v>
      </c>
      <c r="K196" s="3">
        <v>4.7273506000000003</v>
      </c>
      <c r="L196" s="3">
        <v>4.5734402999999997</v>
      </c>
      <c r="M196" s="3">
        <v>4.4207454999999998</v>
      </c>
      <c r="N196" s="3">
        <v>4.2695764</v>
      </c>
      <c r="O196" s="3">
        <v>4.1220409</v>
      </c>
      <c r="P196" s="3">
        <v>3.9844786999999999</v>
      </c>
      <c r="Q196" s="3">
        <v>3.8626494999999998</v>
      </c>
      <c r="R196" s="3">
        <v>3.7597626000000002</v>
      </c>
      <c r="S196" s="3">
        <v>3.6759124999999999</v>
      </c>
      <c r="T196" s="3">
        <v>3.6096621</v>
      </c>
      <c r="U196" s="3">
        <v>3.5578791999999999</v>
      </c>
      <c r="V196" s="3">
        <v>3.5159397000000001</v>
      </c>
      <c r="W196" s="3">
        <v>3.4817930000000001</v>
      </c>
      <c r="X196" s="3">
        <v>3.4541529</v>
      </c>
      <c r="Y196" s="3">
        <v>3.4317321000000001</v>
      </c>
      <c r="Z196" s="3">
        <v>3.4132437000000002</v>
      </c>
      <c r="AA196" s="3">
        <v>3.3974012</v>
      </c>
      <c r="AB196" s="3">
        <v>3.3831319999999998</v>
      </c>
      <c r="AC196" s="3">
        <v>3.3701034999999999</v>
      </c>
      <c r="AD196" s="3">
        <v>3.3581433999999999</v>
      </c>
      <c r="AE196" s="3">
        <v>3.3470784999999998</v>
      </c>
      <c r="AF196" s="3">
        <v>3.3367361</v>
      </c>
      <c r="AG196" s="3">
        <v>3.3269434000000002</v>
      </c>
      <c r="AH196" s="3">
        <v>3.3175560000000002</v>
      </c>
      <c r="AI196" s="3">
        <v>3.3085425000000002</v>
      </c>
      <c r="AJ196" s="3">
        <v>3.2999003</v>
      </c>
      <c r="AK196" s="3">
        <v>3.2916265</v>
      </c>
      <c r="AL196" s="3">
        <v>3.2837179999999999</v>
      </c>
      <c r="AM196" s="3">
        <v>3.2761724000000001</v>
      </c>
      <c r="AN196" s="3">
        <v>3.2689865</v>
      </c>
      <c r="AO196" s="3">
        <v>3.2621576000000001</v>
      </c>
      <c r="AP196" s="3">
        <v>3.2556829</v>
      </c>
      <c r="AQ196" s="3">
        <v>3.2495595000000002</v>
      </c>
      <c r="AR196" s="3">
        <v>3.2437844</v>
      </c>
      <c r="AS196" s="3">
        <v>3.2383549999999999</v>
      </c>
      <c r="AT196" s="3">
        <v>3.2332695999999999</v>
      </c>
      <c r="AU196" s="3">
        <v>3.2285324000000002</v>
      </c>
      <c r="AV196" s="3">
        <v>3.2241493000000001</v>
      </c>
      <c r="AW196" s="3">
        <v>3.2201265000000001</v>
      </c>
      <c r="AX196" s="3">
        <v>3.2164698</v>
      </c>
      <c r="AY196" s="3">
        <v>3.2131853000000001</v>
      </c>
      <c r="AZ196" s="3">
        <v>3.2102789999999999</v>
      </c>
      <c r="BA196" s="3">
        <v>3.2077567999999999</v>
      </c>
      <c r="BB196" s="3">
        <v>3.2056249000000001</v>
      </c>
      <c r="BC196" s="3">
        <v>3.2038891</v>
      </c>
      <c r="BD196" s="3">
        <v>3.2025554999999999</v>
      </c>
      <c r="BE196" s="3">
        <v>3.2016300000000002</v>
      </c>
      <c r="BF196" s="3">
        <v>3.2011167999999999</v>
      </c>
      <c r="BG196" s="3">
        <v>3.2010111000000001</v>
      </c>
      <c r="BH196" s="3">
        <v>3.2013058000000001</v>
      </c>
      <c r="BI196" s="3">
        <v>3.2019937000000001</v>
      </c>
      <c r="BJ196" s="3">
        <v>3.2030679000000002</v>
      </c>
      <c r="BK196" s="3">
        <v>3.2045211</v>
      </c>
      <c r="BL196" s="3">
        <v>3.2063462999999999</v>
      </c>
      <c r="BM196" s="3">
        <v>3.2085363999999998</v>
      </c>
      <c r="BN196" s="3">
        <v>3.2110843</v>
      </c>
      <c r="BO196" s="3">
        <v>3.2139828000000001</v>
      </c>
      <c r="BP196" s="3">
        <v>3.2172249000000002</v>
      </c>
      <c r="BQ196" s="3">
        <v>3.2208035000000002</v>
      </c>
      <c r="BR196" s="3">
        <v>3.2488244000000002</v>
      </c>
      <c r="BS196" s="3">
        <v>3.2864504999999999</v>
      </c>
    </row>
    <row r="197" spans="1:71" x14ac:dyDescent="0.35">
      <c r="A197" s="6">
        <f t="shared" si="83"/>
        <v>45554</v>
      </c>
      <c r="B197">
        <f t="shared" si="78"/>
        <v>9</v>
      </c>
      <c r="C197">
        <f t="shared" si="79"/>
        <v>2024</v>
      </c>
      <c r="D197">
        <f t="shared" si="80"/>
        <v>202409</v>
      </c>
      <c r="E197">
        <f t="shared" si="81"/>
        <v>3</v>
      </c>
      <c r="F197">
        <f t="shared" si="82"/>
        <v>202403</v>
      </c>
      <c r="G197" t="s">
        <v>330</v>
      </c>
      <c r="H197" s="2">
        <v>5</v>
      </c>
      <c r="I197" s="2">
        <v>4.95</v>
      </c>
      <c r="J197" s="3">
        <v>4.9085985000000001</v>
      </c>
      <c r="K197" s="3">
        <v>4.7585860999999996</v>
      </c>
      <c r="L197" s="3">
        <v>4.610112</v>
      </c>
      <c r="M197" s="3">
        <v>4.4629189</v>
      </c>
      <c r="N197" s="3">
        <v>4.3135303</v>
      </c>
      <c r="O197" s="3">
        <v>4.1637012000000002</v>
      </c>
      <c r="P197" s="3">
        <v>4.0207385000000002</v>
      </c>
      <c r="Q197" s="3">
        <v>3.8923988999999999</v>
      </c>
      <c r="R197" s="3">
        <v>3.7828070999999999</v>
      </c>
      <c r="S197" s="3">
        <v>3.6932722999999998</v>
      </c>
      <c r="T197" s="3">
        <v>3.6222202999999999</v>
      </c>
      <c r="U197" s="3">
        <v>3.5668069999999998</v>
      </c>
      <c r="V197" s="3">
        <v>3.5222793000000001</v>
      </c>
      <c r="W197" s="3">
        <v>3.4864275999999998</v>
      </c>
      <c r="X197" s="3">
        <v>3.4578410000000002</v>
      </c>
      <c r="Y197" s="3">
        <v>3.4351071000000002</v>
      </c>
      <c r="Z197" s="3">
        <v>3.4168139000000002</v>
      </c>
      <c r="AA197" s="3">
        <v>3.4015499999999999</v>
      </c>
      <c r="AB197" s="3">
        <v>3.3881389</v>
      </c>
      <c r="AC197" s="3">
        <v>3.3762177000000002</v>
      </c>
      <c r="AD197" s="3">
        <v>3.3655993</v>
      </c>
      <c r="AE197" s="3">
        <v>3.356096</v>
      </c>
      <c r="AF197" s="3">
        <v>3.3475202999999998</v>
      </c>
      <c r="AG197" s="3">
        <v>3.3396849999999998</v>
      </c>
      <c r="AH197" s="3">
        <v>3.3324245000000001</v>
      </c>
      <c r="AI197" s="3">
        <v>3.3256808000000002</v>
      </c>
      <c r="AJ197" s="3">
        <v>3.3194289000000001</v>
      </c>
      <c r="AK197" s="3">
        <v>3.3136435999999998</v>
      </c>
      <c r="AL197" s="3">
        <v>3.3082994999999999</v>
      </c>
      <c r="AM197" s="3">
        <v>3.3033716000000002</v>
      </c>
      <c r="AN197" s="3">
        <v>3.2988346000000002</v>
      </c>
      <c r="AO197" s="3">
        <v>3.2946634000000001</v>
      </c>
      <c r="AP197" s="3">
        <v>3.2908327000000002</v>
      </c>
      <c r="AQ197" s="3">
        <v>3.2873173000000002</v>
      </c>
      <c r="AR197" s="3">
        <v>3.2840921000000001</v>
      </c>
      <c r="AS197" s="3">
        <v>3.2811317999999998</v>
      </c>
      <c r="AT197" s="3">
        <v>3.2784160999999998</v>
      </c>
      <c r="AU197" s="3">
        <v>3.2759456</v>
      </c>
      <c r="AV197" s="3">
        <v>3.2737270000000001</v>
      </c>
      <c r="AW197" s="3">
        <v>3.2717667000000001</v>
      </c>
      <c r="AX197" s="3">
        <v>3.2700714</v>
      </c>
      <c r="AY197" s="3">
        <v>3.2686476999999998</v>
      </c>
      <c r="AZ197" s="3">
        <v>3.2675019999999999</v>
      </c>
      <c r="BA197" s="3">
        <v>3.2666409000000001</v>
      </c>
      <c r="BB197" s="3">
        <v>3.2660711</v>
      </c>
      <c r="BC197" s="3">
        <v>3.2657989999999999</v>
      </c>
      <c r="BD197" s="3">
        <v>3.2658312</v>
      </c>
      <c r="BE197" s="3">
        <v>3.2661742999999999</v>
      </c>
      <c r="BF197" s="3">
        <v>3.2668336999999998</v>
      </c>
      <c r="BG197" s="3">
        <v>3.2678093000000001</v>
      </c>
      <c r="BH197" s="3">
        <v>3.2690996999999999</v>
      </c>
      <c r="BI197" s="3">
        <v>3.2707035000000002</v>
      </c>
      <c r="BJ197" s="3">
        <v>3.2726191999999998</v>
      </c>
      <c r="BK197" s="3">
        <v>3.2748453999999998</v>
      </c>
      <c r="BL197" s="3">
        <v>3.2773805</v>
      </c>
      <c r="BM197" s="3">
        <v>3.2802232999999998</v>
      </c>
      <c r="BN197" s="3">
        <v>3.2833720999999998</v>
      </c>
      <c r="BO197" s="3">
        <v>3.2868255999999998</v>
      </c>
      <c r="BP197" s="3">
        <v>3.2905823000000001</v>
      </c>
      <c r="BQ197" s="3">
        <v>3.2946407999999998</v>
      </c>
      <c r="BR197" s="3">
        <v>3.3249754</v>
      </c>
      <c r="BS197" s="3">
        <v>3.3641589999999999</v>
      </c>
    </row>
    <row r="198" spans="1:71" x14ac:dyDescent="0.35">
      <c r="A198" s="6">
        <f t="shared" si="83"/>
        <v>45555</v>
      </c>
      <c r="B198">
        <f t="shared" si="78"/>
        <v>9</v>
      </c>
      <c r="C198">
        <f t="shared" si="79"/>
        <v>2024</v>
      </c>
      <c r="D198">
        <f t="shared" si="80"/>
        <v>202409</v>
      </c>
      <c r="E198">
        <f t="shared" si="81"/>
        <v>3</v>
      </c>
      <c r="F198">
        <f t="shared" si="82"/>
        <v>202403</v>
      </c>
      <c r="G198" t="s">
        <v>331</v>
      </c>
      <c r="H198" s="2">
        <v>5</v>
      </c>
      <c r="I198" s="2">
        <v>4.95</v>
      </c>
      <c r="J198" s="3">
        <v>4.9061655000000002</v>
      </c>
      <c r="K198" s="3">
        <v>4.7637660000000004</v>
      </c>
      <c r="L198" s="3">
        <v>4.6205366000000003</v>
      </c>
      <c r="M198" s="3">
        <v>4.4736320000000003</v>
      </c>
      <c r="N198" s="3">
        <v>4.3203028999999997</v>
      </c>
      <c r="O198" s="3">
        <v>4.1640758</v>
      </c>
      <c r="P198" s="3">
        <v>4.0138353999999996</v>
      </c>
      <c r="Q198" s="3">
        <v>3.8783127999999998</v>
      </c>
      <c r="R198" s="3">
        <v>3.7618277</v>
      </c>
      <c r="S198" s="3">
        <v>3.6657405000000001</v>
      </c>
      <c r="T198" s="3">
        <v>3.5888944</v>
      </c>
      <c r="U198" s="3">
        <v>3.5283582</v>
      </c>
      <c r="V198" s="3">
        <v>3.4791943999999999</v>
      </c>
      <c r="W198" s="3">
        <v>3.4391362000000001</v>
      </c>
      <c r="X198" s="3">
        <v>3.4069118</v>
      </c>
      <c r="Y198" s="3">
        <v>3.3812487999999998</v>
      </c>
      <c r="Z198" s="3">
        <v>3.3608745</v>
      </c>
      <c r="AA198" s="3">
        <v>3.3445174</v>
      </c>
      <c r="AB198" s="3">
        <v>3.3310822999999998</v>
      </c>
      <c r="AC198" s="3">
        <v>3.3200870999999998</v>
      </c>
      <c r="AD198" s="3">
        <v>3.3111818999999998</v>
      </c>
      <c r="AE198" s="3">
        <v>3.3040164000000001</v>
      </c>
      <c r="AF198" s="3">
        <v>3.2982404999999999</v>
      </c>
      <c r="AG198" s="3">
        <v>3.2935042999999999</v>
      </c>
      <c r="AH198" s="3">
        <v>3.2895021999999998</v>
      </c>
      <c r="AI198" s="3">
        <v>3.2861264000000001</v>
      </c>
      <c r="AJ198" s="3">
        <v>3.2833234999999998</v>
      </c>
      <c r="AK198" s="3">
        <v>3.2810402000000001</v>
      </c>
      <c r="AL198" s="3">
        <v>3.279223</v>
      </c>
      <c r="AM198" s="3">
        <v>3.2778185999999998</v>
      </c>
      <c r="AN198" s="3">
        <v>3.2767737000000001</v>
      </c>
      <c r="AO198" s="3">
        <v>3.2760346999999999</v>
      </c>
      <c r="AP198" s="3">
        <v>3.2755483000000001</v>
      </c>
      <c r="AQ198" s="3">
        <v>3.2752612999999999</v>
      </c>
      <c r="AR198" s="3">
        <v>3.2751199999999998</v>
      </c>
      <c r="AS198" s="3">
        <v>3.2750713</v>
      </c>
      <c r="AT198" s="3">
        <v>3.2750726000000001</v>
      </c>
      <c r="AU198" s="3">
        <v>3.2751256999999998</v>
      </c>
      <c r="AV198" s="3">
        <v>3.2752431</v>
      </c>
      <c r="AW198" s="3">
        <v>3.2754376000000001</v>
      </c>
      <c r="AX198" s="3">
        <v>3.2757215999999998</v>
      </c>
      <c r="AY198" s="3">
        <v>3.2761079</v>
      </c>
      <c r="AZ198" s="3">
        <v>3.2766090999999999</v>
      </c>
      <c r="BA198" s="3">
        <v>3.2772378</v>
      </c>
      <c r="BB198" s="3">
        <v>3.2780065999999999</v>
      </c>
      <c r="BC198" s="3">
        <v>3.2789280999999999</v>
      </c>
      <c r="BD198" s="3">
        <v>3.2800151</v>
      </c>
      <c r="BE198" s="3">
        <v>3.2812801</v>
      </c>
      <c r="BF198" s="3">
        <v>3.2827343</v>
      </c>
      <c r="BG198" s="3">
        <v>3.2843825</v>
      </c>
      <c r="BH198" s="3">
        <v>3.2862277</v>
      </c>
      <c r="BI198" s="3">
        <v>3.2882728999999999</v>
      </c>
      <c r="BJ198" s="3">
        <v>3.2905212000000001</v>
      </c>
      <c r="BK198" s="3">
        <v>3.2929754</v>
      </c>
      <c r="BL198" s="3">
        <v>3.2956387999999999</v>
      </c>
      <c r="BM198" s="3">
        <v>3.2985142000000001</v>
      </c>
      <c r="BN198" s="3">
        <v>3.3016046999999999</v>
      </c>
      <c r="BO198" s="3">
        <v>3.3049132999999999</v>
      </c>
      <c r="BP198" s="3">
        <v>3.3084430999999999</v>
      </c>
      <c r="BQ198" s="3">
        <v>3.3121969</v>
      </c>
      <c r="BR198" s="3">
        <v>3.3393869</v>
      </c>
      <c r="BS198" s="3">
        <v>3.3741384999999999</v>
      </c>
    </row>
    <row r="199" spans="1:71" x14ac:dyDescent="0.35">
      <c r="A199" s="6">
        <f t="shared" si="83"/>
        <v>45558</v>
      </c>
      <c r="B199">
        <f t="shared" si="78"/>
        <v>9</v>
      </c>
      <c r="C199">
        <f t="shared" si="79"/>
        <v>2024</v>
      </c>
      <c r="D199">
        <f t="shared" si="80"/>
        <v>202409</v>
      </c>
      <c r="E199">
        <f t="shared" si="81"/>
        <v>3</v>
      </c>
      <c r="F199">
        <f t="shared" si="82"/>
        <v>202403</v>
      </c>
      <c r="G199" t="s">
        <v>332</v>
      </c>
      <c r="H199" s="2">
        <v>5</v>
      </c>
      <c r="I199" s="2">
        <v>4.95</v>
      </c>
      <c r="J199" s="3">
        <v>4.8918970000000002</v>
      </c>
      <c r="K199" s="3">
        <v>4.7388241000000004</v>
      </c>
      <c r="L199" s="3">
        <v>4.5935392000000004</v>
      </c>
      <c r="M199" s="3">
        <v>4.4469351000000001</v>
      </c>
      <c r="N199" s="3">
        <v>4.2940379000000002</v>
      </c>
      <c r="O199" s="3">
        <v>4.1386845000000001</v>
      </c>
      <c r="P199" s="3">
        <v>3.9895060999999998</v>
      </c>
      <c r="Q199" s="3">
        <v>3.8550201999999998</v>
      </c>
      <c r="R199" s="3">
        <v>3.7397863999999998</v>
      </c>
      <c r="S199" s="3">
        <v>3.6452526999999999</v>
      </c>
      <c r="T199" s="3">
        <v>3.5707751999999999</v>
      </c>
      <c r="U199" s="3">
        <v>3.5133606999999998</v>
      </c>
      <c r="V199" s="3">
        <v>3.4687887000000002</v>
      </c>
      <c r="W199" s="3">
        <v>3.4347436999999998</v>
      </c>
      <c r="X199" s="3">
        <v>3.4094994000000001</v>
      </c>
      <c r="Y199" s="3">
        <v>3.3913283000000001</v>
      </c>
      <c r="Z199" s="3">
        <v>3.3785034</v>
      </c>
      <c r="AA199" s="3">
        <v>3.3692978999999998</v>
      </c>
      <c r="AB199" s="3">
        <v>3.3622529999999999</v>
      </c>
      <c r="AC199" s="3">
        <v>3.3568365</v>
      </c>
      <c r="AD199" s="3">
        <v>3.352716</v>
      </c>
      <c r="AE199" s="3">
        <v>3.3495587000000002</v>
      </c>
      <c r="AF199" s="3">
        <v>3.3470323</v>
      </c>
      <c r="AG199" s="3">
        <v>3.3448041000000002</v>
      </c>
      <c r="AH199" s="3">
        <v>3.3425978999999999</v>
      </c>
      <c r="AI199" s="3">
        <v>3.3403622999999998</v>
      </c>
      <c r="AJ199" s="3">
        <v>3.3381023000000001</v>
      </c>
      <c r="AK199" s="3">
        <v>3.3358227999999999</v>
      </c>
      <c r="AL199" s="3">
        <v>3.3335287</v>
      </c>
      <c r="AM199" s="3">
        <v>3.3312249</v>
      </c>
      <c r="AN199" s="3">
        <v>3.3289165000000001</v>
      </c>
      <c r="AO199" s="3">
        <v>3.3266081000000001</v>
      </c>
      <c r="AP199" s="3">
        <v>3.3243049999999998</v>
      </c>
      <c r="AQ199" s="3">
        <v>3.3220117999999998</v>
      </c>
      <c r="AR199" s="3">
        <v>3.3197337</v>
      </c>
      <c r="AS199" s="3">
        <v>3.3174754000000002</v>
      </c>
      <c r="AT199" s="3">
        <v>3.3152450999999998</v>
      </c>
      <c r="AU199" s="3">
        <v>3.3130636</v>
      </c>
      <c r="AV199" s="3">
        <v>3.3109546999999999</v>
      </c>
      <c r="AW199" s="3">
        <v>3.3089425000000001</v>
      </c>
      <c r="AX199" s="3">
        <v>3.3070509000000001</v>
      </c>
      <c r="AY199" s="3">
        <v>3.3053037999999999</v>
      </c>
      <c r="AZ199" s="3">
        <v>3.3037250999999999</v>
      </c>
      <c r="BA199" s="3">
        <v>3.3023387999999998</v>
      </c>
      <c r="BB199" s="3">
        <v>3.3011689</v>
      </c>
      <c r="BC199" s="3">
        <v>3.3002392</v>
      </c>
      <c r="BD199" s="3">
        <v>3.2995738000000001</v>
      </c>
      <c r="BE199" s="3">
        <v>3.2991964999999999</v>
      </c>
      <c r="BF199" s="3">
        <v>3.2991285000000001</v>
      </c>
      <c r="BG199" s="3">
        <v>3.2993763</v>
      </c>
      <c r="BH199" s="3">
        <v>3.2999413</v>
      </c>
      <c r="BI199" s="3">
        <v>3.3008250000000001</v>
      </c>
      <c r="BJ199" s="3">
        <v>3.3020288</v>
      </c>
      <c r="BK199" s="3">
        <v>3.3035540999999999</v>
      </c>
      <c r="BL199" s="3">
        <v>3.3054025</v>
      </c>
      <c r="BM199" s="3">
        <v>3.3075752999999999</v>
      </c>
      <c r="BN199" s="3">
        <v>3.3100741</v>
      </c>
      <c r="BO199" s="3">
        <v>3.3129002999999999</v>
      </c>
      <c r="BP199" s="3">
        <v>3.3160552999999999</v>
      </c>
      <c r="BQ199" s="3">
        <v>3.3195405</v>
      </c>
      <c r="BR199" s="3">
        <v>3.3470968000000001</v>
      </c>
      <c r="BS199" s="3">
        <v>3.3846232000000001</v>
      </c>
    </row>
    <row r="200" spans="1:71" x14ac:dyDescent="0.35">
      <c r="A200" s="6">
        <f t="shared" si="83"/>
        <v>45559</v>
      </c>
      <c r="B200">
        <f t="shared" si="78"/>
        <v>9</v>
      </c>
      <c r="C200">
        <f t="shared" si="79"/>
        <v>2024</v>
      </c>
      <c r="D200">
        <f t="shared" si="80"/>
        <v>202409</v>
      </c>
      <c r="E200">
        <f t="shared" si="81"/>
        <v>3</v>
      </c>
      <c r="F200">
        <f t="shared" si="82"/>
        <v>202403</v>
      </c>
      <c r="G200" t="s">
        <v>333</v>
      </c>
      <c r="H200" s="2">
        <v>5</v>
      </c>
      <c r="I200" s="2">
        <v>4.95</v>
      </c>
      <c r="J200" s="3">
        <v>4.8893446999999997</v>
      </c>
      <c r="K200" s="3">
        <v>4.7322759000000003</v>
      </c>
      <c r="L200" s="3">
        <v>4.5847376999999998</v>
      </c>
      <c r="M200" s="3">
        <v>4.4352131000000004</v>
      </c>
      <c r="N200" s="3">
        <v>4.2786016</v>
      </c>
      <c r="O200" s="3">
        <v>4.1198148999999997</v>
      </c>
      <c r="P200" s="3">
        <v>3.9684482000000001</v>
      </c>
      <c r="Q200" s="3">
        <v>3.8330019000000002</v>
      </c>
      <c r="R200" s="3">
        <v>3.7186230999999998</v>
      </c>
      <c r="S200" s="3">
        <v>3.6257606999999998</v>
      </c>
      <c r="T200" s="3">
        <v>3.5534859999999999</v>
      </c>
      <c r="U200" s="3">
        <v>3.4985018999999999</v>
      </c>
      <c r="V200" s="3">
        <v>3.4558016999999999</v>
      </c>
      <c r="W200" s="3">
        <v>3.4229897999999999</v>
      </c>
      <c r="X200" s="3">
        <v>3.3984724000000002</v>
      </c>
      <c r="Y200" s="3">
        <v>3.3806549000000001</v>
      </c>
      <c r="Z200" s="3">
        <v>3.3679426000000001</v>
      </c>
      <c r="AA200" s="3">
        <v>3.3587414</v>
      </c>
      <c r="AB200" s="3">
        <v>3.3517055</v>
      </c>
      <c r="AC200" s="3">
        <v>3.3463466999999998</v>
      </c>
      <c r="AD200" s="3">
        <v>3.3423623999999998</v>
      </c>
      <c r="AE200" s="3">
        <v>3.3394495000000002</v>
      </c>
      <c r="AF200" s="3">
        <v>3.3373050000000002</v>
      </c>
      <c r="AG200" s="3">
        <v>3.3356260999999998</v>
      </c>
      <c r="AH200" s="3">
        <v>3.3341574999999999</v>
      </c>
      <c r="AI200" s="3">
        <v>3.3328342000000002</v>
      </c>
      <c r="AJ200" s="3">
        <v>3.3316393999999998</v>
      </c>
      <c r="AK200" s="3">
        <v>3.3305558</v>
      </c>
      <c r="AL200" s="3">
        <v>3.3295663000000002</v>
      </c>
      <c r="AM200" s="3">
        <v>3.3286538999999999</v>
      </c>
      <c r="AN200" s="3">
        <v>3.3278013</v>
      </c>
      <c r="AO200" s="3">
        <v>3.3269915000000001</v>
      </c>
      <c r="AP200" s="3">
        <v>3.3262073999999999</v>
      </c>
      <c r="AQ200" s="3">
        <v>3.3254318999999999</v>
      </c>
      <c r="AR200" s="3">
        <v>3.3246478000000002</v>
      </c>
      <c r="AS200" s="3">
        <v>3.3238379999999998</v>
      </c>
      <c r="AT200" s="3">
        <v>3.3229924</v>
      </c>
      <c r="AU200" s="3">
        <v>3.3221284999999998</v>
      </c>
      <c r="AV200" s="3">
        <v>3.3212709</v>
      </c>
      <c r="AW200" s="3">
        <v>3.3204441</v>
      </c>
      <c r="AX200" s="3">
        <v>3.3196724999999998</v>
      </c>
      <c r="AY200" s="3">
        <v>3.3189807</v>
      </c>
      <c r="AZ200" s="3">
        <v>3.3183932999999999</v>
      </c>
      <c r="BA200" s="3">
        <v>3.3179346000000001</v>
      </c>
      <c r="BB200" s="3">
        <v>3.3176294</v>
      </c>
      <c r="BC200" s="3">
        <v>3.3175020000000002</v>
      </c>
      <c r="BD200" s="3">
        <v>3.317577</v>
      </c>
      <c r="BE200" s="3">
        <v>3.3178789000000002</v>
      </c>
      <c r="BF200" s="3">
        <v>3.3184295000000001</v>
      </c>
      <c r="BG200" s="3">
        <v>3.3192379999999999</v>
      </c>
      <c r="BH200" s="3">
        <v>3.3203095</v>
      </c>
      <c r="BI200" s="3">
        <v>3.3216489</v>
      </c>
      <c r="BJ200" s="3">
        <v>3.3232615999999999</v>
      </c>
      <c r="BK200" s="3">
        <v>3.3251526</v>
      </c>
      <c r="BL200" s="3">
        <v>3.3273269000000001</v>
      </c>
      <c r="BM200" s="3">
        <v>3.3297899000000002</v>
      </c>
      <c r="BN200" s="3">
        <v>3.3325464</v>
      </c>
      <c r="BO200" s="3">
        <v>3.3356018000000001</v>
      </c>
      <c r="BP200" s="3">
        <v>3.3389609999999998</v>
      </c>
      <c r="BQ200" s="3">
        <v>3.3426293</v>
      </c>
      <c r="BR200" s="3">
        <v>3.37093</v>
      </c>
      <c r="BS200" s="3">
        <v>3.4087046000000001</v>
      </c>
    </row>
    <row r="201" spans="1:71" x14ac:dyDescent="0.35">
      <c r="A201" s="6">
        <f t="shared" si="83"/>
        <v>45560</v>
      </c>
      <c r="B201">
        <f t="shared" si="78"/>
        <v>9</v>
      </c>
      <c r="C201">
        <f t="shared" si="79"/>
        <v>2024</v>
      </c>
      <c r="D201">
        <f t="shared" si="80"/>
        <v>202409</v>
      </c>
      <c r="E201">
        <f t="shared" si="81"/>
        <v>3</v>
      </c>
      <c r="F201">
        <f t="shared" si="82"/>
        <v>202403</v>
      </c>
      <c r="G201" t="s">
        <v>334</v>
      </c>
      <c r="H201" s="2">
        <v>5</v>
      </c>
      <c r="I201" s="2">
        <v>4.95</v>
      </c>
      <c r="J201" s="3">
        <v>4.887931</v>
      </c>
      <c r="K201" s="3">
        <v>4.7336714000000004</v>
      </c>
      <c r="L201" s="3">
        <v>4.5909683000000001</v>
      </c>
      <c r="M201" s="3">
        <v>4.4473491999999997</v>
      </c>
      <c r="N201" s="3">
        <v>4.2971750999999996</v>
      </c>
      <c r="O201" s="3">
        <v>4.1457208999999997</v>
      </c>
      <c r="P201" s="3">
        <v>4.0021127999999999</v>
      </c>
      <c r="Q201" s="3">
        <v>3.8742923</v>
      </c>
      <c r="R201" s="3">
        <v>3.7668124000000001</v>
      </c>
      <c r="S201" s="3">
        <v>3.6800570000000001</v>
      </c>
      <c r="T201" s="3">
        <v>3.612978</v>
      </c>
      <c r="U201" s="3">
        <v>3.5624449999999999</v>
      </c>
      <c r="V201" s="3">
        <v>3.5235913000000001</v>
      </c>
      <c r="W201" s="3">
        <v>3.4940999000000001</v>
      </c>
      <c r="X201" s="3">
        <v>3.4724338000000001</v>
      </c>
      <c r="Y201" s="3">
        <v>3.4570549000000002</v>
      </c>
      <c r="Z201" s="3">
        <v>3.4464258000000001</v>
      </c>
      <c r="AA201" s="3">
        <v>3.4390087999999999</v>
      </c>
      <c r="AB201" s="3">
        <v>3.4335011999999998</v>
      </c>
      <c r="AC201" s="3">
        <v>3.4294099</v>
      </c>
      <c r="AD201" s="3">
        <v>3.4264169999999998</v>
      </c>
      <c r="AE201" s="3">
        <v>3.4242042000000001</v>
      </c>
      <c r="AF201" s="3">
        <v>3.4224532999999999</v>
      </c>
      <c r="AG201" s="3">
        <v>3.4208462000000002</v>
      </c>
      <c r="AH201" s="3">
        <v>3.4191208999999998</v>
      </c>
      <c r="AI201" s="3">
        <v>3.4172399000000002</v>
      </c>
      <c r="AJ201" s="3">
        <v>3.4152220999999998</v>
      </c>
      <c r="AK201" s="3">
        <v>3.4130862999999998</v>
      </c>
      <c r="AL201" s="3">
        <v>3.4108512000000002</v>
      </c>
      <c r="AM201" s="3">
        <v>3.4085356</v>
      </c>
      <c r="AN201" s="3">
        <v>3.4061583999999998</v>
      </c>
      <c r="AO201" s="3">
        <v>3.4037381999999998</v>
      </c>
      <c r="AP201" s="3">
        <v>3.4012939000000002</v>
      </c>
      <c r="AQ201" s="3">
        <v>3.3988442999999999</v>
      </c>
      <c r="AR201" s="3">
        <v>3.3964082000000002</v>
      </c>
      <c r="AS201" s="3">
        <v>3.3940043000000002</v>
      </c>
      <c r="AT201" s="3">
        <v>3.3916520999999999</v>
      </c>
      <c r="AU201" s="3">
        <v>3.3893748000000001</v>
      </c>
      <c r="AV201" s="3">
        <v>3.3871965999999998</v>
      </c>
      <c r="AW201" s="3">
        <v>3.3851415999999999</v>
      </c>
      <c r="AX201" s="3">
        <v>3.3832341000000001</v>
      </c>
      <c r="AY201" s="3">
        <v>3.3814981999999998</v>
      </c>
      <c r="AZ201" s="3">
        <v>3.3799581000000001</v>
      </c>
      <c r="BA201" s="3">
        <v>3.378638</v>
      </c>
      <c r="BB201" s="3">
        <v>3.3775621</v>
      </c>
      <c r="BC201" s="3">
        <v>3.3767545999999999</v>
      </c>
      <c r="BD201" s="3">
        <v>3.3762395999999999</v>
      </c>
      <c r="BE201" s="3">
        <v>3.3760414999999999</v>
      </c>
      <c r="BF201" s="3">
        <v>3.3761801</v>
      </c>
      <c r="BG201" s="3">
        <v>3.3766574</v>
      </c>
      <c r="BH201" s="3">
        <v>3.3774700000000002</v>
      </c>
      <c r="BI201" s="3">
        <v>3.3786147</v>
      </c>
      <c r="BJ201" s="3">
        <v>3.3800881999999999</v>
      </c>
      <c r="BK201" s="3">
        <v>3.3818872</v>
      </c>
      <c r="BL201" s="3">
        <v>3.3840085000000002</v>
      </c>
      <c r="BM201" s="3">
        <v>3.3864488000000001</v>
      </c>
      <c r="BN201" s="3">
        <v>3.3892047999999999</v>
      </c>
      <c r="BO201" s="3">
        <v>3.3922732999999998</v>
      </c>
      <c r="BP201" s="3">
        <v>3.395651</v>
      </c>
      <c r="BQ201" s="3">
        <v>3.3993346</v>
      </c>
      <c r="BR201" s="3">
        <v>3.4274656999999999</v>
      </c>
      <c r="BS201" s="3">
        <v>3.4644973000000001</v>
      </c>
    </row>
    <row r="202" spans="1:71" x14ac:dyDescent="0.35">
      <c r="A202" s="6">
        <f t="shared" si="83"/>
        <v>45561</v>
      </c>
      <c r="B202">
        <f t="shared" si="78"/>
        <v>9</v>
      </c>
      <c r="C202">
        <f t="shared" si="79"/>
        <v>2024</v>
      </c>
      <c r="D202">
        <f t="shared" si="80"/>
        <v>202409</v>
      </c>
      <c r="E202">
        <f t="shared" si="81"/>
        <v>3</v>
      </c>
      <c r="F202">
        <f t="shared" si="82"/>
        <v>202403</v>
      </c>
      <c r="G202" t="s">
        <v>335</v>
      </c>
      <c r="H202" s="2">
        <v>5</v>
      </c>
      <c r="I202" s="2">
        <v>4.95</v>
      </c>
      <c r="J202" s="3">
        <v>4.8884549000000002</v>
      </c>
      <c r="K202" s="3">
        <v>4.7342640999999999</v>
      </c>
      <c r="L202" s="3">
        <v>4.5971520000000003</v>
      </c>
      <c r="M202" s="3">
        <v>4.4613151999999996</v>
      </c>
      <c r="N202" s="3">
        <v>4.3182701999999997</v>
      </c>
      <c r="O202" s="3">
        <v>4.1721686</v>
      </c>
      <c r="P202" s="3">
        <v>4.0321762000000003</v>
      </c>
      <c r="Q202" s="3">
        <v>3.9070642000000002</v>
      </c>
      <c r="R202" s="3">
        <v>3.8016454</v>
      </c>
      <c r="S202" s="3">
        <v>3.7169186999999999</v>
      </c>
      <c r="T202" s="3">
        <v>3.6513480999999999</v>
      </c>
      <c r="U202" s="3">
        <v>3.6020292999999999</v>
      </c>
      <c r="V202" s="3">
        <v>3.5637732999999998</v>
      </c>
      <c r="W202" s="3">
        <v>3.5341835000000001</v>
      </c>
      <c r="X202" s="3">
        <v>3.5117484000000001</v>
      </c>
      <c r="Y202" s="3">
        <v>3.4949553999999998</v>
      </c>
      <c r="Z202" s="3">
        <v>3.4822920000000002</v>
      </c>
      <c r="AA202" s="3">
        <v>3.4722464</v>
      </c>
      <c r="AB202" s="3">
        <v>3.4635668000000002</v>
      </c>
      <c r="AC202" s="3">
        <v>3.4559014000000001</v>
      </c>
      <c r="AD202" s="3">
        <v>3.4490924000000001</v>
      </c>
      <c r="AE202" s="3">
        <v>3.4429821</v>
      </c>
      <c r="AF202" s="3">
        <v>3.4374125000000002</v>
      </c>
      <c r="AG202" s="3">
        <v>3.4322259000000002</v>
      </c>
      <c r="AH202" s="3">
        <v>3.4272870000000002</v>
      </c>
      <c r="AI202" s="3">
        <v>3.4225717000000002</v>
      </c>
      <c r="AJ202" s="3">
        <v>3.4180893999999999</v>
      </c>
      <c r="AK202" s="3">
        <v>3.4138494000000001</v>
      </c>
      <c r="AL202" s="3">
        <v>3.4098611999999999</v>
      </c>
      <c r="AM202" s="3">
        <v>3.4061343000000002</v>
      </c>
      <c r="AN202" s="3">
        <v>3.4026779999999999</v>
      </c>
      <c r="AO202" s="3">
        <v>3.3995017999999999</v>
      </c>
      <c r="AP202" s="3">
        <v>3.3966151</v>
      </c>
      <c r="AQ202" s="3">
        <v>3.3940274000000001</v>
      </c>
      <c r="AR202" s="3">
        <v>3.3917481</v>
      </c>
      <c r="AS202" s="3">
        <v>3.3897865999999999</v>
      </c>
      <c r="AT202" s="3">
        <v>3.3881502999999999</v>
      </c>
      <c r="AU202" s="3">
        <v>3.3868374999999999</v>
      </c>
      <c r="AV202" s="3">
        <v>3.3858443999999999</v>
      </c>
      <c r="AW202" s="3">
        <v>3.3851667000000001</v>
      </c>
      <c r="AX202" s="3">
        <v>3.3848004</v>
      </c>
      <c r="AY202" s="3">
        <v>3.3847413999999998</v>
      </c>
      <c r="AZ202" s="3">
        <v>3.3849857000000001</v>
      </c>
      <c r="BA202" s="3">
        <v>3.3855292000000001</v>
      </c>
      <c r="BB202" s="3">
        <v>3.3863677999999999</v>
      </c>
      <c r="BC202" s="3">
        <v>3.3874974999999998</v>
      </c>
      <c r="BD202" s="3">
        <v>3.3889141999999999</v>
      </c>
      <c r="BE202" s="3">
        <v>3.3906136999999998</v>
      </c>
      <c r="BF202" s="3">
        <v>3.3925915999999998</v>
      </c>
      <c r="BG202" s="3">
        <v>3.3948410999999998</v>
      </c>
      <c r="BH202" s="3">
        <v>3.3973547000000002</v>
      </c>
      <c r="BI202" s="3">
        <v>3.4001250000000001</v>
      </c>
      <c r="BJ202" s="3">
        <v>3.4031446999999999</v>
      </c>
      <c r="BK202" s="3">
        <v>3.4064063</v>
      </c>
      <c r="BL202" s="3">
        <v>3.4099024</v>
      </c>
      <c r="BM202" s="3">
        <v>3.4136256999999999</v>
      </c>
      <c r="BN202" s="3">
        <v>3.4175686000000001</v>
      </c>
      <c r="BO202" s="3">
        <v>3.4217238999999999</v>
      </c>
      <c r="BP202" s="3">
        <v>3.4260841000000002</v>
      </c>
      <c r="BQ202" s="3">
        <v>3.4306418000000001</v>
      </c>
      <c r="BR202" s="3">
        <v>3.4618394000000001</v>
      </c>
      <c r="BS202" s="3">
        <v>3.4990011000000001</v>
      </c>
    </row>
    <row r="203" spans="1:71" x14ac:dyDescent="0.35">
      <c r="A203" s="6">
        <f t="shared" si="83"/>
        <v>45562</v>
      </c>
      <c r="B203">
        <f t="shared" ref="B203:B231" si="84">MONTH(A203)</f>
        <v>9</v>
      </c>
      <c r="C203">
        <f t="shared" ref="C203:C231" si="85">YEAR(A203)</f>
        <v>2024</v>
      </c>
      <c r="D203">
        <f t="shared" ref="D203:D231" si="86">C203*100+B203</f>
        <v>202409</v>
      </c>
      <c r="E203">
        <f t="shared" ref="E203:E231" si="87">IF(B203&lt;4,1,IF(B203&lt;7,2,IF(B203&lt;10,3,4)))</f>
        <v>3</v>
      </c>
      <c r="F203">
        <f t="shared" ref="F203:F231" si="88">C203*100+E203</f>
        <v>202403</v>
      </c>
      <c r="G203" t="s">
        <v>336</v>
      </c>
      <c r="H203" s="2">
        <v>5</v>
      </c>
      <c r="I203" s="2">
        <v>4.95</v>
      </c>
      <c r="J203" s="3">
        <v>4.8872995000000001</v>
      </c>
      <c r="K203" s="3">
        <v>4.7303915999999999</v>
      </c>
      <c r="L203" s="3">
        <v>4.5863395000000002</v>
      </c>
      <c r="M203" s="3">
        <v>4.4393327999999999</v>
      </c>
      <c r="N203" s="3">
        <v>4.2833323999999999</v>
      </c>
      <c r="O203" s="3">
        <v>4.1245419999999999</v>
      </c>
      <c r="P203" s="3">
        <v>3.9735371000000002</v>
      </c>
      <c r="Q203" s="3">
        <v>3.8398753999999999</v>
      </c>
      <c r="R203" s="3">
        <v>3.7280464000000002</v>
      </c>
      <c r="S203" s="3">
        <v>3.6388566999999998</v>
      </c>
      <c r="T203" s="3">
        <v>3.5704221999999999</v>
      </c>
      <c r="U203" s="3">
        <v>3.5191707999999999</v>
      </c>
      <c r="V203" s="3">
        <v>3.4792383999999998</v>
      </c>
      <c r="W203" s="3">
        <v>3.4480569999999999</v>
      </c>
      <c r="X203" s="3">
        <v>3.4242794000000001</v>
      </c>
      <c r="Y203" s="3">
        <v>3.406558</v>
      </c>
      <c r="Z203" s="3">
        <v>3.393545</v>
      </c>
      <c r="AA203" s="3">
        <v>3.3838933999999998</v>
      </c>
      <c r="AB203" s="3">
        <v>3.3764552000000001</v>
      </c>
      <c r="AC203" s="3">
        <v>3.3707725000000002</v>
      </c>
      <c r="AD203" s="3">
        <v>3.3665359000000001</v>
      </c>
      <c r="AE203" s="3">
        <v>3.3634358999999998</v>
      </c>
      <c r="AF203" s="3">
        <v>3.3611629999999999</v>
      </c>
      <c r="AG203" s="3">
        <v>3.3594078000000001</v>
      </c>
      <c r="AH203" s="3">
        <v>3.3579056</v>
      </c>
      <c r="AI203" s="3">
        <v>3.3565889000000002</v>
      </c>
      <c r="AJ203" s="3">
        <v>3.3554449000000002</v>
      </c>
      <c r="AK203" s="3">
        <v>3.3544603999999998</v>
      </c>
      <c r="AL203" s="3">
        <v>3.3536226999999998</v>
      </c>
      <c r="AM203" s="3">
        <v>3.3529186000000002</v>
      </c>
      <c r="AN203" s="3">
        <v>3.3523353</v>
      </c>
      <c r="AO203" s="3">
        <v>3.3518596999999999</v>
      </c>
      <c r="AP203" s="3">
        <v>3.3514789</v>
      </c>
      <c r="AQ203" s="3">
        <v>3.3511799</v>
      </c>
      <c r="AR203" s="3">
        <v>3.3509498</v>
      </c>
      <c r="AS203" s="3">
        <v>3.3507756</v>
      </c>
      <c r="AT203" s="3">
        <v>3.3506494</v>
      </c>
      <c r="AU203" s="3">
        <v>3.3505834999999999</v>
      </c>
      <c r="AV203" s="3">
        <v>3.3505954999999998</v>
      </c>
      <c r="AW203" s="3">
        <v>3.3507028000000001</v>
      </c>
      <c r="AX203" s="3">
        <v>3.3509226999999999</v>
      </c>
      <c r="AY203" s="3">
        <v>3.3512729000000001</v>
      </c>
      <c r="AZ203" s="3">
        <v>3.3517706</v>
      </c>
      <c r="BA203" s="3">
        <v>3.3524333999999998</v>
      </c>
      <c r="BB203" s="3">
        <v>3.3532788</v>
      </c>
      <c r="BC203" s="3">
        <v>3.3543240999999999</v>
      </c>
      <c r="BD203" s="3">
        <v>3.3555868000000002</v>
      </c>
      <c r="BE203" s="3">
        <v>3.3570842999999999</v>
      </c>
      <c r="BF203" s="3">
        <v>3.3588311000000002</v>
      </c>
      <c r="BG203" s="3">
        <v>3.3608275000000001</v>
      </c>
      <c r="BH203" s="3">
        <v>3.3630703</v>
      </c>
      <c r="BI203" s="3">
        <v>3.3655561000000001</v>
      </c>
      <c r="BJ203" s="3">
        <v>3.3682816</v>
      </c>
      <c r="BK203" s="3">
        <v>3.3712434999999998</v>
      </c>
      <c r="BL203" s="3">
        <v>3.3744383999999998</v>
      </c>
      <c r="BM203" s="3">
        <v>3.3778630999999999</v>
      </c>
      <c r="BN203" s="3">
        <v>3.3815141999999998</v>
      </c>
      <c r="BO203" s="3">
        <v>3.3853884000000001</v>
      </c>
      <c r="BP203" s="3">
        <v>3.3894825000000002</v>
      </c>
      <c r="BQ203" s="3">
        <v>3.3937928999999998</v>
      </c>
      <c r="BR203" s="3">
        <v>3.4239951999999998</v>
      </c>
      <c r="BS203" s="3">
        <v>3.4610303999999998</v>
      </c>
    </row>
    <row r="204" spans="1:71" x14ac:dyDescent="0.35">
      <c r="A204" s="6">
        <f t="shared" si="83"/>
        <v>45565</v>
      </c>
      <c r="B204">
        <f t="shared" si="84"/>
        <v>9</v>
      </c>
      <c r="C204">
        <f t="shared" si="85"/>
        <v>2024</v>
      </c>
      <c r="D204">
        <f t="shared" si="86"/>
        <v>202409</v>
      </c>
      <c r="E204">
        <f t="shared" si="87"/>
        <v>3</v>
      </c>
      <c r="F204">
        <f t="shared" si="88"/>
        <v>202403</v>
      </c>
      <c r="G204" t="s">
        <v>337</v>
      </c>
      <c r="H204" s="2">
        <v>5</v>
      </c>
      <c r="I204" s="2">
        <v>4.95</v>
      </c>
      <c r="J204" s="3">
        <v>4.8820480000000002</v>
      </c>
      <c r="K204" s="3">
        <v>4.7244906999999996</v>
      </c>
      <c r="L204" s="3">
        <v>4.5873780000000002</v>
      </c>
      <c r="M204" s="3">
        <v>4.4527156999999997</v>
      </c>
      <c r="N204" s="3">
        <v>4.3106580000000001</v>
      </c>
      <c r="O204" s="3">
        <v>4.1655075999999998</v>
      </c>
      <c r="P204" s="3">
        <v>4.0260311</v>
      </c>
      <c r="Q204" s="3">
        <v>3.9003732000000002</v>
      </c>
      <c r="R204" s="3">
        <v>3.7941836000000002</v>
      </c>
      <c r="S204" s="3">
        <v>3.7083615000000001</v>
      </c>
      <c r="T204" s="3">
        <v>3.6418324000000002</v>
      </c>
      <c r="U204" s="3">
        <v>3.5916895000000002</v>
      </c>
      <c r="V204" s="3">
        <v>3.5531388000000002</v>
      </c>
      <c r="W204" s="3">
        <v>3.5237972000000002</v>
      </c>
      <c r="X204" s="3">
        <v>3.5020547999999998</v>
      </c>
      <c r="Y204" s="3">
        <v>3.4863005999999999</v>
      </c>
      <c r="Z204" s="3">
        <v>3.4749241</v>
      </c>
      <c r="AA204" s="3">
        <v>3.4663149</v>
      </c>
      <c r="AB204" s="3">
        <v>3.4591099999999999</v>
      </c>
      <c r="AC204" s="3">
        <v>3.4528895999999998</v>
      </c>
      <c r="AD204" s="3">
        <v>3.4474583999999999</v>
      </c>
      <c r="AE204" s="3">
        <v>3.4426209000000001</v>
      </c>
      <c r="AF204" s="3">
        <v>3.4381816999999999</v>
      </c>
      <c r="AG204" s="3">
        <v>3.4339455000000001</v>
      </c>
      <c r="AH204" s="3">
        <v>3.4297507</v>
      </c>
      <c r="AI204" s="3">
        <v>3.4255705999999999</v>
      </c>
      <c r="AJ204" s="3">
        <v>3.4214128000000001</v>
      </c>
      <c r="AK204" s="3">
        <v>3.4172842999999999</v>
      </c>
      <c r="AL204" s="3">
        <v>3.4131923</v>
      </c>
      <c r="AM204" s="3">
        <v>3.4091444000000002</v>
      </c>
      <c r="AN204" s="3">
        <v>3.4051475999999998</v>
      </c>
      <c r="AO204" s="3">
        <v>3.4012093000000001</v>
      </c>
      <c r="AP204" s="3">
        <v>3.3973366999999999</v>
      </c>
      <c r="AQ204" s="3">
        <v>3.3935371000000001</v>
      </c>
      <c r="AR204" s="3">
        <v>3.3898177</v>
      </c>
      <c r="AS204" s="3">
        <v>3.3861859000000001</v>
      </c>
      <c r="AT204" s="3">
        <v>3.3826513</v>
      </c>
      <c r="AU204" s="3">
        <v>3.3792333999999999</v>
      </c>
      <c r="AV204" s="3">
        <v>3.3759541999999998</v>
      </c>
      <c r="AW204" s="3">
        <v>3.3728356000000002</v>
      </c>
      <c r="AX204" s="3">
        <v>3.3698993000000002</v>
      </c>
      <c r="AY204" s="3">
        <v>3.3671674999999999</v>
      </c>
      <c r="AZ204" s="3">
        <v>3.3646620999999999</v>
      </c>
      <c r="BA204" s="3">
        <v>3.3624048000000002</v>
      </c>
      <c r="BB204" s="3">
        <v>3.3604177000000002</v>
      </c>
      <c r="BC204" s="3">
        <v>3.3587226999999999</v>
      </c>
      <c r="BD204" s="3">
        <v>3.3573415999999998</v>
      </c>
      <c r="BE204" s="3">
        <v>3.3562965</v>
      </c>
      <c r="BF204" s="3">
        <v>3.3556067000000001</v>
      </c>
      <c r="BG204" s="3">
        <v>3.3552783000000002</v>
      </c>
      <c r="BH204" s="3">
        <v>3.3553126</v>
      </c>
      <c r="BI204" s="3">
        <v>3.3557111000000002</v>
      </c>
      <c r="BJ204" s="3">
        <v>3.3564753999999999</v>
      </c>
      <c r="BK204" s="3">
        <v>3.3576068999999999</v>
      </c>
      <c r="BL204" s="3">
        <v>3.3591069999999998</v>
      </c>
      <c r="BM204" s="3">
        <v>3.3609772000000002</v>
      </c>
      <c r="BN204" s="3">
        <v>3.363219</v>
      </c>
      <c r="BO204" s="3">
        <v>3.3658339000000002</v>
      </c>
      <c r="BP204" s="3">
        <v>3.3688232999999999</v>
      </c>
      <c r="BQ204" s="3">
        <v>3.3721885999999999</v>
      </c>
      <c r="BR204" s="3">
        <v>3.3998827</v>
      </c>
      <c r="BS204" s="3">
        <v>3.438564</v>
      </c>
    </row>
    <row r="205" spans="1:71" x14ac:dyDescent="0.35">
      <c r="A205" s="6">
        <f t="shared" si="83"/>
        <v>45566</v>
      </c>
      <c r="B205">
        <f t="shared" si="84"/>
        <v>10</v>
      </c>
      <c r="C205">
        <f t="shared" si="85"/>
        <v>2024</v>
      </c>
      <c r="D205">
        <f t="shared" si="86"/>
        <v>202410</v>
      </c>
      <c r="E205">
        <f t="shared" si="87"/>
        <v>4</v>
      </c>
      <c r="F205">
        <f t="shared" si="88"/>
        <v>202404</v>
      </c>
      <c r="G205" t="s">
        <v>338</v>
      </c>
      <c r="H205" s="2">
        <v>5</v>
      </c>
      <c r="I205" s="2">
        <v>4.95</v>
      </c>
      <c r="J205" s="3">
        <v>4.8748589000000004</v>
      </c>
      <c r="K205" s="3">
        <v>4.7140677999999996</v>
      </c>
      <c r="L205" s="3">
        <v>4.5764195000000001</v>
      </c>
      <c r="M205" s="3">
        <v>4.4392515000000001</v>
      </c>
      <c r="N205" s="3">
        <v>4.2933943000000001</v>
      </c>
      <c r="O205" s="3">
        <v>4.1456534999999999</v>
      </c>
      <c r="P205" s="3">
        <v>4.0057815999999997</v>
      </c>
      <c r="Q205" s="3">
        <v>3.8819024</v>
      </c>
      <c r="R205" s="3">
        <v>3.7784187999999999</v>
      </c>
      <c r="S205" s="3">
        <v>3.6952338</v>
      </c>
      <c r="T205" s="3">
        <v>3.6306094999999998</v>
      </c>
      <c r="U205" s="3">
        <v>3.5812846999999999</v>
      </c>
      <c r="V205" s="3">
        <v>3.5420759999999998</v>
      </c>
      <c r="W205" s="3">
        <v>3.5107688000000001</v>
      </c>
      <c r="X205" s="3">
        <v>3.4860631</v>
      </c>
      <c r="Y205" s="3">
        <v>3.4666589999999999</v>
      </c>
      <c r="Z205" s="3">
        <v>3.4512562</v>
      </c>
      <c r="AA205" s="3">
        <v>3.4385549000000002</v>
      </c>
      <c r="AB205" s="3">
        <v>3.4274524999999998</v>
      </c>
      <c r="AC205" s="3">
        <v>3.4175998000000001</v>
      </c>
      <c r="AD205" s="3">
        <v>3.4088264000000001</v>
      </c>
      <c r="AE205" s="3">
        <v>3.4009621999999999</v>
      </c>
      <c r="AF205" s="3">
        <v>3.3938369000000002</v>
      </c>
      <c r="AG205" s="3">
        <v>3.3872803</v>
      </c>
      <c r="AH205" s="3">
        <v>3.3811464999999998</v>
      </c>
      <c r="AI205" s="3">
        <v>3.3753869000000001</v>
      </c>
      <c r="AJ205" s="3">
        <v>3.3699773999999998</v>
      </c>
      <c r="AK205" s="3">
        <v>3.3648937999999999</v>
      </c>
      <c r="AL205" s="3">
        <v>3.3601119000000002</v>
      </c>
      <c r="AM205" s="3">
        <v>3.3556075999999999</v>
      </c>
      <c r="AN205" s="3">
        <v>3.3513565999999999</v>
      </c>
      <c r="AO205" s="3">
        <v>3.3473348999999999</v>
      </c>
      <c r="AP205" s="3">
        <v>3.3435182000000001</v>
      </c>
      <c r="AQ205" s="3">
        <v>3.3398823000000002</v>
      </c>
      <c r="AR205" s="3">
        <v>3.3364031000000001</v>
      </c>
      <c r="AS205" s="3">
        <v>3.3330563999999998</v>
      </c>
      <c r="AT205" s="3">
        <v>3.3298250999999999</v>
      </c>
      <c r="AU205" s="3">
        <v>3.3267205</v>
      </c>
      <c r="AV205" s="3">
        <v>3.3237608000000001</v>
      </c>
      <c r="AW205" s="3">
        <v>3.3209643</v>
      </c>
      <c r="AX205" s="3">
        <v>3.3183495000000001</v>
      </c>
      <c r="AY205" s="3">
        <v>3.3159347000000001</v>
      </c>
      <c r="AZ205" s="3">
        <v>3.3137379999999999</v>
      </c>
      <c r="BA205" s="3">
        <v>3.3117779000000001</v>
      </c>
      <c r="BB205" s="3">
        <v>3.3100727000000001</v>
      </c>
      <c r="BC205" s="3">
        <v>3.3086407000000002</v>
      </c>
      <c r="BD205" s="3">
        <v>3.3075003000000001</v>
      </c>
      <c r="BE205" s="3">
        <v>3.3066696000000002</v>
      </c>
      <c r="BF205" s="3">
        <v>3.3061647999999999</v>
      </c>
      <c r="BG205" s="3">
        <v>3.3059904000000002</v>
      </c>
      <c r="BH205" s="3">
        <v>3.3061474</v>
      </c>
      <c r="BI205" s="3">
        <v>3.3066368000000002</v>
      </c>
      <c r="BJ205" s="3">
        <v>3.3074599</v>
      </c>
      <c r="BK205" s="3">
        <v>3.3086175999999998</v>
      </c>
      <c r="BL205" s="3">
        <v>3.310111</v>
      </c>
      <c r="BM205" s="3">
        <v>3.3119412000000001</v>
      </c>
      <c r="BN205" s="3">
        <v>3.3141093000000001</v>
      </c>
      <c r="BO205" s="3">
        <v>3.3166161999999999</v>
      </c>
      <c r="BP205" s="3">
        <v>3.3194631999999999</v>
      </c>
      <c r="BQ205" s="3">
        <v>3.3226512000000001</v>
      </c>
      <c r="BR205" s="3">
        <v>3.3485773000000001</v>
      </c>
      <c r="BS205" s="3">
        <v>3.3844794</v>
      </c>
    </row>
    <row r="206" spans="1:71" x14ac:dyDescent="0.35">
      <c r="A206" s="6">
        <f t="shared" si="83"/>
        <v>45567</v>
      </c>
      <c r="B206">
        <f t="shared" si="84"/>
        <v>10</v>
      </c>
      <c r="C206">
        <f t="shared" si="85"/>
        <v>2024</v>
      </c>
      <c r="D206">
        <f t="shared" si="86"/>
        <v>202410</v>
      </c>
      <c r="E206">
        <f t="shared" si="87"/>
        <v>4</v>
      </c>
      <c r="F206">
        <f t="shared" si="88"/>
        <v>202404</v>
      </c>
      <c r="G206" t="s">
        <v>339</v>
      </c>
      <c r="H206" s="2">
        <v>5</v>
      </c>
      <c r="I206" s="2">
        <v>4.95</v>
      </c>
      <c r="J206" s="3">
        <v>4.8762141000000003</v>
      </c>
      <c r="K206" s="3">
        <v>4.7167187000000004</v>
      </c>
      <c r="L206" s="3">
        <v>4.5870411999999998</v>
      </c>
      <c r="M206" s="3">
        <v>4.4610894999999999</v>
      </c>
      <c r="N206" s="3">
        <v>4.3268804999999997</v>
      </c>
      <c r="O206" s="3">
        <v>4.1891052000000002</v>
      </c>
      <c r="P206" s="3">
        <v>4.0563791</v>
      </c>
      <c r="Q206" s="3">
        <v>3.9368400000000001</v>
      </c>
      <c r="R206" s="3">
        <v>3.8352298</v>
      </c>
      <c r="S206" s="3">
        <v>3.7526484999999998</v>
      </c>
      <c r="T206" s="3">
        <v>3.6877076</v>
      </c>
      <c r="U206" s="3">
        <v>3.6383087000000001</v>
      </c>
      <c r="V206" s="3">
        <v>3.6000184000000002</v>
      </c>
      <c r="W206" s="3">
        <v>3.5705743999999999</v>
      </c>
      <c r="X206" s="3">
        <v>3.5484686999999999</v>
      </c>
      <c r="Y206" s="3">
        <v>3.5321935</v>
      </c>
      <c r="Z206" s="3">
        <v>3.520241</v>
      </c>
      <c r="AA206" s="3">
        <v>3.5111032999999998</v>
      </c>
      <c r="AB206" s="3">
        <v>3.5034964</v>
      </c>
      <c r="AC206" s="3">
        <v>3.4969885000000001</v>
      </c>
      <c r="AD206" s="3">
        <v>3.4913506999999999</v>
      </c>
      <c r="AE206" s="3">
        <v>3.486354</v>
      </c>
      <c r="AF206" s="3">
        <v>3.4817695999999998</v>
      </c>
      <c r="AG206" s="3">
        <v>3.4773684</v>
      </c>
      <c r="AH206" s="3">
        <v>3.4729632000000001</v>
      </c>
      <c r="AI206" s="3">
        <v>3.4685326999999999</v>
      </c>
      <c r="AJ206" s="3">
        <v>3.4640974</v>
      </c>
      <c r="AK206" s="3">
        <v>3.4596773999999999</v>
      </c>
      <c r="AL206" s="3">
        <v>3.4552934</v>
      </c>
      <c r="AM206" s="3">
        <v>3.4509655000000001</v>
      </c>
      <c r="AN206" s="3">
        <v>3.4467140999999999</v>
      </c>
      <c r="AO206" s="3">
        <v>3.4425596999999999</v>
      </c>
      <c r="AP206" s="3">
        <v>3.4385226000000002</v>
      </c>
      <c r="AQ206" s="3">
        <v>3.4346231</v>
      </c>
      <c r="AR206" s="3">
        <v>3.4308816000000002</v>
      </c>
      <c r="AS206" s="3">
        <v>3.4273185000000002</v>
      </c>
      <c r="AT206" s="3">
        <v>3.423953</v>
      </c>
      <c r="AU206" s="3">
        <v>3.4207995000000002</v>
      </c>
      <c r="AV206" s="3">
        <v>3.4178704</v>
      </c>
      <c r="AW206" s="3">
        <v>3.4151783999999998</v>
      </c>
      <c r="AX206" s="3">
        <v>3.4127361000000001</v>
      </c>
      <c r="AY206" s="3">
        <v>3.4105561999999998</v>
      </c>
      <c r="AZ206" s="3">
        <v>3.4086512</v>
      </c>
      <c r="BA206" s="3">
        <v>3.4070336999999999</v>
      </c>
      <c r="BB206" s="3">
        <v>3.4057165</v>
      </c>
      <c r="BC206" s="3">
        <v>3.404712</v>
      </c>
      <c r="BD206" s="3">
        <v>3.4040330000000001</v>
      </c>
      <c r="BE206" s="3">
        <v>3.4036919999999999</v>
      </c>
      <c r="BF206" s="3">
        <v>3.4036989000000002</v>
      </c>
      <c r="BG206" s="3">
        <v>3.4040523</v>
      </c>
      <c r="BH206" s="3">
        <v>3.404747</v>
      </c>
      <c r="BI206" s="3">
        <v>3.4057781999999999</v>
      </c>
      <c r="BJ206" s="3">
        <v>3.4071411</v>
      </c>
      <c r="BK206" s="3">
        <v>3.4088307000000002</v>
      </c>
      <c r="BL206" s="3">
        <v>3.4108421</v>
      </c>
      <c r="BM206" s="3">
        <v>3.4131703999999998</v>
      </c>
      <c r="BN206" s="3">
        <v>3.4158108</v>
      </c>
      <c r="BO206" s="3">
        <v>3.4187582000000001</v>
      </c>
      <c r="BP206" s="3">
        <v>3.4220079000000001</v>
      </c>
      <c r="BQ206" s="3">
        <v>3.4255548999999998</v>
      </c>
      <c r="BR206" s="3">
        <v>3.4526552000000001</v>
      </c>
      <c r="BS206" s="3">
        <v>3.4883093000000001</v>
      </c>
    </row>
    <row r="207" spans="1:71" x14ac:dyDescent="0.35">
      <c r="A207" s="6">
        <f t="shared" ref="A207:A231" si="89">A202+7</f>
        <v>45568</v>
      </c>
      <c r="B207">
        <f t="shared" si="84"/>
        <v>10</v>
      </c>
      <c r="C207">
        <f t="shared" si="85"/>
        <v>2024</v>
      </c>
      <c r="D207">
        <f t="shared" si="86"/>
        <v>202410</v>
      </c>
      <c r="E207">
        <f t="shared" si="87"/>
        <v>4</v>
      </c>
      <c r="F207">
        <f t="shared" si="88"/>
        <v>202404</v>
      </c>
      <c r="G207" t="s">
        <v>340</v>
      </c>
      <c r="H207" s="2">
        <v>5</v>
      </c>
      <c r="I207" s="2">
        <v>4.95</v>
      </c>
      <c r="J207" s="3">
        <v>4.8653301000000004</v>
      </c>
      <c r="K207" s="3">
        <v>4.6822604999999999</v>
      </c>
      <c r="L207" s="3">
        <v>4.5311960999999998</v>
      </c>
      <c r="M207" s="3">
        <v>4.3887875999999997</v>
      </c>
      <c r="N207" s="3">
        <v>4.2445953999999997</v>
      </c>
      <c r="O207" s="3">
        <v>4.1025399</v>
      </c>
      <c r="P207" s="3">
        <v>3.9699266999999998</v>
      </c>
      <c r="Q207" s="3">
        <v>3.8537349000000001</v>
      </c>
      <c r="R207" s="3">
        <v>3.7578339000000001</v>
      </c>
      <c r="S207" s="3">
        <v>3.6823163000000001</v>
      </c>
      <c r="T207" s="3">
        <v>3.6250551</v>
      </c>
      <c r="U207" s="3">
        <v>3.5828503</v>
      </c>
      <c r="V207" s="3">
        <v>3.550351</v>
      </c>
      <c r="W207" s="3">
        <v>3.5251988000000001</v>
      </c>
      <c r="X207" s="3">
        <v>3.5059862000000002</v>
      </c>
      <c r="Y207" s="3">
        <v>3.4913053999999999</v>
      </c>
      <c r="Z207" s="3">
        <v>3.4797487999999999</v>
      </c>
      <c r="AA207" s="3">
        <v>3.4699089000000001</v>
      </c>
      <c r="AB207" s="3">
        <v>3.4605524000000001</v>
      </c>
      <c r="AC207" s="3">
        <v>3.4514331</v>
      </c>
      <c r="AD207" s="3">
        <v>3.4426523000000002</v>
      </c>
      <c r="AE207" s="3">
        <v>3.4343113999999999</v>
      </c>
      <c r="AF207" s="3">
        <v>3.4265121000000001</v>
      </c>
      <c r="AG207" s="3">
        <v>3.4193557000000001</v>
      </c>
      <c r="AH207" s="3">
        <v>3.4129254000000002</v>
      </c>
      <c r="AI207" s="3">
        <v>3.4072140000000002</v>
      </c>
      <c r="AJ207" s="3">
        <v>3.4021872000000002</v>
      </c>
      <c r="AK207" s="3">
        <v>3.3978103000000002</v>
      </c>
      <c r="AL207" s="3">
        <v>3.3940489</v>
      </c>
      <c r="AM207" s="3">
        <v>3.3908684999999998</v>
      </c>
      <c r="AN207" s="3">
        <v>3.3882346000000001</v>
      </c>
      <c r="AO207" s="3">
        <v>3.3861127</v>
      </c>
      <c r="AP207" s="3">
        <v>3.3844682000000001</v>
      </c>
      <c r="AQ207" s="3">
        <v>3.3832667000000001</v>
      </c>
      <c r="AR207" s="3">
        <v>3.3824738000000001</v>
      </c>
      <c r="AS207" s="3">
        <v>3.3820548000000001</v>
      </c>
      <c r="AT207" s="3">
        <v>3.3819777000000002</v>
      </c>
      <c r="AU207" s="3">
        <v>3.3822217000000001</v>
      </c>
      <c r="AV207" s="3">
        <v>3.3827685000000001</v>
      </c>
      <c r="AW207" s="3">
        <v>3.3836002999999999</v>
      </c>
      <c r="AX207" s="3">
        <v>3.3846991000000002</v>
      </c>
      <c r="AY207" s="3">
        <v>3.3860467999999999</v>
      </c>
      <c r="AZ207" s="3">
        <v>3.3876254000000001</v>
      </c>
      <c r="BA207" s="3">
        <v>3.3894169999999999</v>
      </c>
      <c r="BB207" s="3">
        <v>3.3914035</v>
      </c>
      <c r="BC207" s="3">
        <v>3.3935669000000002</v>
      </c>
      <c r="BD207" s="3">
        <v>3.3958892999999999</v>
      </c>
      <c r="BE207" s="3">
        <v>3.3983525999999999</v>
      </c>
      <c r="BF207" s="3">
        <v>3.4009423000000001</v>
      </c>
      <c r="BG207" s="3">
        <v>3.4036590000000002</v>
      </c>
      <c r="BH207" s="3">
        <v>3.4065074000000002</v>
      </c>
      <c r="BI207" s="3">
        <v>3.4094924</v>
      </c>
      <c r="BJ207" s="3">
        <v>3.4126186000000001</v>
      </c>
      <c r="BK207" s="3">
        <v>3.4158909999999998</v>
      </c>
      <c r="BL207" s="3">
        <v>3.4193142000000001</v>
      </c>
      <c r="BM207" s="3">
        <v>3.4228931</v>
      </c>
      <c r="BN207" s="3">
        <v>3.4266323999999999</v>
      </c>
      <c r="BO207" s="3">
        <v>3.4305368999999999</v>
      </c>
      <c r="BP207" s="3">
        <v>3.4346114000000001</v>
      </c>
      <c r="BQ207" s="3">
        <v>3.4388605999999999</v>
      </c>
      <c r="BR207" s="3">
        <v>3.4680795</v>
      </c>
      <c r="BS207" s="3">
        <v>3.5034926999999998</v>
      </c>
    </row>
    <row r="208" spans="1:71" x14ac:dyDescent="0.35">
      <c r="A208" s="6">
        <f t="shared" si="89"/>
        <v>45569</v>
      </c>
      <c r="B208">
        <f t="shared" si="84"/>
        <v>10</v>
      </c>
      <c r="C208">
        <f t="shared" si="85"/>
        <v>2024</v>
      </c>
      <c r="D208">
        <f t="shared" si="86"/>
        <v>202410</v>
      </c>
      <c r="E208">
        <f t="shared" si="87"/>
        <v>4</v>
      </c>
      <c r="F208">
        <f t="shared" si="88"/>
        <v>202404</v>
      </c>
      <c r="G208" t="s">
        <v>341</v>
      </c>
      <c r="H208" s="2">
        <v>5</v>
      </c>
      <c r="I208" s="2">
        <v>4.95</v>
      </c>
      <c r="J208" s="3">
        <v>4.8657636999999996</v>
      </c>
      <c r="K208" s="3">
        <v>4.6973547</v>
      </c>
      <c r="L208" s="3">
        <v>4.5640945000000004</v>
      </c>
      <c r="M208" s="3">
        <v>4.4474780999999997</v>
      </c>
      <c r="N208" s="3">
        <v>4.3367076999999998</v>
      </c>
      <c r="O208" s="3">
        <v>4.2313815000000004</v>
      </c>
      <c r="P208" s="3">
        <v>4.1337080000000004</v>
      </c>
      <c r="Q208" s="3">
        <v>4.0471443999999996</v>
      </c>
      <c r="R208" s="3">
        <v>3.9741067999999999</v>
      </c>
      <c r="S208" s="3">
        <v>3.9148554</v>
      </c>
      <c r="T208" s="3">
        <v>3.8683945</v>
      </c>
      <c r="U208" s="3">
        <v>3.8325461000000001</v>
      </c>
      <c r="V208" s="3">
        <v>3.8033496000000002</v>
      </c>
      <c r="W208" s="3">
        <v>3.7790830999999998</v>
      </c>
      <c r="X208" s="3">
        <v>3.7588841999999998</v>
      </c>
      <c r="Y208" s="3">
        <v>3.7418903000000001</v>
      </c>
      <c r="Z208" s="3">
        <v>3.7272390999999998</v>
      </c>
      <c r="AA208" s="3">
        <v>3.7140681</v>
      </c>
      <c r="AB208" s="3">
        <v>3.7016258999999998</v>
      </c>
      <c r="AC208" s="3">
        <v>3.6897285000000002</v>
      </c>
      <c r="AD208" s="3">
        <v>3.6783736999999999</v>
      </c>
      <c r="AE208" s="3">
        <v>3.6675591000000001</v>
      </c>
      <c r="AF208" s="3">
        <v>3.6572822</v>
      </c>
      <c r="AG208" s="3">
        <v>3.6475409000000001</v>
      </c>
      <c r="AH208" s="3">
        <v>3.6383296000000001</v>
      </c>
      <c r="AI208" s="3">
        <v>3.6296289000000002</v>
      </c>
      <c r="AJ208" s="3">
        <v>3.6214156000000002</v>
      </c>
      <c r="AK208" s="3">
        <v>3.6136664999999999</v>
      </c>
      <c r="AL208" s="3">
        <v>3.6063584</v>
      </c>
      <c r="AM208" s="3">
        <v>3.5994679999999999</v>
      </c>
      <c r="AN208" s="3">
        <v>3.5929722000000002</v>
      </c>
      <c r="AO208" s="3">
        <v>3.5868476999999999</v>
      </c>
      <c r="AP208" s="3">
        <v>3.5810713000000001</v>
      </c>
      <c r="AQ208" s="3">
        <v>3.5756198000000001</v>
      </c>
      <c r="AR208" s="3">
        <v>3.5704699</v>
      </c>
      <c r="AS208" s="3">
        <v>3.5655985000000001</v>
      </c>
      <c r="AT208" s="3">
        <v>3.5609866000000001</v>
      </c>
      <c r="AU208" s="3">
        <v>3.5566322000000001</v>
      </c>
      <c r="AV208" s="3">
        <v>3.5525375000000001</v>
      </c>
      <c r="AW208" s="3">
        <v>3.5487047999999999</v>
      </c>
      <c r="AX208" s="3">
        <v>3.5451364000000001</v>
      </c>
      <c r="AY208" s="3">
        <v>3.5418346000000001</v>
      </c>
      <c r="AZ208" s="3">
        <v>3.5388016000000002</v>
      </c>
      <c r="BA208" s="3">
        <v>3.5360396000000001</v>
      </c>
      <c r="BB208" s="3">
        <v>3.5335510000000001</v>
      </c>
      <c r="BC208" s="3">
        <v>3.5313379999999999</v>
      </c>
      <c r="BD208" s="3">
        <v>3.5294028000000002</v>
      </c>
      <c r="BE208" s="3">
        <v>3.5277478000000002</v>
      </c>
      <c r="BF208" s="3">
        <v>3.5263749999999998</v>
      </c>
      <c r="BG208" s="3">
        <v>3.5252859000000001</v>
      </c>
      <c r="BH208" s="3">
        <v>3.5244821000000002</v>
      </c>
      <c r="BI208" s="3">
        <v>3.5239647000000001</v>
      </c>
      <c r="BJ208" s="3">
        <v>3.5237352</v>
      </c>
      <c r="BK208" s="3">
        <v>3.5237949999999998</v>
      </c>
      <c r="BL208" s="3">
        <v>3.5241454000000001</v>
      </c>
      <c r="BM208" s="3">
        <v>3.5247877000000001</v>
      </c>
      <c r="BN208" s="3">
        <v>3.5257234</v>
      </c>
      <c r="BO208" s="3">
        <v>3.5269537999999998</v>
      </c>
      <c r="BP208" s="3">
        <v>3.5284803</v>
      </c>
      <c r="BQ208" s="3">
        <v>3.5303040999999999</v>
      </c>
      <c r="BR208" s="3">
        <v>3.5473176999999998</v>
      </c>
      <c r="BS208" s="3">
        <v>3.5738514000000001</v>
      </c>
    </row>
    <row r="209" spans="1:71" x14ac:dyDescent="0.35">
      <c r="A209" s="6">
        <f t="shared" si="89"/>
        <v>45572</v>
      </c>
      <c r="B209">
        <f t="shared" si="84"/>
        <v>10</v>
      </c>
      <c r="C209">
        <f t="shared" si="85"/>
        <v>2024</v>
      </c>
      <c r="D209">
        <f t="shared" si="86"/>
        <v>202410</v>
      </c>
      <c r="E209">
        <f t="shared" si="87"/>
        <v>4</v>
      </c>
      <c r="F209">
        <f t="shared" si="88"/>
        <v>202404</v>
      </c>
      <c r="G209" t="s">
        <v>342</v>
      </c>
      <c r="H209" s="2">
        <v>5</v>
      </c>
      <c r="I209" s="2">
        <v>4.95</v>
      </c>
      <c r="J209" s="3">
        <v>4.8614198000000002</v>
      </c>
      <c r="K209" s="3">
        <v>4.6956598999999999</v>
      </c>
      <c r="L209" s="3">
        <v>4.5706499999999997</v>
      </c>
      <c r="M209" s="3">
        <v>4.4631812999999996</v>
      </c>
      <c r="N209" s="3">
        <v>4.3600022999999997</v>
      </c>
      <c r="O209" s="3">
        <v>4.2613028999999996</v>
      </c>
      <c r="P209" s="3">
        <v>4.1699218</v>
      </c>
      <c r="Q209" s="3">
        <v>4.0891704999999998</v>
      </c>
      <c r="R209" s="3">
        <v>4.0215880999999998</v>
      </c>
      <c r="S209" s="3">
        <v>3.9671759</v>
      </c>
      <c r="T209" s="3">
        <v>3.9252178</v>
      </c>
      <c r="U209" s="3">
        <v>3.8937278000000002</v>
      </c>
      <c r="V209" s="3">
        <v>3.8691814</v>
      </c>
      <c r="W209" s="3">
        <v>3.8499135999999998</v>
      </c>
      <c r="X209" s="3">
        <v>3.8348623000000002</v>
      </c>
      <c r="Y209" s="3">
        <v>3.8229649999999999</v>
      </c>
      <c r="Z209" s="3">
        <v>3.8131594999999998</v>
      </c>
      <c r="AA209" s="3">
        <v>3.8043835000000001</v>
      </c>
      <c r="AB209" s="3">
        <v>3.7957619</v>
      </c>
      <c r="AC209" s="3">
        <v>3.7871323000000001</v>
      </c>
      <c r="AD209" s="3">
        <v>3.778502</v>
      </c>
      <c r="AE209" s="3">
        <v>3.7698782</v>
      </c>
      <c r="AF209" s="3">
        <v>3.7612681000000001</v>
      </c>
      <c r="AG209" s="3">
        <v>3.7526790000000001</v>
      </c>
      <c r="AH209" s="3">
        <v>3.7441198</v>
      </c>
      <c r="AI209" s="3">
        <v>3.7356064</v>
      </c>
      <c r="AJ209" s="3">
        <v>3.7271565</v>
      </c>
      <c r="AK209" s="3">
        <v>3.7187876000000002</v>
      </c>
      <c r="AL209" s="3">
        <v>3.7105172999999998</v>
      </c>
      <c r="AM209" s="3">
        <v>3.7023633</v>
      </c>
      <c r="AN209" s="3">
        <v>3.6943431000000002</v>
      </c>
      <c r="AO209" s="3">
        <v>3.6864743999999998</v>
      </c>
      <c r="AP209" s="3">
        <v>3.6787747999999998</v>
      </c>
      <c r="AQ209" s="3">
        <v>3.6712619000000002</v>
      </c>
      <c r="AR209" s="3">
        <v>3.6639531999999999</v>
      </c>
      <c r="AS209" s="3">
        <v>3.6568665</v>
      </c>
      <c r="AT209" s="3">
        <v>3.6500184</v>
      </c>
      <c r="AU209" s="3">
        <v>3.6434229</v>
      </c>
      <c r="AV209" s="3">
        <v>3.6370927000000002</v>
      </c>
      <c r="AW209" s="3">
        <v>3.6310408999999999</v>
      </c>
      <c r="AX209" s="3">
        <v>3.6252805000000001</v>
      </c>
      <c r="AY209" s="3">
        <v>3.6198242999999999</v>
      </c>
      <c r="AZ209" s="3">
        <v>3.6146853000000001</v>
      </c>
      <c r="BA209" s="3">
        <v>3.6098764999999999</v>
      </c>
      <c r="BB209" s="3">
        <v>3.6054108999999999</v>
      </c>
      <c r="BC209" s="3">
        <v>3.6013012999999998</v>
      </c>
      <c r="BD209" s="3">
        <v>3.5975608000000001</v>
      </c>
      <c r="BE209" s="3">
        <v>3.5942023000000001</v>
      </c>
      <c r="BF209" s="3">
        <v>3.5912370999999998</v>
      </c>
      <c r="BG209" s="3">
        <v>3.5886681</v>
      </c>
      <c r="BH209" s="3">
        <v>3.5864953000000002</v>
      </c>
      <c r="BI209" s="3">
        <v>3.5847185000000001</v>
      </c>
      <c r="BJ209" s="3">
        <v>3.5833379000000001</v>
      </c>
      <c r="BK209" s="3">
        <v>3.5823532999999999</v>
      </c>
      <c r="BL209" s="3">
        <v>3.5817646999999999</v>
      </c>
      <c r="BM209" s="3">
        <v>3.5815720999999998</v>
      </c>
      <c r="BN209" s="3">
        <v>3.5817754000000002</v>
      </c>
      <c r="BO209" s="3">
        <v>3.5823746000000001</v>
      </c>
      <c r="BP209" s="3">
        <v>3.5833696000000002</v>
      </c>
      <c r="BQ209" s="3">
        <v>3.5847604999999998</v>
      </c>
      <c r="BR209" s="3">
        <v>3.6009864999999999</v>
      </c>
      <c r="BS209" s="3">
        <v>3.6288187999999999</v>
      </c>
    </row>
    <row r="210" spans="1:71" x14ac:dyDescent="0.35">
      <c r="A210" s="6">
        <f t="shared" si="89"/>
        <v>45573</v>
      </c>
      <c r="B210">
        <f t="shared" si="84"/>
        <v>10</v>
      </c>
      <c r="C210">
        <f t="shared" si="85"/>
        <v>2024</v>
      </c>
      <c r="D210">
        <f t="shared" si="86"/>
        <v>202410</v>
      </c>
      <c r="E210">
        <f t="shared" si="87"/>
        <v>4</v>
      </c>
      <c r="F210">
        <f t="shared" si="88"/>
        <v>202404</v>
      </c>
      <c r="G210" t="s">
        <v>343</v>
      </c>
      <c r="H210" s="2">
        <v>5</v>
      </c>
      <c r="I210" s="2">
        <v>4.95</v>
      </c>
      <c r="J210" s="3">
        <v>4.8520225000000003</v>
      </c>
      <c r="K210" s="3">
        <v>4.6868938</v>
      </c>
      <c r="L210" s="3">
        <v>4.5593642000000001</v>
      </c>
      <c r="M210" s="3">
        <v>4.4465724</v>
      </c>
      <c r="N210" s="3">
        <v>4.3363728000000004</v>
      </c>
      <c r="O210" s="3">
        <v>4.2297675999999997</v>
      </c>
      <c r="P210" s="3">
        <v>4.1309265000000002</v>
      </c>
      <c r="Q210" s="3">
        <v>4.0440168999999999</v>
      </c>
      <c r="R210" s="3">
        <v>3.9718865000000001</v>
      </c>
      <c r="S210" s="3">
        <v>3.9145775999999999</v>
      </c>
      <c r="T210" s="3">
        <v>3.8710534000000001</v>
      </c>
      <c r="U210" s="3">
        <v>3.8390038</v>
      </c>
      <c r="V210" s="3">
        <v>3.8144996</v>
      </c>
      <c r="W210" s="3">
        <v>3.7957276000000002</v>
      </c>
      <c r="X210" s="3">
        <v>3.7815409999999998</v>
      </c>
      <c r="Y210" s="3">
        <v>3.7707929999999998</v>
      </c>
      <c r="Z210" s="3">
        <v>3.7623367999999999</v>
      </c>
      <c r="AA210" s="3">
        <v>3.7550256000000002</v>
      </c>
      <c r="AB210" s="3">
        <v>3.7479117999999998</v>
      </c>
      <c r="AC210" s="3">
        <v>3.7408068999999999</v>
      </c>
      <c r="AD210" s="3">
        <v>3.7337028999999999</v>
      </c>
      <c r="AE210" s="3">
        <v>3.7265917000000002</v>
      </c>
      <c r="AF210" s="3">
        <v>3.7194653</v>
      </c>
      <c r="AG210" s="3">
        <v>3.7123157999999998</v>
      </c>
      <c r="AH210" s="3">
        <v>3.7051400000000001</v>
      </c>
      <c r="AI210" s="3">
        <v>3.6979536</v>
      </c>
      <c r="AJ210" s="3">
        <v>3.6907774</v>
      </c>
      <c r="AK210" s="3">
        <v>3.6836319999999998</v>
      </c>
      <c r="AL210" s="3">
        <v>3.6765381000000001</v>
      </c>
      <c r="AM210" s="3">
        <v>3.6695163000000002</v>
      </c>
      <c r="AN210" s="3">
        <v>3.6625874</v>
      </c>
      <c r="AO210" s="3">
        <v>3.6557719</v>
      </c>
      <c r="AP210" s="3">
        <v>3.6490904999999998</v>
      </c>
      <c r="AQ210" s="3">
        <v>3.6425638999999999</v>
      </c>
      <c r="AR210" s="3">
        <v>3.6362127000000002</v>
      </c>
      <c r="AS210" s="3">
        <v>3.6300576000000002</v>
      </c>
      <c r="AT210" s="3">
        <v>3.6241183000000001</v>
      </c>
      <c r="AU210" s="3">
        <v>3.6184102999999999</v>
      </c>
      <c r="AV210" s="3">
        <v>3.6129482999999998</v>
      </c>
      <c r="AW210" s="3">
        <v>3.6077469</v>
      </c>
      <c r="AX210" s="3">
        <v>3.6028207000000001</v>
      </c>
      <c r="AY210" s="3">
        <v>3.5981842999999998</v>
      </c>
      <c r="AZ210" s="3">
        <v>3.5938523</v>
      </c>
      <c r="BA210" s="3">
        <v>3.5898393</v>
      </c>
      <c r="BB210" s="3">
        <v>3.5861599000000002</v>
      </c>
      <c r="BC210" s="3">
        <v>3.5828286999999999</v>
      </c>
      <c r="BD210" s="3">
        <v>3.5798603999999998</v>
      </c>
      <c r="BE210" s="3">
        <v>3.5772694999999999</v>
      </c>
      <c r="BF210" s="3">
        <v>3.5750684000000001</v>
      </c>
      <c r="BG210" s="3">
        <v>3.5732583999999998</v>
      </c>
      <c r="BH210" s="3">
        <v>3.5718375</v>
      </c>
      <c r="BI210" s="3">
        <v>3.5708034</v>
      </c>
      <c r="BJ210" s="3">
        <v>3.5701543</v>
      </c>
      <c r="BK210" s="3">
        <v>3.5698880000000002</v>
      </c>
      <c r="BL210" s="3">
        <v>3.5700025000000002</v>
      </c>
      <c r="BM210" s="3">
        <v>3.5704956999999999</v>
      </c>
      <c r="BN210" s="3">
        <v>3.5713656</v>
      </c>
      <c r="BO210" s="3">
        <v>3.5726100000000001</v>
      </c>
      <c r="BP210" s="3">
        <v>3.5742269000000002</v>
      </c>
      <c r="BQ210" s="3">
        <v>3.5762143000000002</v>
      </c>
      <c r="BR210" s="3">
        <v>3.5954446</v>
      </c>
      <c r="BS210" s="3">
        <v>3.6253182000000002</v>
      </c>
    </row>
    <row r="211" spans="1:71" x14ac:dyDescent="0.35">
      <c r="A211" s="6">
        <f t="shared" si="89"/>
        <v>45574</v>
      </c>
      <c r="B211">
        <f t="shared" si="84"/>
        <v>10</v>
      </c>
      <c r="C211">
        <f t="shared" si="85"/>
        <v>2024</v>
      </c>
      <c r="D211">
        <f t="shared" si="86"/>
        <v>202410</v>
      </c>
      <c r="E211">
        <f t="shared" si="87"/>
        <v>4</v>
      </c>
      <c r="F211">
        <f t="shared" si="88"/>
        <v>202404</v>
      </c>
      <c r="G211" t="s">
        <v>344</v>
      </c>
      <c r="H211" s="2">
        <v>5</v>
      </c>
      <c r="I211" s="2">
        <v>4.95</v>
      </c>
      <c r="J211" s="3">
        <v>4.8392343999999996</v>
      </c>
      <c r="K211" s="3">
        <v>4.6898293999999998</v>
      </c>
      <c r="L211" s="3">
        <v>4.5714834</v>
      </c>
      <c r="M211" s="3">
        <v>4.4638078999999999</v>
      </c>
      <c r="N211" s="3">
        <v>4.3570304999999996</v>
      </c>
      <c r="O211" s="3">
        <v>4.2530619999999999</v>
      </c>
      <c r="P211" s="3">
        <v>4.1565231000000002</v>
      </c>
      <c r="Q211" s="3">
        <v>4.0720441999999997</v>
      </c>
      <c r="R211" s="3">
        <v>4.0023584000000003</v>
      </c>
      <c r="S211" s="3">
        <v>3.9476431999999999</v>
      </c>
      <c r="T211" s="3">
        <v>3.9062294999999998</v>
      </c>
      <c r="U211" s="3">
        <v>3.8759174000000001</v>
      </c>
      <c r="V211" s="3">
        <v>3.8524685000000001</v>
      </c>
      <c r="W211" s="3">
        <v>3.8340372999999999</v>
      </c>
      <c r="X211" s="3">
        <v>3.8195716000000002</v>
      </c>
      <c r="Y211" s="3">
        <v>3.8080191000000001</v>
      </c>
      <c r="Z211" s="3">
        <v>3.7983273999999998</v>
      </c>
      <c r="AA211" s="3">
        <v>3.7894443</v>
      </c>
      <c r="AB211" s="3">
        <v>3.7805073999999999</v>
      </c>
      <c r="AC211" s="3">
        <v>3.7713779000000001</v>
      </c>
      <c r="AD211" s="3">
        <v>3.7620892000000001</v>
      </c>
      <c r="AE211" s="3">
        <v>3.7526744999999999</v>
      </c>
      <c r="AF211" s="3">
        <v>3.7431671999999998</v>
      </c>
      <c r="AG211" s="3">
        <v>3.7336005000000001</v>
      </c>
      <c r="AH211" s="3">
        <v>3.7240088999999998</v>
      </c>
      <c r="AI211" s="3">
        <v>3.7144303999999999</v>
      </c>
      <c r="AJ211" s="3">
        <v>3.7049042999999999</v>
      </c>
      <c r="AK211" s="3">
        <v>3.6954696</v>
      </c>
      <c r="AL211" s="3">
        <v>3.6861655</v>
      </c>
      <c r="AM211" s="3">
        <v>3.6770311000000002</v>
      </c>
      <c r="AN211" s="3">
        <v>3.6681056999999999</v>
      </c>
      <c r="AO211" s="3">
        <v>3.6594283999999999</v>
      </c>
      <c r="AP211" s="3">
        <v>3.6510381999999999</v>
      </c>
      <c r="AQ211" s="3">
        <v>3.6429743999999999</v>
      </c>
      <c r="AR211" s="3">
        <v>3.6352761</v>
      </c>
      <c r="AS211" s="3">
        <v>3.6279824000000001</v>
      </c>
      <c r="AT211" s="3">
        <v>3.6211274000000002</v>
      </c>
      <c r="AU211" s="3">
        <v>3.6147193999999998</v>
      </c>
      <c r="AV211" s="3">
        <v>3.6087593999999998</v>
      </c>
      <c r="AW211" s="3">
        <v>3.6032481999999999</v>
      </c>
      <c r="AX211" s="3">
        <v>3.5981863999999999</v>
      </c>
      <c r="AY211" s="3">
        <v>3.5935750999999998</v>
      </c>
      <c r="AZ211" s="3">
        <v>3.5894148000000001</v>
      </c>
      <c r="BA211" s="3">
        <v>3.5857066</v>
      </c>
      <c r="BB211" s="3">
        <v>3.5824511000000001</v>
      </c>
      <c r="BC211" s="3">
        <v>3.5796491000000001</v>
      </c>
      <c r="BD211" s="3">
        <v>3.5773014999999999</v>
      </c>
      <c r="BE211" s="3">
        <v>3.5754092000000002</v>
      </c>
      <c r="BF211" s="3">
        <v>3.5739706</v>
      </c>
      <c r="BG211" s="3">
        <v>3.5729750999999998</v>
      </c>
      <c r="BH211" s="3">
        <v>3.5724094000000002</v>
      </c>
      <c r="BI211" s="3">
        <v>3.5722600999999998</v>
      </c>
      <c r="BJ211" s="3">
        <v>3.5725137999999999</v>
      </c>
      <c r="BK211" s="3">
        <v>3.5731571</v>
      </c>
      <c r="BL211" s="3">
        <v>3.5741768</v>
      </c>
      <c r="BM211" s="3">
        <v>3.5755593999999999</v>
      </c>
      <c r="BN211" s="3">
        <v>3.5772917</v>
      </c>
      <c r="BO211" s="3">
        <v>3.5793602</v>
      </c>
      <c r="BP211" s="3">
        <v>3.5817515000000002</v>
      </c>
      <c r="BQ211" s="3">
        <v>3.5844524999999998</v>
      </c>
      <c r="BR211" s="3">
        <v>3.6065242999999998</v>
      </c>
      <c r="BS211" s="3">
        <v>3.6370646999999998</v>
      </c>
    </row>
    <row r="212" spans="1:71" x14ac:dyDescent="0.35">
      <c r="A212" s="6">
        <f t="shared" si="89"/>
        <v>45575</v>
      </c>
      <c r="B212">
        <f t="shared" si="84"/>
        <v>10</v>
      </c>
      <c r="C212">
        <f t="shared" si="85"/>
        <v>2024</v>
      </c>
      <c r="D212">
        <f t="shared" si="86"/>
        <v>202410</v>
      </c>
      <c r="E212">
        <f t="shared" si="87"/>
        <v>4</v>
      </c>
      <c r="F212">
        <f t="shared" si="88"/>
        <v>202404</v>
      </c>
      <c r="G212" t="s">
        <v>345</v>
      </c>
      <c r="H212" s="2">
        <v>5</v>
      </c>
      <c r="I212" s="2">
        <v>4.95</v>
      </c>
      <c r="J212" s="3">
        <v>4.8360174999999996</v>
      </c>
      <c r="K212" s="3">
        <v>4.6861474999999997</v>
      </c>
      <c r="L212" s="3">
        <v>4.5642991999999998</v>
      </c>
      <c r="M212" s="3">
        <v>4.4507985999999997</v>
      </c>
      <c r="N212" s="3">
        <v>4.3378835000000002</v>
      </c>
      <c r="O212" s="3">
        <v>4.2286761000000004</v>
      </c>
      <c r="P212" s="3">
        <v>4.1278570999999999</v>
      </c>
      <c r="Q212" s="3">
        <v>4.0398338999999996</v>
      </c>
      <c r="R212" s="3">
        <v>3.9670586999999999</v>
      </c>
      <c r="S212" s="3">
        <v>3.909637</v>
      </c>
      <c r="T212" s="3">
        <v>3.8661707000000001</v>
      </c>
      <c r="U212" s="3">
        <v>3.8344143000000002</v>
      </c>
      <c r="V212" s="3">
        <v>3.8104228</v>
      </c>
      <c r="W212" s="3">
        <v>3.7922901000000002</v>
      </c>
      <c r="X212" s="3">
        <v>3.7787731999999998</v>
      </c>
      <c r="Y212" s="3">
        <v>3.7686294</v>
      </c>
      <c r="Z212" s="3">
        <v>3.7606156999999998</v>
      </c>
      <c r="AA212" s="3">
        <v>3.7534892000000002</v>
      </c>
      <c r="AB212" s="3">
        <v>3.7462373000000002</v>
      </c>
      <c r="AC212" s="3">
        <v>3.7387241000000002</v>
      </c>
      <c r="AD212" s="3">
        <v>3.7310222999999998</v>
      </c>
      <c r="AE212" s="3">
        <v>3.7232048</v>
      </c>
      <c r="AF212" s="3">
        <v>3.7153442999999999</v>
      </c>
      <c r="AG212" s="3">
        <v>3.7075136</v>
      </c>
      <c r="AH212" s="3">
        <v>3.6997797000000001</v>
      </c>
      <c r="AI212" s="3">
        <v>3.6921813999999999</v>
      </c>
      <c r="AJ212" s="3">
        <v>3.6847489000000002</v>
      </c>
      <c r="AK212" s="3">
        <v>3.6775125000000002</v>
      </c>
      <c r="AL212" s="3">
        <v>3.6705024000000002</v>
      </c>
      <c r="AM212" s="3">
        <v>3.6637488999999999</v>
      </c>
      <c r="AN212" s="3">
        <v>3.6572821000000002</v>
      </c>
      <c r="AO212" s="3">
        <v>3.6511323</v>
      </c>
      <c r="AP212" s="3">
        <v>3.6453297</v>
      </c>
      <c r="AQ212" s="3">
        <v>3.6399045999999999</v>
      </c>
      <c r="AR212" s="3">
        <v>3.6348872000000001</v>
      </c>
      <c r="AS212" s="3">
        <v>3.6303076999999999</v>
      </c>
      <c r="AT212" s="3">
        <v>3.6261899999999998</v>
      </c>
      <c r="AU212" s="3">
        <v>3.6225298000000001</v>
      </c>
      <c r="AV212" s="3">
        <v>3.6193149999999998</v>
      </c>
      <c r="AW212" s="3">
        <v>3.6165337000000002</v>
      </c>
      <c r="AX212" s="3">
        <v>3.6141738000000001</v>
      </c>
      <c r="AY212" s="3">
        <v>3.6122231999999999</v>
      </c>
      <c r="AZ212" s="3">
        <v>3.6106699</v>
      </c>
      <c r="BA212" s="3">
        <v>3.6095019000000002</v>
      </c>
      <c r="BB212" s="3">
        <v>3.6087071000000002</v>
      </c>
      <c r="BC212" s="3">
        <v>3.6082735000000001</v>
      </c>
      <c r="BD212" s="3">
        <v>3.6081891000000001</v>
      </c>
      <c r="BE212" s="3">
        <v>3.6084418</v>
      </c>
      <c r="BF212" s="3">
        <v>3.6090203999999999</v>
      </c>
      <c r="BG212" s="3">
        <v>3.6099176000000002</v>
      </c>
      <c r="BH212" s="3">
        <v>3.6111270000000002</v>
      </c>
      <c r="BI212" s="3">
        <v>3.6126425000000002</v>
      </c>
      <c r="BJ212" s="3">
        <v>3.6144576000000002</v>
      </c>
      <c r="BK212" s="3">
        <v>3.6165661</v>
      </c>
      <c r="BL212" s="3">
        <v>3.6189616999999998</v>
      </c>
      <c r="BM212" s="3">
        <v>3.6216381000000002</v>
      </c>
      <c r="BN212" s="3">
        <v>3.6245889</v>
      </c>
      <c r="BO212" s="3">
        <v>3.6278079000000001</v>
      </c>
      <c r="BP212" s="3">
        <v>3.6312888000000001</v>
      </c>
      <c r="BQ212" s="3">
        <v>3.6350251999999998</v>
      </c>
      <c r="BR212" s="3">
        <v>3.6624154</v>
      </c>
      <c r="BS212" s="3">
        <v>3.6971607</v>
      </c>
    </row>
    <row r="213" spans="1:71" x14ac:dyDescent="0.35">
      <c r="A213" s="6">
        <f t="shared" si="89"/>
        <v>45576</v>
      </c>
      <c r="B213">
        <f t="shared" si="84"/>
        <v>10</v>
      </c>
      <c r="C213">
        <f t="shared" si="85"/>
        <v>2024</v>
      </c>
      <c r="D213">
        <f t="shared" si="86"/>
        <v>202410</v>
      </c>
      <c r="E213">
        <f t="shared" si="87"/>
        <v>4</v>
      </c>
      <c r="F213">
        <f t="shared" si="88"/>
        <v>202404</v>
      </c>
      <c r="G213" t="s">
        <v>346</v>
      </c>
      <c r="H213" s="2">
        <v>5</v>
      </c>
      <c r="I213" s="2">
        <v>4.95</v>
      </c>
      <c r="J213" s="3">
        <v>4.8300989999999997</v>
      </c>
      <c r="K213" s="3">
        <v>4.6749843999999996</v>
      </c>
      <c r="L213" s="3">
        <v>4.5457742000000003</v>
      </c>
      <c r="M213" s="3">
        <v>4.4237919999999997</v>
      </c>
      <c r="N213" s="3">
        <v>4.3019173999999998</v>
      </c>
      <c r="O213" s="3">
        <v>4.1846933999999996</v>
      </c>
      <c r="P213" s="3">
        <v>4.0786496000000003</v>
      </c>
      <c r="Q213" s="3">
        <v>3.9887215999999999</v>
      </c>
      <c r="R213" s="3">
        <v>3.9164805</v>
      </c>
      <c r="S213" s="3">
        <v>3.8605097000000002</v>
      </c>
      <c r="T213" s="3">
        <v>3.8181835</v>
      </c>
      <c r="U213" s="3">
        <v>3.7861741000000002</v>
      </c>
      <c r="V213" s="3">
        <v>3.7600099</v>
      </c>
      <c r="W213" s="3">
        <v>3.7380266999999998</v>
      </c>
      <c r="X213" s="3">
        <v>3.7195559999999999</v>
      </c>
      <c r="Y213" s="3">
        <v>3.7039295999999999</v>
      </c>
      <c r="Z213" s="3">
        <v>3.6904789999999998</v>
      </c>
      <c r="AA213" s="3">
        <v>3.6785361000000001</v>
      </c>
      <c r="AB213" s="3">
        <v>3.6675296999999998</v>
      </c>
      <c r="AC213" s="3">
        <v>3.65734</v>
      </c>
      <c r="AD213" s="3">
        <v>3.6479777000000002</v>
      </c>
      <c r="AE213" s="3">
        <v>3.6394536999999998</v>
      </c>
      <c r="AF213" s="3">
        <v>3.6317786999999999</v>
      </c>
      <c r="AG213" s="3">
        <v>3.6249636999999999</v>
      </c>
      <c r="AH213" s="3">
        <v>3.6190085000000001</v>
      </c>
      <c r="AI213" s="3">
        <v>3.6138658000000001</v>
      </c>
      <c r="AJ213" s="3">
        <v>3.6094748000000001</v>
      </c>
      <c r="AK213" s="3">
        <v>3.6057749000000001</v>
      </c>
      <c r="AL213" s="3">
        <v>3.6027054999999999</v>
      </c>
      <c r="AM213" s="3">
        <v>3.6002059000000002</v>
      </c>
      <c r="AN213" s="3">
        <v>3.5982154999999998</v>
      </c>
      <c r="AO213" s="3">
        <v>3.5966737000000002</v>
      </c>
      <c r="AP213" s="3">
        <v>3.5955197999999999</v>
      </c>
      <c r="AQ213" s="3">
        <v>3.5946931000000002</v>
      </c>
      <c r="AR213" s="3">
        <v>3.5941331000000001</v>
      </c>
      <c r="AS213" s="3">
        <v>3.5937790000000001</v>
      </c>
      <c r="AT213" s="3">
        <v>3.5935798999999999</v>
      </c>
      <c r="AU213" s="3">
        <v>3.5935231999999999</v>
      </c>
      <c r="AV213" s="3">
        <v>3.5936059999999999</v>
      </c>
      <c r="AW213" s="3">
        <v>3.5938252999999998</v>
      </c>
      <c r="AX213" s="3">
        <v>3.5941782999999998</v>
      </c>
      <c r="AY213" s="3">
        <v>3.594662</v>
      </c>
      <c r="AZ213" s="3">
        <v>3.5952734</v>
      </c>
      <c r="BA213" s="3">
        <v>3.5960097000000002</v>
      </c>
      <c r="BB213" s="3">
        <v>3.5968678999999999</v>
      </c>
      <c r="BC213" s="3">
        <v>3.5978450999999998</v>
      </c>
      <c r="BD213" s="3">
        <v>3.5989382999999999</v>
      </c>
      <c r="BE213" s="3">
        <v>3.6001446000000001</v>
      </c>
      <c r="BF213" s="3">
        <v>3.6014626999999999</v>
      </c>
      <c r="BG213" s="3">
        <v>3.6028980000000002</v>
      </c>
      <c r="BH213" s="3">
        <v>3.6044578</v>
      </c>
      <c r="BI213" s="3">
        <v>3.6061492999999998</v>
      </c>
      <c r="BJ213" s="3">
        <v>3.6079799000000001</v>
      </c>
      <c r="BK213" s="3">
        <v>3.6099568999999998</v>
      </c>
      <c r="BL213" s="3">
        <v>3.6120876000000002</v>
      </c>
      <c r="BM213" s="3">
        <v>3.6143793</v>
      </c>
      <c r="BN213" s="3">
        <v>3.6168393999999999</v>
      </c>
      <c r="BO213" s="3">
        <v>3.619475</v>
      </c>
      <c r="BP213" s="3">
        <v>3.6222935000000001</v>
      </c>
      <c r="BQ213" s="3">
        <v>3.6253023</v>
      </c>
      <c r="BR213" s="3">
        <v>3.647475</v>
      </c>
      <c r="BS213" s="3">
        <v>3.6766154000000002</v>
      </c>
    </row>
    <row r="214" spans="1:71" x14ac:dyDescent="0.35">
      <c r="A214" s="6">
        <f t="shared" si="89"/>
        <v>45579</v>
      </c>
      <c r="B214">
        <f t="shared" si="84"/>
        <v>10</v>
      </c>
      <c r="C214">
        <f t="shared" si="85"/>
        <v>2024</v>
      </c>
      <c r="D214">
        <f t="shared" si="86"/>
        <v>202410</v>
      </c>
      <c r="E214">
        <f t="shared" si="87"/>
        <v>4</v>
      </c>
      <c r="F214">
        <f t="shared" si="88"/>
        <v>202404</v>
      </c>
      <c r="G214" t="s">
        <v>347</v>
      </c>
      <c r="H214" s="2">
        <v>5</v>
      </c>
      <c r="I214" s="2">
        <v>4.95</v>
      </c>
      <c r="J214" s="3">
        <v>4.8075783000000003</v>
      </c>
      <c r="K214" s="3">
        <v>4.6717310999999997</v>
      </c>
      <c r="L214" s="3">
        <v>4.5557245000000002</v>
      </c>
      <c r="M214" s="3">
        <v>4.4414894</v>
      </c>
      <c r="N214" s="3">
        <v>4.3232448000000003</v>
      </c>
      <c r="O214" s="3">
        <v>4.2068586999999997</v>
      </c>
      <c r="P214" s="3">
        <v>4.0999515000000004</v>
      </c>
      <c r="Q214" s="3">
        <v>4.0081275999999999</v>
      </c>
      <c r="R214" s="3">
        <v>3.9344709</v>
      </c>
      <c r="S214" s="3">
        <v>3.8782236000000001</v>
      </c>
      <c r="T214" s="3">
        <v>3.8375884999999998</v>
      </c>
      <c r="U214" s="3">
        <v>3.8094863999999999</v>
      </c>
      <c r="V214" s="3">
        <v>3.7892941000000002</v>
      </c>
      <c r="W214" s="3">
        <v>3.7749741000000001</v>
      </c>
      <c r="X214" s="3">
        <v>3.7652882999999999</v>
      </c>
      <c r="Y214" s="3">
        <v>3.7589986</v>
      </c>
      <c r="Z214" s="3">
        <v>3.7548667999999998</v>
      </c>
      <c r="AA214" s="3">
        <v>3.7516547999999998</v>
      </c>
      <c r="AB214" s="3">
        <v>3.7483431</v>
      </c>
      <c r="AC214" s="3">
        <v>3.7447444999999999</v>
      </c>
      <c r="AD214" s="3">
        <v>3.7408700000000001</v>
      </c>
      <c r="AE214" s="3">
        <v>3.7367303999999999</v>
      </c>
      <c r="AF214" s="3">
        <v>3.7323366999999998</v>
      </c>
      <c r="AG214" s="3">
        <v>3.7276997999999999</v>
      </c>
      <c r="AH214" s="3">
        <v>3.7228341999999999</v>
      </c>
      <c r="AI214" s="3">
        <v>3.7177684000000002</v>
      </c>
      <c r="AJ214" s="3">
        <v>3.7125343000000002</v>
      </c>
      <c r="AK214" s="3">
        <v>3.7071641</v>
      </c>
      <c r="AL214" s="3">
        <v>3.7016895999999999</v>
      </c>
      <c r="AM214" s="3">
        <v>3.6961428999999999</v>
      </c>
      <c r="AN214" s="3">
        <v>3.6905560999999998</v>
      </c>
      <c r="AO214" s="3">
        <v>3.6849609999999999</v>
      </c>
      <c r="AP214" s="3">
        <v>3.6793898</v>
      </c>
      <c r="AQ214" s="3">
        <v>3.6738743999999999</v>
      </c>
      <c r="AR214" s="3">
        <v>3.6684469000000002</v>
      </c>
      <c r="AS214" s="3">
        <v>3.6631393000000001</v>
      </c>
      <c r="AT214" s="3">
        <v>3.6579818999999998</v>
      </c>
      <c r="AU214" s="3">
        <v>3.6529988000000002</v>
      </c>
      <c r="AV214" s="3">
        <v>3.6482123999999998</v>
      </c>
      <c r="AW214" s="3">
        <v>3.6436451999999999</v>
      </c>
      <c r="AX214" s="3">
        <v>3.6393197000000002</v>
      </c>
      <c r="AY214" s="3">
        <v>3.6352581000000002</v>
      </c>
      <c r="AZ214" s="3">
        <v>3.6314831000000001</v>
      </c>
      <c r="BA214" s="3">
        <v>3.6280169</v>
      </c>
      <c r="BB214" s="3">
        <v>3.6248821000000002</v>
      </c>
      <c r="BC214" s="3">
        <v>3.6221011000000001</v>
      </c>
      <c r="BD214" s="3">
        <v>3.6196963000000002</v>
      </c>
      <c r="BE214" s="3">
        <v>3.6176902000000002</v>
      </c>
      <c r="BF214" s="3">
        <v>3.6161021</v>
      </c>
      <c r="BG214" s="3">
        <v>3.6149353</v>
      </c>
      <c r="BH214" s="3">
        <v>3.6141874999999999</v>
      </c>
      <c r="BI214" s="3">
        <v>3.6138566000000001</v>
      </c>
      <c r="BJ214" s="3">
        <v>3.6139402999999999</v>
      </c>
      <c r="BK214" s="3">
        <v>3.6144362999999999</v>
      </c>
      <c r="BL214" s="3">
        <v>3.6153425000000001</v>
      </c>
      <c r="BM214" s="3">
        <v>3.6166566000000002</v>
      </c>
      <c r="BN214" s="3">
        <v>3.6183763</v>
      </c>
      <c r="BO214" s="3">
        <v>3.6204995000000002</v>
      </c>
      <c r="BP214" s="3">
        <v>3.6230239000000002</v>
      </c>
      <c r="BQ214" s="3">
        <v>3.6259472000000001</v>
      </c>
      <c r="BR214" s="3">
        <v>3.6512964000000001</v>
      </c>
      <c r="BS214" s="3">
        <v>3.6877203999999999</v>
      </c>
    </row>
    <row r="215" spans="1:71" x14ac:dyDescent="0.35">
      <c r="A215" s="6">
        <f t="shared" si="89"/>
        <v>45580</v>
      </c>
      <c r="B215">
        <f t="shared" si="84"/>
        <v>10</v>
      </c>
      <c r="C215">
        <f t="shared" si="85"/>
        <v>2024</v>
      </c>
      <c r="D215">
        <f t="shared" si="86"/>
        <v>202410</v>
      </c>
      <c r="E215">
        <f t="shared" si="87"/>
        <v>4</v>
      </c>
      <c r="F215">
        <f t="shared" si="88"/>
        <v>202404</v>
      </c>
      <c r="G215" t="s">
        <v>348</v>
      </c>
      <c r="H215" s="2">
        <v>5</v>
      </c>
      <c r="I215" s="2">
        <v>4.95</v>
      </c>
      <c r="J215" s="3">
        <v>4.8042216</v>
      </c>
      <c r="K215" s="3">
        <v>4.6688134000000003</v>
      </c>
      <c r="L215" s="3">
        <v>4.5480961999999998</v>
      </c>
      <c r="M215" s="3">
        <v>4.4272003</v>
      </c>
      <c r="N215" s="3">
        <v>4.3027498</v>
      </c>
      <c r="O215" s="3">
        <v>4.1813260000000003</v>
      </c>
      <c r="P215" s="3">
        <v>4.0705947</v>
      </c>
      <c r="Q215" s="3">
        <v>3.9756236</v>
      </c>
      <c r="R215" s="3">
        <v>3.8989061</v>
      </c>
      <c r="S215" s="3">
        <v>3.8397220999999999</v>
      </c>
      <c r="T215" s="3">
        <v>3.7963149</v>
      </c>
      <c r="U215" s="3">
        <v>3.7657609000000001</v>
      </c>
      <c r="V215" s="3">
        <v>3.7434821999999999</v>
      </c>
      <c r="W215" s="3">
        <v>3.7274297999999999</v>
      </c>
      <c r="X215" s="3">
        <v>3.7163355999999999</v>
      </c>
      <c r="Y215" s="3">
        <v>3.7089316000000001</v>
      </c>
      <c r="Z215" s="3">
        <v>3.7039501000000001</v>
      </c>
      <c r="AA215" s="3">
        <v>3.7001230000000001</v>
      </c>
      <c r="AB215" s="3">
        <v>3.6963967000000002</v>
      </c>
      <c r="AC215" s="3">
        <v>3.6925336999999998</v>
      </c>
      <c r="AD215" s="3">
        <v>3.6884909000000001</v>
      </c>
      <c r="AE215" s="3">
        <v>3.6842248999999998</v>
      </c>
      <c r="AF215" s="3">
        <v>3.6796924</v>
      </c>
      <c r="AG215" s="3">
        <v>3.6748503000000001</v>
      </c>
      <c r="AH215" s="3">
        <v>3.66967</v>
      </c>
      <c r="AI215" s="3">
        <v>3.6641815000000002</v>
      </c>
      <c r="AJ215" s="3">
        <v>3.6584298</v>
      </c>
      <c r="AK215" s="3">
        <v>3.6524595</v>
      </c>
      <c r="AL215" s="3">
        <v>3.6463157000000002</v>
      </c>
      <c r="AM215" s="3">
        <v>3.6400429999999999</v>
      </c>
      <c r="AN215" s="3">
        <v>3.6336862999999999</v>
      </c>
      <c r="AO215" s="3">
        <v>3.6272904000000001</v>
      </c>
      <c r="AP215" s="3">
        <v>3.6209001000000001</v>
      </c>
      <c r="AQ215" s="3">
        <v>3.6145602999999999</v>
      </c>
      <c r="AR215" s="3">
        <v>3.6083158000000002</v>
      </c>
      <c r="AS215" s="3">
        <v>3.6022113</v>
      </c>
      <c r="AT215" s="3">
        <v>3.5962877999999998</v>
      </c>
      <c r="AU215" s="3">
        <v>3.5905705000000001</v>
      </c>
      <c r="AV215" s="3">
        <v>3.5850806</v>
      </c>
      <c r="AW215" s="3">
        <v>3.5798394</v>
      </c>
      <c r="AX215" s="3">
        <v>3.5748679999999999</v>
      </c>
      <c r="AY215" s="3">
        <v>3.5701877</v>
      </c>
      <c r="AZ215" s="3">
        <v>3.5658197999999999</v>
      </c>
      <c r="BA215" s="3">
        <v>3.5617855</v>
      </c>
      <c r="BB215" s="3">
        <v>3.558106</v>
      </c>
      <c r="BC215" s="3">
        <v>3.5548025999999999</v>
      </c>
      <c r="BD215" s="3">
        <v>3.5518964999999998</v>
      </c>
      <c r="BE215" s="3">
        <v>3.5494089999999998</v>
      </c>
      <c r="BF215" s="3">
        <v>3.5473574999999999</v>
      </c>
      <c r="BG215" s="3">
        <v>3.545741</v>
      </c>
      <c r="BH215" s="3">
        <v>3.5445527999999999</v>
      </c>
      <c r="BI215" s="3">
        <v>3.5437865</v>
      </c>
      <c r="BJ215" s="3">
        <v>3.5434351999999998</v>
      </c>
      <c r="BK215" s="3">
        <v>3.5434923999999999</v>
      </c>
      <c r="BL215" s="3">
        <v>3.5439514999999999</v>
      </c>
      <c r="BM215" s="3">
        <v>3.5448057999999998</v>
      </c>
      <c r="BN215" s="3">
        <v>3.5460487000000001</v>
      </c>
      <c r="BO215" s="3">
        <v>3.5476736</v>
      </c>
      <c r="BP215" s="3">
        <v>3.5496737999999999</v>
      </c>
      <c r="BQ215" s="3">
        <v>3.5520428000000002</v>
      </c>
      <c r="BR215" s="3">
        <v>3.5733598</v>
      </c>
      <c r="BS215" s="3">
        <v>3.6046520000000002</v>
      </c>
    </row>
    <row r="216" spans="1:71" x14ac:dyDescent="0.35">
      <c r="A216" s="6">
        <f t="shared" si="89"/>
        <v>45581</v>
      </c>
      <c r="B216">
        <f t="shared" si="84"/>
        <v>10</v>
      </c>
      <c r="C216">
        <f t="shared" si="85"/>
        <v>2024</v>
      </c>
      <c r="D216">
        <f t="shared" si="86"/>
        <v>202410</v>
      </c>
      <c r="E216">
        <f t="shared" si="87"/>
        <v>4</v>
      </c>
      <c r="F216">
        <f t="shared" si="88"/>
        <v>202404</v>
      </c>
      <c r="G216" t="s">
        <v>349</v>
      </c>
      <c r="H216" s="2">
        <v>5</v>
      </c>
      <c r="I216" s="2">
        <v>4.95</v>
      </c>
      <c r="J216" s="3">
        <v>4.7700832000000002</v>
      </c>
      <c r="K216" s="3">
        <v>4.6186220000000002</v>
      </c>
      <c r="L216" s="3">
        <v>4.4825588999999999</v>
      </c>
      <c r="M216" s="3">
        <v>4.3493558999999999</v>
      </c>
      <c r="N216" s="3">
        <v>4.2159912000000004</v>
      </c>
      <c r="O216" s="3">
        <v>4.0880922999999996</v>
      </c>
      <c r="P216" s="3">
        <v>3.9724897000000001</v>
      </c>
      <c r="Q216" s="3">
        <v>3.8736739999999998</v>
      </c>
      <c r="R216" s="3">
        <v>3.7934899999999998</v>
      </c>
      <c r="S216" s="3">
        <v>3.7313781000000001</v>
      </c>
      <c r="T216" s="3">
        <v>3.6850979000000001</v>
      </c>
      <c r="U216" s="3">
        <v>3.6521425000000001</v>
      </c>
      <c r="V216" s="3">
        <v>3.6280093</v>
      </c>
      <c r="W216" s="3">
        <v>3.6105814000000001</v>
      </c>
      <c r="X216" s="3">
        <v>3.5985360000000002</v>
      </c>
      <c r="Y216" s="3">
        <v>3.5905499999999999</v>
      </c>
      <c r="Z216" s="3">
        <v>3.5853006000000001</v>
      </c>
      <c r="AA216" s="3">
        <v>3.5814647000000002</v>
      </c>
      <c r="AB216" s="3">
        <v>3.5779396000000001</v>
      </c>
      <c r="AC216" s="3">
        <v>3.5744601</v>
      </c>
      <c r="AD216" s="3">
        <v>3.5709602999999999</v>
      </c>
      <c r="AE216" s="3">
        <v>3.5673746</v>
      </c>
      <c r="AF216" s="3">
        <v>3.5636372000000001</v>
      </c>
      <c r="AG216" s="3">
        <v>3.5596823</v>
      </c>
      <c r="AH216" s="3">
        <v>3.5554624000000001</v>
      </c>
      <c r="AI216" s="3">
        <v>3.5510033000000001</v>
      </c>
      <c r="AJ216" s="3">
        <v>3.5463488999999999</v>
      </c>
      <c r="AK216" s="3">
        <v>3.5415434000000001</v>
      </c>
      <c r="AL216" s="3">
        <v>3.5366306000000001</v>
      </c>
      <c r="AM216" s="3">
        <v>3.5316546</v>
      </c>
      <c r="AN216" s="3">
        <v>3.5266594000000002</v>
      </c>
      <c r="AO216" s="3">
        <v>3.5216889999999998</v>
      </c>
      <c r="AP216" s="3">
        <v>3.5167874000000001</v>
      </c>
      <c r="AQ216" s="3">
        <v>3.5119986999999999</v>
      </c>
      <c r="AR216" s="3">
        <v>3.5073667999999998</v>
      </c>
      <c r="AS216" s="3">
        <v>3.5029357999999999</v>
      </c>
      <c r="AT216" s="3">
        <v>3.4987447999999999</v>
      </c>
      <c r="AU216" s="3">
        <v>3.4948098000000001</v>
      </c>
      <c r="AV216" s="3">
        <v>3.4911395999999999</v>
      </c>
      <c r="AW216" s="3">
        <v>3.487743</v>
      </c>
      <c r="AX216" s="3">
        <v>3.4846287999999999</v>
      </c>
      <c r="AY216" s="3">
        <v>3.4818058000000001</v>
      </c>
      <c r="AZ216" s="3">
        <v>3.4792828</v>
      </c>
      <c r="BA216" s="3">
        <v>3.4770686</v>
      </c>
      <c r="BB216" s="3">
        <v>3.4751720000000001</v>
      </c>
      <c r="BC216" s="3">
        <v>3.4736018</v>
      </c>
      <c r="BD216" s="3">
        <v>3.4723668000000001</v>
      </c>
      <c r="BE216" s="3">
        <v>3.4714759000000002</v>
      </c>
      <c r="BF216" s="3">
        <v>3.4709354000000001</v>
      </c>
      <c r="BG216" s="3">
        <v>3.4707412999999998</v>
      </c>
      <c r="BH216" s="3">
        <v>3.4708866999999999</v>
      </c>
      <c r="BI216" s="3">
        <v>3.4713647000000001</v>
      </c>
      <c r="BJ216" s="3">
        <v>3.4721682</v>
      </c>
      <c r="BK216" s="3">
        <v>3.4732904000000002</v>
      </c>
      <c r="BL216" s="3">
        <v>3.4747243000000001</v>
      </c>
      <c r="BM216" s="3">
        <v>3.4764629</v>
      </c>
      <c r="BN216" s="3">
        <v>3.4784994999999999</v>
      </c>
      <c r="BO216" s="3">
        <v>3.4808268999999998</v>
      </c>
      <c r="BP216" s="3">
        <v>3.4834383</v>
      </c>
      <c r="BQ216" s="3">
        <v>3.4863266999999998</v>
      </c>
      <c r="BR216" s="3">
        <v>3.5090431</v>
      </c>
      <c r="BS216" s="3">
        <v>3.5397227999999998</v>
      </c>
    </row>
    <row r="217" spans="1:71" x14ac:dyDescent="0.35">
      <c r="A217" s="6">
        <f t="shared" si="89"/>
        <v>45582</v>
      </c>
      <c r="B217">
        <f t="shared" si="84"/>
        <v>10</v>
      </c>
      <c r="C217">
        <f t="shared" si="85"/>
        <v>2024</v>
      </c>
      <c r="D217">
        <f t="shared" si="86"/>
        <v>202410</v>
      </c>
      <c r="E217">
        <f t="shared" si="87"/>
        <v>4</v>
      </c>
      <c r="F217">
        <f t="shared" si="88"/>
        <v>202404</v>
      </c>
      <c r="G217" t="s">
        <v>350</v>
      </c>
      <c r="H217" s="2">
        <v>5</v>
      </c>
      <c r="I217" s="2">
        <v>4.95</v>
      </c>
      <c r="J217" s="3">
        <v>4.7696391</v>
      </c>
      <c r="K217" s="3">
        <v>4.6221702999999996</v>
      </c>
      <c r="L217" s="3">
        <v>4.4867502000000004</v>
      </c>
      <c r="M217" s="3">
        <v>4.3528362999999999</v>
      </c>
      <c r="N217" s="3">
        <v>4.2186078</v>
      </c>
      <c r="O217" s="3">
        <v>4.0901854000000002</v>
      </c>
      <c r="P217" s="3">
        <v>3.9742384999999998</v>
      </c>
      <c r="Q217" s="3">
        <v>3.8752080000000002</v>
      </c>
      <c r="R217" s="3">
        <v>3.7948124000000001</v>
      </c>
      <c r="S217" s="3">
        <v>3.7324600999999999</v>
      </c>
      <c r="T217" s="3">
        <v>3.6861031</v>
      </c>
      <c r="U217" s="3">
        <v>3.6529836000000002</v>
      </c>
      <c r="V217" s="3">
        <v>3.6286714</v>
      </c>
      <c r="W217" s="3">
        <v>3.6110734</v>
      </c>
      <c r="X217" s="3">
        <v>3.5988413000000001</v>
      </c>
      <c r="Y217" s="3">
        <v>3.5906264999999999</v>
      </c>
      <c r="Z217" s="3">
        <v>3.5850803999999998</v>
      </c>
      <c r="AA217" s="3">
        <v>3.5808545999999999</v>
      </c>
      <c r="AB217" s="3">
        <v>3.5768325999999999</v>
      </c>
      <c r="AC217" s="3">
        <v>3.5727818999999998</v>
      </c>
      <c r="AD217" s="3">
        <v>3.5686800999999999</v>
      </c>
      <c r="AE217" s="3">
        <v>3.564505</v>
      </c>
      <c r="AF217" s="3">
        <v>3.5602344000000001</v>
      </c>
      <c r="AG217" s="3">
        <v>3.5558459</v>
      </c>
      <c r="AH217" s="3">
        <v>3.5513257</v>
      </c>
      <c r="AI217" s="3">
        <v>3.5467010000000001</v>
      </c>
      <c r="AJ217" s="3">
        <v>3.5420115000000001</v>
      </c>
      <c r="AK217" s="3">
        <v>3.5372968999999999</v>
      </c>
      <c r="AL217" s="3">
        <v>3.5325969000000002</v>
      </c>
      <c r="AM217" s="3">
        <v>3.5279512</v>
      </c>
      <c r="AN217" s="3">
        <v>3.5233995</v>
      </c>
      <c r="AO217" s="3">
        <v>3.5189813999999999</v>
      </c>
      <c r="AP217" s="3">
        <v>3.5147366999999998</v>
      </c>
      <c r="AQ217" s="3">
        <v>3.5107051</v>
      </c>
      <c r="AR217" s="3">
        <v>3.5069262000000001</v>
      </c>
      <c r="AS217" s="3">
        <v>3.5034398000000002</v>
      </c>
      <c r="AT217" s="3">
        <v>3.5002794000000002</v>
      </c>
      <c r="AU217" s="3">
        <v>3.4974512</v>
      </c>
      <c r="AV217" s="3">
        <v>3.4949539000000001</v>
      </c>
      <c r="AW217" s="3">
        <v>3.4927863000000001</v>
      </c>
      <c r="AX217" s="3">
        <v>3.4909471000000001</v>
      </c>
      <c r="AY217" s="3">
        <v>3.4894351000000001</v>
      </c>
      <c r="AZ217" s="3">
        <v>3.4882488999999999</v>
      </c>
      <c r="BA217" s="3">
        <v>3.4873873999999998</v>
      </c>
      <c r="BB217" s="3">
        <v>3.4868491000000001</v>
      </c>
      <c r="BC217" s="3">
        <v>3.4866329</v>
      </c>
      <c r="BD217" s="3">
        <v>3.4867374999999998</v>
      </c>
      <c r="BE217" s="3">
        <v>3.4871615</v>
      </c>
      <c r="BF217" s="3">
        <v>3.4879028000000001</v>
      </c>
      <c r="BG217" s="3">
        <v>3.4889546</v>
      </c>
      <c r="BH217" s="3">
        <v>3.4903089</v>
      </c>
      <c r="BI217" s="3">
        <v>3.4919579000000001</v>
      </c>
      <c r="BJ217" s="3">
        <v>3.4938934000000001</v>
      </c>
      <c r="BK217" s="3">
        <v>3.4961076000000002</v>
      </c>
      <c r="BL217" s="3">
        <v>3.4985925999999998</v>
      </c>
      <c r="BM217" s="3">
        <v>3.5013402999999998</v>
      </c>
      <c r="BN217" s="3">
        <v>3.5043427999999999</v>
      </c>
      <c r="BO217" s="3">
        <v>3.5075921000000001</v>
      </c>
      <c r="BP217" s="3">
        <v>3.5110804</v>
      </c>
      <c r="BQ217" s="3">
        <v>3.5147995999999999</v>
      </c>
      <c r="BR217" s="3">
        <v>3.5415670000000001</v>
      </c>
      <c r="BS217" s="3">
        <v>3.5749336999999999</v>
      </c>
    </row>
    <row r="218" spans="1:71" x14ac:dyDescent="0.35">
      <c r="A218" s="6">
        <f t="shared" si="89"/>
        <v>45583</v>
      </c>
      <c r="B218">
        <f t="shared" si="84"/>
        <v>10</v>
      </c>
      <c r="C218">
        <f t="shared" si="85"/>
        <v>2024</v>
      </c>
      <c r="D218">
        <f t="shared" si="86"/>
        <v>202410</v>
      </c>
      <c r="E218">
        <f t="shared" si="87"/>
        <v>4</v>
      </c>
      <c r="F218">
        <f t="shared" si="88"/>
        <v>202404</v>
      </c>
      <c r="G218" t="s">
        <v>351</v>
      </c>
      <c r="H218" s="2">
        <v>5</v>
      </c>
      <c r="I218" s="2">
        <v>4.95</v>
      </c>
      <c r="J218" s="3">
        <v>4.7565407999999998</v>
      </c>
      <c r="K218" s="3">
        <v>4.6112875999999998</v>
      </c>
      <c r="L218" s="3">
        <v>4.4736636000000001</v>
      </c>
      <c r="M218" s="3">
        <v>4.3371063000000003</v>
      </c>
      <c r="N218" s="3">
        <v>4.2003864999999996</v>
      </c>
      <c r="O218" s="3">
        <v>4.0688589000000004</v>
      </c>
      <c r="P218" s="3">
        <v>3.9476922999999999</v>
      </c>
      <c r="Q218" s="3">
        <v>3.8409702000000001</v>
      </c>
      <c r="R218" s="3">
        <v>3.7499541000000001</v>
      </c>
      <c r="S218" s="3">
        <v>3.6743711000000001</v>
      </c>
      <c r="T218" s="3">
        <v>3.6134064000000001</v>
      </c>
      <c r="U218" s="3">
        <v>3.5655735000000002</v>
      </c>
      <c r="V218" s="3">
        <v>3.5289291999999999</v>
      </c>
      <c r="W218" s="3">
        <v>3.5018017000000001</v>
      </c>
      <c r="X218" s="3">
        <v>3.4826339000000002</v>
      </c>
      <c r="Y218" s="3">
        <v>3.4698687000000001</v>
      </c>
      <c r="Z218" s="3">
        <v>3.4619491</v>
      </c>
      <c r="AA218" s="3">
        <v>3.4573181000000002</v>
      </c>
      <c r="AB218" s="3">
        <v>3.4545954999999999</v>
      </c>
      <c r="AC218" s="3">
        <v>3.4532229999999999</v>
      </c>
      <c r="AD218" s="3">
        <v>3.4528797</v>
      </c>
      <c r="AE218" s="3">
        <v>3.4532452999999999</v>
      </c>
      <c r="AF218" s="3">
        <v>3.453999</v>
      </c>
      <c r="AG218" s="3">
        <v>3.4548204</v>
      </c>
      <c r="AH218" s="3">
        <v>3.4554410999999998</v>
      </c>
      <c r="AI218" s="3">
        <v>3.4558233</v>
      </c>
      <c r="AJ218" s="3">
        <v>3.4559929999999999</v>
      </c>
      <c r="AK218" s="3">
        <v>3.4559760000000002</v>
      </c>
      <c r="AL218" s="3">
        <v>3.4557981999999998</v>
      </c>
      <c r="AM218" s="3">
        <v>3.4554855999999998</v>
      </c>
      <c r="AN218" s="3">
        <v>3.4550638999999999</v>
      </c>
      <c r="AO218" s="3">
        <v>3.4545591</v>
      </c>
      <c r="AP218" s="3">
        <v>3.4539971</v>
      </c>
      <c r="AQ218" s="3">
        <v>3.4534037</v>
      </c>
      <c r="AR218" s="3">
        <v>3.4528048</v>
      </c>
      <c r="AS218" s="3">
        <v>3.4522263</v>
      </c>
      <c r="AT218" s="3">
        <v>3.4516920999999998</v>
      </c>
      <c r="AU218" s="3">
        <v>3.4512181000000002</v>
      </c>
      <c r="AV218" s="3">
        <v>3.4508179999999999</v>
      </c>
      <c r="AW218" s="3">
        <v>3.4505056000000001</v>
      </c>
      <c r="AX218" s="3">
        <v>3.4502948</v>
      </c>
      <c r="AY218" s="3">
        <v>3.4501993999999998</v>
      </c>
      <c r="AZ218" s="3">
        <v>3.4502332</v>
      </c>
      <c r="BA218" s="3">
        <v>3.4504101</v>
      </c>
      <c r="BB218" s="3">
        <v>3.4507438000000001</v>
      </c>
      <c r="BC218" s="3">
        <v>3.4512482000000002</v>
      </c>
      <c r="BD218" s="3">
        <v>3.451937</v>
      </c>
      <c r="BE218" s="3">
        <v>3.4528241999999998</v>
      </c>
      <c r="BF218" s="3">
        <v>3.4539216000000001</v>
      </c>
      <c r="BG218" s="3">
        <v>3.4552320999999999</v>
      </c>
      <c r="BH218" s="3">
        <v>3.4567565999999998</v>
      </c>
      <c r="BI218" s="3">
        <v>3.4584956</v>
      </c>
      <c r="BJ218" s="3">
        <v>3.4604498000000001</v>
      </c>
      <c r="BK218" s="3">
        <v>3.4626198000000001</v>
      </c>
      <c r="BL218" s="3">
        <v>3.4650064</v>
      </c>
      <c r="BM218" s="3">
        <v>3.4676102000000002</v>
      </c>
      <c r="BN218" s="3">
        <v>3.4704318999999999</v>
      </c>
      <c r="BO218" s="3">
        <v>3.4734721</v>
      </c>
      <c r="BP218" s="3">
        <v>3.4767313999999998</v>
      </c>
      <c r="BQ218" s="3">
        <v>3.4802105999999999</v>
      </c>
      <c r="BR218" s="3">
        <v>3.5055518999999999</v>
      </c>
      <c r="BS218" s="3">
        <v>3.5378357</v>
      </c>
    </row>
    <row r="219" spans="1:71" x14ac:dyDescent="0.35">
      <c r="A219" s="6">
        <f t="shared" si="89"/>
        <v>45586</v>
      </c>
      <c r="B219">
        <f t="shared" si="84"/>
        <v>10</v>
      </c>
      <c r="C219">
        <f t="shared" si="85"/>
        <v>2024</v>
      </c>
      <c r="D219">
        <f t="shared" si="86"/>
        <v>202410</v>
      </c>
      <c r="E219">
        <f t="shared" si="87"/>
        <v>4</v>
      </c>
      <c r="F219">
        <f t="shared" si="88"/>
        <v>202404</v>
      </c>
      <c r="G219" t="s">
        <v>352</v>
      </c>
      <c r="H219" s="2">
        <v>5</v>
      </c>
      <c r="I219" s="2">
        <v>4.95</v>
      </c>
      <c r="J219" s="3">
        <v>4.7245473000000002</v>
      </c>
      <c r="K219" s="3">
        <v>4.6069933000000001</v>
      </c>
      <c r="L219" s="3">
        <v>4.4780540999999996</v>
      </c>
      <c r="M219" s="3">
        <v>4.3408240999999999</v>
      </c>
      <c r="N219" s="3">
        <v>4.202394</v>
      </c>
      <c r="O219" s="3">
        <v>4.0715595000000002</v>
      </c>
      <c r="P219" s="3">
        <v>3.9552244000000001</v>
      </c>
      <c r="Q219" s="3">
        <v>3.8568313000000001</v>
      </c>
      <c r="R219" s="3">
        <v>3.7775028000000002</v>
      </c>
      <c r="S219" s="3">
        <v>3.7156813</v>
      </c>
      <c r="T219" s="3">
        <v>3.6695517999999998</v>
      </c>
      <c r="U219" s="3">
        <v>3.6363628000000001</v>
      </c>
      <c r="V219" s="3">
        <v>3.6122633</v>
      </c>
      <c r="W219" s="3">
        <v>3.5953088000000002</v>
      </c>
      <c r="X219" s="3">
        <v>3.5841386000000002</v>
      </c>
      <c r="Y219" s="3">
        <v>3.5773920000000001</v>
      </c>
      <c r="Z219" s="3">
        <v>3.5737082999999998</v>
      </c>
      <c r="AA219" s="3">
        <v>3.5717267000000001</v>
      </c>
      <c r="AB219" s="3">
        <v>3.5703064000000002</v>
      </c>
      <c r="AC219" s="3">
        <v>3.5691438999999998</v>
      </c>
      <c r="AD219" s="3">
        <v>3.5681346</v>
      </c>
      <c r="AE219" s="3">
        <v>3.5671740999999999</v>
      </c>
      <c r="AF219" s="3">
        <v>3.5661581999999998</v>
      </c>
      <c r="AG219" s="3">
        <v>3.5649823</v>
      </c>
      <c r="AH219" s="3">
        <v>3.5635644000000002</v>
      </c>
      <c r="AI219" s="3">
        <v>3.5619120999999998</v>
      </c>
      <c r="AJ219" s="3">
        <v>3.5600553000000001</v>
      </c>
      <c r="AK219" s="3">
        <v>3.5580238</v>
      </c>
      <c r="AL219" s="3">
        <v>3.5558475</v>
      </c>
      <c r="AM219" s="3">
        <v>3.5535564000000002</v>
      </c>
      <c r="AN219" s="3">
        <v>3.5511803</v>
      </c>
      <c r="AO219" s="3">
        <v>3.5487491000000002</v>
      </c>
      <c r="AP219" s="3">
        <v>3.5462927999999998</v>
      </c>
      <c r="AQ219" s="3">
        <v>3.5438410999999999</v>
      </c>
      <c r="AR219" s="3">
        <v>3.5414241</v>
      </c>
      <c r="AS219" s="3">
        <v>3.5390716000000002</v>
      </c>
      <c r="AT219" s="3">
        <v>3.5368115000000002</v>
      </c>
      <c r="AU219" s="3">
        <v>3.5346628999999998</v>
      </c>
      <c r="AV219" s="3">
        <v>3.5326431999999999</v>
      </c>
      <c r="AW219" s="3">
        <v>3.5307694999999999</v>
      </c>
      <c r="AX219" s="3">
        <v>3.5290591</v>
      </c>
      <c r="AY219" s="3">
        <v>3.5275292</v>
      </c>
      <c r="AZ219" s="3">
        <v>3.5261969</v>
      </c>
      <c r="BA219" s="3">
        <v>3.5250796000000002</v>
      </c>
      <c r="BB219" s="3">
        <v>3.5241943999999998</v>
      </c>
      <c r="BC219" s="3">
        <v>3.5235585</v>
      </c>
      <c r="BD219" s="3">
        <v>3.5231891000000002</v>
      </c>
      <c r="BE219" s="3">
        <v>3.5231035999999998</v>
      </c>
      <c r="BF219" s="3">
        <v>3.523317</v>
      </c>
      <c r="BG219" s="3">
        <v>3.5238344000000001</v>
      </c>
      <c r="BH219" s="3">
        <v>3.5246571000000002</v>
      </c>
      <c r="BI219" s="3">
        <v>3.5257865000000002</v>
      </c>
      <c r="BJ219" s="3">
        <v>3.5272239999999999</v>
      </c>
      <c r="BK219" s="3">
        <v>3.5289711000000001</v>
      </c>
      <c r="BL219" s="3">
        <v>3.5310290000000002</v>
      </c>
      <c r="BM219" s="3">
        <v>3.5333991999999999</v>
      </c>
      <c r="BN219" s="3">
        <v>3.5360830999999999</v>
      </c>
      <c r="BO219" s="3">
        <v>3.5390820999999999</v>
      </c>
      <c r="BP219" s="3">
        <v>3.5423974999999999</v>
      </c>
      <c r="BQ219" s="3">
        <v>3.5460308999999999</v>
      </c>
      <c r="BR219" s="3">
        <v>3.5741995000000002</v>
      </c>
      <c r="BS219" s="3">
        <v>3.6118033999999999</v>
      </c>
    </row>
    <row r="220" spans="1:71" x14ac:dyDescent="0.35">
      <c r="A220" s="6">
        <f t="shared" si="89"/>
        <v>45587</v>
      </c>
      <c r="B220">
        <f t="shared" si="84"/>
        <v>10</v>
      </c>
      <c r="C220">
        <f t="shared" si="85"/>
        <v>2024</v>
      </c>
      <c r="D220">
        <f t="shared" si="86"/>
        <v>202410</v>
      </c>
      <c r="E220">
        <f t="shared" si="87"/>
        <v>4</v>
      </c>
      <c r="F220">
        <f t="shared" si="88"/>
        <v>202404</v>
      </c>
      <c r="G220" t="s">
        <v>353</v>
      </c>
      <c r="H220" s="2">
        <v>5</v>
      </c>
      <c r="I220" s="2">
        <v>4.95</v>
      </c>
      <c r="J220" s="3">
        <v>4.7159402999999998</v>
      </c>
      <c r="K220" s="3">
        <v>4.6058519999999996</v>
      </c>
      <c r="L220" s="3">
        <v>4.4784972999999999</v>
      </c>
      <c r="M220" s="3">
        <v>4.3411958999999998</v>
      </c>
      <c r="N220" s="3">
        <v>4.2037503000000003</v>
      </c>
      <c r="O220" s="3">
        <v>4.0749351999999996</v>
      </c>
      <c r="P220" s="3">
        <v>3.9618383000000001</v>
      </c>
      <c r="Q220" s="3">
        <v>3.8676829000000001</v>
      </c>
      <c r="R220" s="3">
        <v>3.7933059</v>
      </c>
      <c r="S220" s="3">
        <v>3.7370027000000001</v>
      </c>
      <c r="T220" s="3">
        <v>3.6965226000000002</v>
      </c>
      <c r="U220" s="3">
        <v>3.6687145000000001</v>
      </c>
      <c r="V220" s="3">
        <v>3.6490209999999998</v>
      </c>
      <c r="W220" s="3">
        <v>3.6354342000000002</v>
      </c>
      <c r="X220" s="3">
        <v>3.6267184000000001</v>
      </c>
      <c r="Y220" s="3">
        <v>3.6216376000000001</v>
      </c>
      <c r="Z220" s="3">
        <v>3.6189562</v>
      </c>
      <c r="AA220" s="3">
        <v>3.6174382999999999</v>
      </c>
      <c r="AB220" s="3">
        <v>3.6160586000000001</v>
      </c>
      <c r="AC220" s="3">
        <v>3.6145931</v>
      </c>
      <c r="AD220" s="3">
        <v>3.6130084</v>
      </c>
      <c r="AE220" s="3">
        <v>3.6112714000000001</v>
      </c>
      <c r="AF220" s="3">
        <v>3.6093486000000001</v>
      </c>
      <c r="AG220" s="3">
        <v>3.6072068000000002</v>
      </c>
      <c r="AH220" s="3">
        <v>3.6048235000000002</v>
      </c>
      <c r="AI220" s="3">
        <v>3.6022194000000001</v>
      </c>
      <c r="AJ220" s="3">
        <v>3.5994261999999999</v>
      </c>
      <c r="AK220" s="3">
        <v>3.5964754000000001</v>
      </c>
      <c r="AL220" s="3">
        <v>3.5933986</v>
      </c>
      <c r="AM220" s="3">
        <v>3.5902273</v>
      </c>
      <c r="AN220" s="3">
        <v>3.5869930999999999</v>
      </c>
      <c r="AO220" s="3">
        <v>3.5837276999999998</v>
      </c>
      <c r="AP220" s="3">
        <v>3.5804624999999999</v>
      </c>
      <c r="AQ220" s="3">
        <v>3.5772290999999998</v>
      </c>
      <c r="AR220" s="3">
        <v>3.5740590999999999</v>
      </c>
      <c r="AS220" s="3">
        <v>3.5709841</v>
      </c>
      <c r="AT220" s="3">
        <v>3.5680334</v>
      </c>
      <c r="AU220" s="3">
        <v>3.5652276000000001</v>
      </c>
      <c r="AV220" s="3">
        <v>3.5625848000000002</v>
      </c>
      <c r="AW220" s="3">
        <v>3.5601234000000002</v>
      </c>
      <c r="AX220" s="3">
        <v>3.5578617000000001</v>
      </c>
      <c r="AY220" s="3">
        <v>3.5558177999999998</v>
      </c>
      <c r="AZ220" s="3">
        <v>3.5540101000000002</v>
      </c>
      <c r="BA220" s="3">
        <v>3.5524569000000001</v>
      </c>
      <c r="BB220" s="3">
        <v>3.5511764000000001</v>
      </c>
      <c r="BC220" s="3">
        <v>3.5501868000000001</v>
      </c>
      <c r="BD220" s="3">
        <v>3.5495066</v>
      </c>
      <c r="BE220" s="3">
        <v>3.5491538</v>
      </c>
      <c r="BF220" s="3">
        <v>3.5491440999999999</v>
      </c>
      <c r="BG220" s="3">
        <v>3.5494786999999999</v>
      </c>
      <c r="BH220" s="3">
        <v>3.5501550000000002</v>
      </c>
      <c r="BI220" s="3">
        <v>3.5511701000000002</v>
      </c>
      <c r="BJ220" s="3">
        <v>3.5525213999999998</v>
      </c>
      <c r="BK220" s="3">
        <v>3.5542061</v>
      </c>
      <c r="BL220" s="3">
        <v>3.5562212999999998</v>
      </c>
      <c r="BM220" s="3">
        <v>3.5585643</v>
      </c>
      <c r="BN220" s="3">
        <v>3.5612324000000002</v>
      </c>
      <c r="BO220" s="3">
        <v>3.5642228</v>
      </c>
      <c r="BP220" s="3">
        <v>3.5675327000000001</v>
      </c>
      <c r="BQ220" s="3">
        <v>3.5711594</v>
      </c>
      <c r="BR220" s="3">
        <v>3.5991246000000001</v>
      </c>
      <c r="BS220" s="3">
        <v>3.6360266000000001</v>
      </c>
    </row>
    <row r="221" spans="1:71" x14ac:dyDescent="0.35">
      <c r="A221" s="6">
        <f t="shared" si="89"/>
        <v>45588</v>
      </c>
      <c r="B221">
        <f t="shared" si="84"/>
        <v>10</v>
      </c>
      <c r="C221">
        <f t="shared" si="85"/>
        <v>2024</v>
      </c>
      <c r="D221">
        <f t="shared" si="86"/>
        <v>202410</v>
      </c>
      <c r="E221">
        <f t="shared" si="87"/>
        <v>4</v>
      </c>
      <c r="F221">
        <f t="shared" si="88"/>
        <v>202404</v>
      </c>
      <c r="G221" t="s">
        <v>354</v>
      </c>
      <c r="H221" s="2">
        <v>5</v>
      </c>
      <c r="I221" s="2">
        <v>4.95</v>
      </c>
      <c r="J221" s="3">
        <v>4.7066382999999998</v>
      </c>
      <c r="K221" s="3">
        <v>4.6034616000000002</v>
      </c>
      <c r="L221" s="3">
        <v>4.4767190000000001</v>
      </c>
      <c r="M221" s="3">
        <v>4.3384223000000004</v>
      </c>
      <c r="N221" s="3">
        <v>4.2008419000000004</v>
      </c>
      <c r="O221" s="3">
        <v>4.0734887000000004</v>
      </c>
      <c r="P221" s="3">
        <v>3.9631634</v>
      </c>
      <c r="Q221" s="3">
        <v>3.8728351999999999</v>
      </c>
      <c r="R221" s="3">
        <v>3.8026984000000001</v>
      </c>
      <c r="S221" s="3">
        <v>3.7511695</v>
      </c>
      <c r="T221" s="3">
        <v>3.7152058000000001</v>
      </c>
      <c r="U221" s="3">
        <v>3.6920215000000001</v>
      </c>
      <c r="V221" s="3">
        <v>3.6769324000000001</v>
      </c>
      <c r="W221" s="3">
        <v>3.6677938000000001</v>
      </c>
      <c r="X221" s="3">
        <v>3.6633035999999999</v>
      </c>
      <c r="Y221" s="3">
        <v>3.6621597000000001</v>
      </c>
      <c r="Z221" s="3">
        <v>3.6630598999999999</v>
      </c>
      <c r="AA221" s="3">
        <v>3.6647021</v>
      </c>
      <c r="AB221" s="3">
        <v>3.6660126000000002</v>
      </c>
      <c r="AC221" s="3">
        <v>3.6667874999999999</v>
      </c>
      <c r="AD221" s="3">
        <v>3.6670297000000001</v>
      </c>
      <c r="AE221" s="3">
        <v>3.6667421</v>
      </c>
      <c r="AF221" s="3">
        <v>3.6659278</v>
      </c>
      <c r="AG221" s="3">
        <v>3.6645897000000001</v>
      </c>
      <c r="AH221" s="3">
        <v>3.6627410999999999</v>
      </c>
      <c r="AI221" s="3">
        <v>3.6604361000000001</v>
      </c>
      <c r="AJ221" s="3">
        <v>3.6577394999999999</v>
      </c>
      <c r="AK221" s="3">
        <v>3.6547158</v>
      </c>
      <c r="AL221" s="3">
        <v>3.6514294</v>
      </c>
      <c r="AM221" s="3">
        <v>3.6479450999999998</v>
      </c>
      <c r="AN221" s="3">
        <v>3.6443273</v>
      </c>
      <c r="AO221" s="3">
        <v>3.6406405999999998</v>
      </c>
      <c r="AP221" s="3">
        <v>3.6369495999999999</v>
      </c>
      <c r="AQ221" s="3">
        <v>3.6333188000000001</v>
      </c>
      <c r="AR221" s="3">
        <v>3.6298127999999998</v>
      </c>
      <c r="AS221" s="3">
        <v>3.6264960999999998</v>
      </c>
      <c r="AT221" s="3">
        <v>3.6234256</v>
      </c>
      <c r="AU221" s="3">
        <v>3.6206201</v>
      </c>
      <c r="AV221" s="3">
        <v>3.6180872000000002</v>
      </c>
      <c r="AW221" s="3">
        <v>3.6158340999999998</v>
      </c>
      <c r="AX221" s="3">
        <v>3.6138683999999999</v>
      </c>
      <c r="AY221" s="3">
        <v>3.6121973999999999</v>
      </c>
      <c r="AZ221" s="3">
        <v>3.6108285000000002</v>
      </c>
      <c r="BA221" s="3">
        <v>3.6097690999999998</v>
      </c>
      <c r="BB221" s="3">
        <v>3.6090266999999998</v>
      </c>
      <c r="BC221" s="3">
        <v>3.6086087</v>
      </c>
      <c r="BD221" s="3">
        <v>3.6085224999999999</v>
      </c>
      <c r="BE221" s="3">
        <v>3.6087753999999999</v>
      </c>
      <c r="BF221" s="3">
        <v>3.6093725999999999</v>
      </c>
      <c r="BG221" s="3">
        <v>3.6103086000000002</v>
      </c>
      <c r="BH221" s="3">
        <v>3.6115753000000002</v>
      </c>
      <c r="BI221" s="3">
        <v>3.6131644000000001</v>
      </c>
      <c r="BJ221" s="3">
        <v>3.6150676000000002</v>
      </c>
      <c r="BK221" s="3">
        <v>3.6172768</v>
      </c>
      <c r="BL221" s="3">
        <v>3.6197835999999999</v>
      </c>
      <c r="BM221" s="3">
        <v>3.6225798999999999</v>
      </c>
      <c r="BN221" s="3">
        <v>3.6256572999999999</v>
      </c>
      <c r="BO221" s="3">
        <v>3.6290076999999998</v>
      </c>
      <c r="BP221" s="3">
        <v>3.6326228</v>
      </c>
      <c r="BQ221" s="3">
        <v>3.6364944000000001</v>
      </c>
      <c r="BR221" s="3">
        <v>3.6646405</v>
      </c>
      <c r="BS221" s="3">
        <v>3.6998953999999999</v>
      </c>
    </row>
    <row r="222" spans="1:71" x14ac:dyDescent="0.35">
      <c r="A222" s="6">
        <f t="shared" si="89"/>
        <v>45589</v>
      </c>
      <c r="B222">
        <f t="shared" si="84"/>
        <v>10</v>
      </c>
      <c r="C222">
        <f t="shared" si="85"/>
        <v>2024</v>
      </c>
      <c r="D222">
        <f t="shared" si="86"/>
        <v>202410</v>
      </c>
      <c r="E222">
        <f t="shared" si="87"/>
        <v>4</v>
      </c>
      <c r="F222">
        <f t="shared" si="88"/>
        <v>202404</v>
      </c>
      <c r="G222" t="s">
        <v>355</v>
      </c>
      <c r="H222" s="2">
        <v>5</v>
      </c>
      <c r="I222" s="2">
        <v>4.95</v>
      </c>
      <c r="J222" s="3">
        <v>4.7055673000000002</v>
      </c>
      <c r="K222" s="3">
        <v>4.6146925999999997</v>
      </c>
      <c r="L222" s="3">
        <v>4.4929687999999999</v>
      </c>
      <c r="M222" s="3">
        <v>4.3555884000000002</v>
      </c>
      <c r="N222" s="3">
        <v>4.2185594999999996</v>
      </c>
      <c r="O222" s="3">
        <v>4.0932519999999997</v>
      </c>
      <c r="P222" s="3">
        <v>3.9865325</v>
      </c>
      <c r="Q222" s="3">
        <v>3.9008726</v>
      </c>
      <c r="R222" s="3">
        <v>3.8356792</v>
      </c>
      <c r="S222" s="3">
        <v>3.7887550999999999</v>
      </c>
      <c r="T222" s="3">
        <v>3.7568161</v>
      </c>
      <c r="U222" s="3">
        <v>3.7367029</v>
      </c>
      <c r="V222" s="3">
        <v>3.7238484000000001</v>
      </c>
      <c r="W222" s="3">
        <v>3.7161906</v>
      </c>
      <c r="X222" s="3">
        <v>3.7124559000000001</v>
      </c>
      <c r="Y222" s="3">
        <v>3.7113705000000001</v>
      </c>
      <c r="Z222" s="3">
        <v>3.7116609999999999</v>
      </c>
      <c r="AA222" s="3">
        <v>3.7120536</v>
      </c>
      <c r="AB222" s="3">
        <v>3.711522</v>
      </c>
      <c r="AC222" s="3">
        <v>3.709981</v>
      </c>
      <c r="AD222" s="3">
        <v>3.7075695999999998</v>
      </c>
      <c r="AE222" s="3">
        <v>3.7044266000000001</v>
      </c>
      <c r="AF222" s="3">
        <v>3.7006907999999998</v>
      </c>
      <c r="AG222" s="3">
        <v>3.6965013</v>
      </c>
      <c r="AH222" s="3">
        <v>3.6919862999999999</v>
      </c>
      <c r="AI222" s="3">
        <v>3.6872224</v>
      </c>
      <c r="AJ222" s="3">
        <v>3.6822702999999999</v>
      </c>
      <c r="AK222" s="3">
        <v>3.6771908999999998</v>
      </c>
      <c r="AL222" s="3">
        <v>3.6720449999999998</v>
      </c>
      <c r="AM222" s="3">
        <v>3.6668935</v>
      </c>
      <c r="AN222" s="3">
        <v>3.6617972000000001</v>
      </c>
      <c r="AO222" s="3">
        <v>3.6568168000000001</v>
      </c>
      <c r="AP222" s="3">
        <v>3.6520131999999998</v>
      </c>
      <c r="AQ222" s="3">
        <v>3.6474473000000001</v>
      </c>
      <c r="AR222" s="3">
        <v>3.6431798</v>
      </c>
      <c r="AS222" s="3">
        <v>3.6392715999999998</v>
      </c>
      <c r="AT222" s="3">
        <v>3.6357727999999998</v>
      </c>
      <c r="AU222" s="3">
        <v>3.6326865000000002</v>
      </c>
      <c r="AV222" s="3">
        <v>3.6300026999999999</v>
      </c>
      <c r="AW222" s="3">
        <v>3.6277115000000002</v>
      </c>
      <c r="AX222" s="3">
        <v>3.6258028000000002</v>
      </c>
      <c r="AY222" s="3">
        <v>3.6242668999999998</v>
      </c>
      <c r="AZ222" s="3">
        <v>3.6230935999999998</v>
      </c>
      <c r="BA222" s="3">
        <v>3.6222731000000001</v>
      </c>
      <c r="BB222" s="3">
        <v>3.6217953000000001</v>
      </c>
      <c r="BC222" s="3">
        <v>3.6216504</v>
      </c>
      <c r="BD222" s="3">
        <v>3.6218284000000001</v>
      </c>
      <c r="BE222" s="3">
        <v>3.6223193</v>
      </c>
      <c r="BF222" s="3">
        <v>3.6231135999999999</v>
      </c>
      <c r="BG222" s="3">
        <v>3.6242033999999999</v>
      </c>
      <c r="BH222" s="3">
        <v>3.6255815</v>
      </c>
      <c r="BI222" s="3">
        <v>3.6272405999999999</v>
      </c>
      <c r="BJ222" s="3">
        <v>3.6291731999999999</v>
      </c>
      <c r="BK222" s="3">
        <v>3.6313721000000001</v>
      </c>
      <c r="BL222" s="3">
        <v>3.6338298999999998</v>
      </c>
      <c r="BM222" s="3">
        <v>3.6365394000000002</v>
      </c>
      <c r="BN222" s="3">
        <v>3.6394931000000001</v>
      </c>
      <c r="BO222" s="3">
        <v>3.6426839000000002</v>
      </c>
      <c r="BP222" s="3">
        <v>3.6461043000000002</v>
      </c>
      <c r="BQ222" s="3">
        <v>3.6497470999999999</v>
      </c>
      <c r="BR222" s="3">
        <v>3.6759314999999999</v>
      </c>
      <c r="BS222" s="3">
        <v>3.7086923000000001</v>
      </c>
    </row>
    <row r="223" spans="1:71" x14ac:dyDescent="0.35">
      <c r="A223" s="6">
        <f t="shared" si="89"/>
        <v>45590</v>
      </c>
      <c r="B223">
        <f t="shared" si="84"/>
        <v>10</v>
      </c>
      <c r="C223">
        <f t="shared" si="85"/>
        <v>2024</v>
      </c>
      <c r="D223">
        <f t="shared" si="86"/>
        <v>202410</v>
      </c>
      <c r="E223">
        <f t="shared" si="87"/>
        <v>4</v>
      </c>
      <c r="F223">
        <f t="shared" si="88"/>
        <v>202404</v>
      </c>
      <c r="G223" t="s">
        <v>356</v>
      </c>
      <c r="H223" s="2">
        <v>5</v>
      </c>
      <c r="I223" s="2">
        <v>4.95</v>
      </c>
      <c r="J223" s="3">
        <v>4.7016819999999999</v>
      </c>
      <c r="K223" s="3">
        <v>4.6140873999999998</v>
      </c>
      <c r="L223" s="3">
        <v>4.4960633999999997</v>
      </c>
      <c r="M223" s="3">
        <v>4.3606875</v>
      </c>
      <c r="N223" s="3">
        <v>4.2255415000000003</v>
      </c>
      <c r="O223" s="3">
        <v>4.1028219000000004</v>
      </c>
      <c r="P223" s="3">
        <v>3.9995919999999998</v>
      </c>
      <c r="Q223" s="3">
        <v>3.9182215999999999</v>
      </c>
      <c r="R223" s="3">
        <v>3.8576215999999999</v>
      </c>
      <c r="S223" s="3">
        <v>3.8150772000000002</v>
      </c>
      <c r="T223" s="3">
        <v>3.7871141000000001</v>
      </c>
      <c r="U223" s="3">
        <v>3.7700504000000001</v>
      </c>
      <c r="V223" s="3">
        <v>3.7585446</v>
      </c>
      <c r="W223" s="3">
        <v>3.7505639</v>
      </c>
      <c r="X223" s="3">
        <v>3.7452909999999999</v>
      </c>
      <c r="Y223" s="3">
        <v>3.7419091999999998</v>
      </c>
      <c r="Z223" s="3">
        <v>3.7396017000000001</v>
      </c>
      <c r="AA223" s="3">
        <v>3.7375516000000002</v>
      </c>
      <c r="AB223" s="3">
        <v>3.7350756999999999</v>
      </c>
      <c r="AC223" s="3">
        <v>3.7321114</v>
      </c>
      <c r="AD223" s="3">
        <v>3.7287754</v>
      </c>
      <c r="AE223" s="3">
        <v>3.7251846999999998</v>
      </c>
      <c r="AF223" s="3">
        <v>3.7214562</v>
      </c>
      <c r="AG223" s="3">
        <v>3.7177068000000002</v>
      </c>
      <c r="AH223" s="3">
        <v>3.7140358999999998</v>
      </c>
      <c r="AI223" s="3">
        <v>3.7104658000000001</v>
      </c>
      <c r="AJ223" s="3">
        <v>3.7069972999999998</v>
      </c>
      <c r="AK223" s="3">
        <v>3.7036315000000002</v>
      </c>
      <c r="AL223" s="3">
        <v>3.7003691999999999</v>
      </c>
      <c r="AM223" s="3">
        <v>3.6972114</v>
      </c>
      <c r="AN223" s="3">
        <v>3.694159</v>
      </c>
      <c r="AO223" s="3">
        <v>3.6912129999999999</v>
      </c>
      <c r="AP223" s="3">
        <v>3.6883742000000002</v>
      </c>
      <c r="AQ223" s="3">
        <v>3.6856437</v>
      </c>
      <c r="AR223" s="3">
        <v>3.6830223000000002</v>
      </c>
      <c r="AS223" s="3">
        <v>3.6805110000000001</v>
      </c>
      <c r="AT223" s="3">
        <v>3.6781117000000001</v>
      </c>
      <c r="AU223" s="3">
        <v>3.6758305</v>
      </c>
      <c r="AV223" s="3">
        <v>3.6736745000000002</v>
      </c>
      <c r="AW223" s="3">
        <v>3.6716508000000001</v>
      </c>
      <c r="AX223" s="3">
        <v>3.6697663999999999</v>
      </c>
      <c r="AY223" s="3">
        <v>3.6680285000000001</v>
      </c>
      <c r="AZ223" s="3">
        <v>3.6664441000000001</v>
      </c>
      <c r="BA223" s="3">
        <v>3.6650203000000001</v>
      </c>
      <c r="BB223" s="3">
        <v>3.6637642000000001</v>
      </c>
      <c r="BC223" s="3">
        <v>3.6626829000000001</v>
      </c>
      <c r="BD223" s="3">
        <v>3.6617834</v>
      </c>
      <c r="BE223" s="3">
        <v>3.6610729000000002</v>
      </c>
      <c r="BF223" s="3">
        <v>3.6605579000000001</v>
      </c>
      <c r="BG223" s="3">
        <v>3.6602429999999999</v>
      </c>
      <c r="BH223" s="3">
        <v>3.6601322999999999</v>
      </c>
      <c r="BI223" s="3">
        <v>3.6602294999999998</v>
      </c>
      <c r="BJ223" s="3">
        <v>3.6605387999999999</v>
      </c>
      <c r="BK223" s="3">
        <v>3.6610640000000001</v>
      </c>
      <c r="BL223" s="3">
        <v>3.6618091000000002</v>
      </c>
      <c r="BM223" s="3">
        <v>3.6627782</v>
      </c>
      <c r="BN223" s="3">
        <v>3.6639751999999999</v>
      </c>
      <c r="BO223" s="3">
        <v>3.6654038999999998</v>
      </c>
      <c r="BP223" s="3">
        <v>3.6670685000000001</v>
      </c>
      <c r="BQ223" s="3">
        <v>3.6689729</v>
      </c>
      <c r="BR223" s="3">
        <v>3.6854114</v>
      </c>
      <c r="BS223" s="3">
        <v>3.7099934000000001</v>
      </c>
    </row>
    <row r="224" spans="1:71" x14ac:dyDescent="0.35">
      <c r="A224" s="6">
        <f t="shared" si="89"/>
        <v>45593</v>
      </c>
      <c r="B224">
        <f t="shared" si="84"/>
        <v>10</v>
      </c>
      <c r="C224">
        <f t="shared" si="85"/>
        <v>2024</v>
      </c>
      <c r="D224">
        <f t="shared" si="86"/>
        <v>202410</v>
      </c>
      <c r="E224">
        <f t="shared" si="87"/>
        <v>4</v>
      </c>
      <c r="F224">
        <f t="shared" si="88"/>
        <v>202404</v>
      </c>
      <c r="G224" t="s">
        <v>357</v>
      </c>
      <c r="H224" s="2">
        <v>5</v>
      </c>
      <c r="I224" s="2">
        <v>4.95</v>
      </c>
      <c r="J224" s="3">
        <v>4.6984513000000003</v>
      </c>
      <c r="K224" s="3">
        <v>4.5988992</v>
      </c>
      <c r="L224" s="3">
        <v>4.4753106999999996</v>
      </c>
      <c r="M224" s="3">
        <v>4.3390921999999996</v>
      </c>
      <c r="N224" s="3">
        <v>4.2061035999999996</v>
      </c>
      <c r="O224" s="3">
        <v>4.0868693</v>
      </c>
      <c r="P224" s="3">
        <v>3.9875142000000001</v>
      </c>
      <c r="Q224" s="3">
        <v>3.9097724</v>
      </c>
      <c r="R224" s="3">
        <v>3.8528937000000001</v>
      </c>
      <c r="S224" s="3">
        <v>3.8137229000000001</v>
      </c>
      <c r="T224" s="3">
        <v>3.7891952999999998</v>
      </c>
      <c r="U224" s="3">
        <v>3.7755941000000002</v>
      </c>
      <c r="V224" s="3">
        <v>3.7681868999999999</v>
      </c>
      <c r="W224" s="3">
        <v>3.7650583000000002</v>
      </c>
      <c r="X224" s="3">
        <v>3.7651208</v>
      </c>
      <c r="Y224" s="3">
        <v>3.7672865999999998</v>
      </c>
      <c r="Z224" s="3">
        <v>3.7704683999999999</v>
      </c>
      <c r="AA224" s="3">
        <v>3.7735783999999999</v>
      </c>
      <c r="AB224" s="3">
        <v>3.7757371000000002</v>
      </c>
      <c r="AC224" s="3">
        <v>3.7768565000000001</v>
      </c>
      <c r="AD224" s="3">
        <v>3.7770370999999998</v>
      </c>
      <c r="AE224" s="3">
        <v>3.7763794000000002</v>
      </c>
      <c r="AF224" s="3">
        <v>3.7749836999999999</v>
      </c>
      <c r="AG224" s="3">
        <v>3.7729507</v>
      </c>
      <c r="AH224" s="3">
        <v>3.7703728000000001</v>
      </c>
      <c r="AI224" s="3">
        <v>3.7673109999999999</v>
      </c>
      <c r="AJ224" s="3">
        <v>3.7638185000000002</v>
      </c>
      <c r="AK224" s="3">
        <v>3.7599483999999999</v>
      </c>
      <c r="AL224" s="3">
        <v>3.7557537000000001</v>
      </c>
      <c r="AM224" s="3">
        <v>3.7512875999999999</v>
      </c>
      <c r="AN224" s="3">
        <v>3.7466032</v>
      </c>
      <c r="AO224" s="3">
        <v>3.7417535000000002</v>
      </c>
      <c r="AP224" s="3">
        <v>3.7367918000000002</v>
      </c>
      <c r="AQ224" s="3">
        <v>3.7317710000000002</v>
      </c>
      <c r="AR224" s="3">
        <v>3.7267443</v>
      </c>
      <c r="AS224" s="3">
        <v>3.7217649000000002</v>
      </c>
      <c r="AT224" s="3">
        <v>3.7168798000000001</v>
      </c>
      <c r="AU224" s="3">
        <v>3.7121132000000001</v>
      </c>
      <c r="AV224" s="3">
        <v>3.7074828000000002</v>
      </c>
      <c r="AW224" s="3">
        <v>3.7030069000000001</v>
      </c>
      <c r="AX224" s="3">
        <v>3.6987033999999999</v>
      </c>
      <c r="AY224" s="3">
        <v>3.6945903000000002</v>
      </c>
      <c r="AZ224" s="3">
        <v>3.6906857</v>
      </c>
      <c r="BA224" s="3">
        <v>3.6870075</v>
      </c>
      <c r="BB224" s="3">
        <v>3.6835738999999998</v>
      </c>
      <c r="BC224" s="3">
        <v>3.6804028</v>
      </c>
      <c r="BD224" s="3">
        <v>3.6775123000000001</v>
      </c>
      <c r="BE224" s="3">
        <v>3.6749204</v>
      </c>
      <c r="BF224" s="3">
        <v>3.6726432</v>
      </c>
      <c r="BG224" s="3">
        <v>3.6706865</v>
      </c>
      <c r="BH224" s="3">
        <v>3.6690527999999998</v>
      </c>
      <c r="BI224" s="3">
        <v>3.6677444000000001</v>
      </c>
      <c r="BJ224" s="3">
        <v>3.6667637000000002</v>
      </c>
      <c r="BK224" s="3">
        <v>3.6661131</v>
      </c>
      <c r="BL224" s="3">
        <v>3.6657951</v>
      </c>
      <c r="BM224" s="3">
        <v>3.6658118000000002</v>
      </c>
      <c r="BN224" s="3">
        <v>3.6661659000000002</v>
      </c>
      <c r="BO224" s="3">
        <v>3.6668596</v>
      </c>
      <c r="BP224" s="3">
        <v>3.6678953999999999</v>
      </c>
      <c r="BQ224" s="3">
        <v>3.6692756000000002</v>
      </c>
      <c r="BR224" s="3">
        <v>3.6845306999999998</v>
      </c>
      <c r="BS224" s="3">
        <v>3.7103763000000001</v>
      </c>
    </row>
    <row r="225" spans="1:71" x14ac:dyDescent="0.35">
      <c r="A225" s="6">
        <f t="shared" si="89"/>
        <v>45594</v>
      </c>
      <c r="B225">
        <f t="shared" si="84"/>
        <v>10</v>
      </c>
      <c r="C225">
        <f t="shared" si="85"/>
        <v>2024</v>
      </c>
      <c r="D225">
        <f t="shared" si="86"/>
        <v>202410</v>
      </c>
      <c r="E225">
        <f t="shared" si="87"/>
        <v>4</v>
      </c>
      <c r="F225">
        <f t="shared" si="88"/>
        <v>202404</v>
      </c>
      <c r="G225" t="s">
        <v>358</v>
      </c>
      <c r="H225" s="2">
        <v>5</v>
      </c>
      <c r="I225" s="2">
        <v>4.95</v>
      </c>
      <c r="J225" s="3">
        <v>4.7010619</v>
      </c>
      <c r="K225" s="3">
        <v>4.6042869</v>
      </c>
      <c r="L225" s="3">
        <v>4.4848790000000003</v>
      </c>
      <c r="M225" s="3">
        <v>4.3523008000000001</v>
      </c>
      <c r="N225" s="3">
        <v>4.2233454999999998</v>
      </c>
      <c r="O225" s="3">
        <v>4.1088538000000003</v>
      </c>
      <c r="P225" s="3">
        <v>4.014894</v>
      </c>
      <c r="Q225" s="3">
        <v>3.9426329</v>
      </c>
      <c r="R225" s="3">
        <v>3.8908420000000001</v>
      </c>
      <c r="S225" s="3">
        <v>3.8563930000000002</v>
      </c>
      <c r="T225" s="3">
        <v>3.8361277</v>
      </c>
      <c r="U225" s="3">
        <v>3.8263493999999998</v>
      </c>
      <c r="V225" s="3">
        <v>3.8220991</v>
      </c>
      <c r="W225" s="3">
        <v>3.8214437999999999</v>
      </c>
      <c r="X225" s="3">
        <v>3.8233456000000001</v>
      </c>
      <c r="Y225" s="3">
        <v>3.8267660999999999</v>
      </c>
      <c r="Z225" s="3">
        <v>3.8306673999999998</v>
      </c>
      <c r="AA225" s="3">
        <v>3.8340112999999998</v>
      </c>
      <c r="AB225" s="3">
        <v>3.8359728</v>
      </c>
      <c r="AC225" s="3">
        <v>3.836538</v>
      </c>
      <c r="AD225" s="3">
        <v>3.8358859999999999</v>
      </c>
      <c r="AE225" s="3">
        <v>3.8341961000000002</v>
      </c>
      <c r="AF225" s="3">
        <v>3.8316474</v>
      </c>
      <c r="AG225" s="3">
        <v>3.8284191999999999</v>
      </c>
      <c r="AH225" s="3">
        <v>3.8246698000000001</v>
      </c>
      <c r="AI225" s="3">
        <v>3.8204739000000001</v>
      </c>
      <c r="AJ225" s="3">
        <v>3.8158856000000001</v>
      </c>
      <c r="AK225" s="3">
        <v>3.8109587999999999</v>
      </c>
      <c r="AL225" s="3">
        <v>3.8057476000000001</v>
      </c>
      <c r="AM225" s="3">
        <v>3.8003059000000001</v>
      </c>
      <c r="AN225" s="3">
        <v>3.7946876999999999</v>
      </c>
      <c r="AO225" s="3">
        <v>3.7889469</v>
      </c>
      <c r="AP225" s="3">
        <v>3.7831375999999999</v>
      </c>
      <c r="AQ225" s="3">
        <v>3.7773137999999999</v>
      </c>
      <c r="AR225" s="3">
        <v>3.7715293000000001</v>
      </c>
      <c r="AS225" s="3">
        <v>3.7658382000000001</v>
      </c>
      <c r="AT225" s="3">
        <v>3.7602886</v>
      </c>
      <c r="AU225" s="3">
        <v>3.7549052000000001</v>
      </c>
      <c r="AV225" s="3">
        <v>3.7497069999999999</v>
      </c>
      <c r="AW225" s="3">
        <v>3.7447129000000001</v>
      </c>
      <c r="AX225" s="3">
        <v>3.7399417000000001</v>
      </c>
      <c r="AY225" s="3">
        <v>3.7354123000000001</v>
      </c>
      <c r="AZ225" s="3">
        <v>3.7311437000000001</v>
      </c>
      <c r="BA225" s="3">
        <v>3.7271546</v>
      </c>
      <c r="BB225" s="3">
        <v>3.7234641000000002</v>
      </c>
      <c r="BC225" s="3">
        <v>3.720091</v>
      </c>
      <c r="BD225" s="3">
        <v>3.7170542000000002</v>
      </c>
      <c r="BE225" s="3">
        <v>3.7143725999999999</v>
      </c>
      <c r="BF225" s="3">
        <v>3.7120622000000001</v>
      </c>
      <c r="BG225" s="3">
        <v>3.7101253999999999</v>
      </c>
      <c r="BH225" s="3">
        <v>3.7085599</v>
      </c>
      <c r="BI225" s="3">
        <v>3.7073638999999998</v>
      </c>
      <c r="BJ225" s="3">
        <v>3.7065353000000001</v>
      </c>
      <c r="BK225" s="3">
        <v>3.7060721999999999</v>
      </c>
      <c r="BL225" s="3">
        <v>3.7059725000000001</v>
      </c>
      <c r="BM225" s="3">
        <v>3.7062341000000001</v>
      </c>
      <c r="BN225" s="3">
        <v>3.7068552000000001</v>
      </c>
      <c r="BO225" s="3">
        <v>3.7078335999999998</v>
      </c>
      <c r="BP225" s="3">
        <v>3.7091674000000001</v>
      </c>
      <c r="BQ225" s="3">
        <v>3.7108545999999998</v>
      </c>
      <c r="BR225" s="3">
        <v>3.7279203999999999</v>
      </c>
      <c r="BS225" s="3">
        <v>3.7549838000000002</v>
      </c>
    </row>
    <row r="226" spans="1:71" x14ac:dyDescent="0.35">
      <c r="A226" s="6">
        <f t="shared" si="89"/>
        <v>45595</v>
      </c>
      <c r="B226">
        <f t="shared" si="84"/>
        <v>10</v>
      </c>
      <c r="C226">
        <f t="shared" si="85"/>
        <v>2024</v>
      </c>
      <c r="D226">
        <f t="shared" si="86"/>
        <v>202410</v>
      </c>
      <c r="E226">
        <f t="shared" si="87"/>
        <v>4</v>
      </c>
      <c r="F226">
        <f t="shared" si="88"/>
        <v>202404</v>
      </c>
      <c r="G226" t="s">
        <v>359</v>
      </c>
      <c r="H226" s="2">
        <v>5</v>
      </c>
      <c r="I226" s="2">
        <v>4.95</v>
      </c>
      <c r="J226" s="3">
        <v>4.7231940999999997</v>
      </c>
      <c r="K226" s="3">
        <v>4.6544007000000001</v>
      </c>
      <c r="L226" s="3">
        <v>4.5647639</v>
      </c>
      <c r="M226" s="3">
        <v>4.4601894</v>
      </c>
      <c r="N226" s="3">
        <v>4.3551672999999997</v>
      </c>
      <c r="O226" s="3">
        <v>4.2597997999999997</v>
      </c>
      <c r="P226" s="3">
        <v>4.1796031999999999</v>
      </c>
      <c r="Q226" s="3">
        <v>4.1164084000000001</v>
      </c>
      <c r="R226" s="3">
        <v>4.0694730000000003</v>
      </c>
      <c r="S226" s="3">
        <v>4.0367182000000001</v>
      </c>
      <c r="T226" s="3">
        <v>4.0153527000000002</v>
      </c>
      <c r="U226" s="3">
        <v>4.0026552000000004</v>
      </c>
      <c r="V226" s="3">
        <v>3.9942120999999999</v>
      </c>
      <c r="W226" s="3">
        <v>3.9883538999999999</v>
      </c>
      <c r="X226" s="3">
        <v>3.9842811999999999</v>
      </c>
      <c r="Y226" s="3">
        <v>3.9811950999999999</v>
      </c>
      <c r="Z226" s="3">
        <v>3.9782964000000001</v>
      </c>
      <c r="AA226" s="3">
        <v>3.9747859999999999</v>
      </c>
      <c r="AB226" s="3">
        <v>3.9700372000000002</v>
      </c>
      <c r="AC226" s="3">
        <v>3.9640802000000002</v>
      </c>
      <c r="AD226" s="3">
        <v>3.9571011</v>
      </c>
      <c r="AE226" s="3">
        <v>3.9492862999999998</v>
      </c>
      <c r="AF226" s="3">
        <v>3.9408221000000001</v>
      </c>
      <c r="AG226" s="3">
        <v>3.9318947999999998</v>
      </c>
      <c r="AH226" s="3">
        <v>3.9226695999999999</v>
      </c>
      <c r="AI226" s="3">
        <v>3.9132272000000001</v>
      </c>
      <c r="AJ226" s="3">
        <v>3.9036273000000001</v>
      </c>
      <c r="AK226" s="3">
        <v>3.8939297000000002</v>
      </c>
      <c r="AL226" s="3">
        <v>3.8841939000000001</v>
      </c>
      <c r="AM226" s="3">
        <v>3.8744795999999999</v>
      </c>
      <c r="AN226" s="3">
        <v>3.8648465000000001</v>
      </c>
      <c r="AO226" s="3">
        <v>3.8553541999999998</v>
      </c>
      <c r="AP226" s="3">
        <v>3.8460624000000001</v>
      </c>
      <c r="AQ226" s="3">
        <v>3.8370308999999998</v>
      </c>
      <c r="AR226" s="3">
        <v>3.8283190999999999</v>
      </c>
      <c r="AS226" s="3">
        <v>3.8199869</v>
      </c>
      <c r="AT226" s="3">
        <v>3.8120862999999998</v>
      </c>
      <c r="AU226" s="3">
        <v>3.8046324999999999</v>
      </c>
      <c r="AV226" s="3">
        <v>3.7976293000000001</v>
      </c>
      <c r="AW226" s="3">
        <v>3.7910808</v>
      </c>
      <c r="AX226" s="3">
        <v>3.7849908999999999</v>
      </c>
      <c r="AY226" s="3">
        <v>3.7793633999999998</v>
      </c>
      <c r="AZ226" s="3">
        <v>3.7742024000000001</v>
      </c>
      <c r="BA226" s="3">
        <v>3.7695116999999998</v>
      </c>
      <c r="BB226" s="3">
        <v>3.7652953</v>
      </c>
      <c r="BC226" s="3">
        <v>3.7615571000000001</v>
      </c>
      <c r="BD226" s="3">
        <v>3.7583009999999999</v>
      </c>
      <c r="BE226" s="3">
        <v>3.755531</v>
      </c>
      <c r="BF226" s="3">
        <v>3.7532483999999999</v>
      </c>
      <c r="BG226" s="3">
        <v>3.7514428999999998</v>
      </c>
      <c r="BH226" s="3">
        <v>3.7501009000000001</v>
      </c>
      <c r="BI226" s="3">
        <v>3.7492092000000001</v>
      </c>
      <c r="BJ226" s="3">
        <v>3.7487541000000002</v>
      </c>
      <c r="BK226" s="3">
        <v>3.7487222</v>
      </c>
      <c r="BL226" s="3">
        <v>3.7490999999999999</v>
      </c>
      <c r="BM226" s="3">
        <v>3.7498741</v>
      </c>
      <c r="BN226" s="3">
        <v>3.7510308999999999</v>
      </c>
      <c r="BO226" s="3">
        <v>3.7525569999999999</v>
      </c>
      <c r="BP226" s="3">
        <v>3.7544388999999998</v>
      </c>
      <c r="BQ226" s="3">
        <v>3.7566632000000002</v>
      </c>
      <c r="BR226" s="3">
        <v>3.7764655</v>
      </c>
      <c r="BS226" s="3">
        <v>3.8053311000000001</v>
      </c>
    </row>
    <row r="227" spans="1:71" x14ac:dyDescent="0.35">
      <c r="A227" s="6">
        <f t="shared" si="89"/>
        <v>45596</v>
      </c>
      <c r="B227">
        <f t="shared" si="84"/>
        <v>10</v>
      </c>
      <c r="C227">
        <f t="shared" si="85"/>
        <v>2024</v>
      </c>
      <c r="D227">
        <f t="shared" si="86"/>
        <v>202410</v>
      </c>
      <c r="E227">
        <f t="shared" si="87"/>
        <v>4</v>
      </c>
      <c r="F227">
        <f t="shared" si="88"/>
        <v>202404</v>
      </c>
      <c r="G227" t="s">
        <v>360</v>
      </c>
      <c r="H227" s="2">
        <v>5</v>
      </c>
      <c r="I227" s="2">
        <v>4.95</v>
      </c>
      <c r="J227" s="3">
        <v>4.7200034999999998</v>
      </c>
      <c r="K227" s="3">
        <v>4.6475023999999996</v>
      </c>
      <c r="L227" s="3">
        <v>4.5575406000000003</v>
      </c>
      <c r="M227" s="3">
        <v>4.4600391999999998</v>
      </c>
      <c r="N227" s="3">
        <v>4.3677666999999998</v>
      </c>
      <c r="O227" s="3">
        <v>4.2865887000000003</v>
      </c>
      <c r="P227" s="3">
        <v>4.2191098</v>
      </c>
      <c r="Q227" s="3">
        <v>4.1670432000000002</v>
      </c>
      <c r="R227" s="3">
        <v>4.1298751999999999</v>
      </c>
      <c r="S227" s="3">
        <v>4.1059877</v>
      </c>
      <c r="T227" s="3">
        <v>4.0926425999999996</v>
      </c>
      <c r="U227" s="3">
        <v>4.0866387</v>
      </c>
      <c r="V227" s="3">
        <v>4.0831419000000002</v>
      </c>
      <c r="W227" s="3">
        <v>4.0805252999999997</v>
      </c>
      <c r="X227" s="3">
        <v>4.0781261000000004</v>
      </c>
      <c r="Y227" s="3">
        <v>4.0752810999999998</v>
      </c>
      <c r="Z227" s="3">
        <v>4.0713273000000001</v>
      </c>
      <c r="AA227" s="3">
        <v>4.0656017000000002</v>
      </c>
      <c r="AB227" s="3">
        <v>4.0576506999999999</v>
      </c>
      <c r="AC227" s="3">
        <v>4.0477428</v>
      </c>
      <c r="AD227" s="3">
        <v>4.0363024000000003</v>
      </c>
      <c r="AE227" s="3">
        <v>4.0237539</v>
      </c>
      <c r="AF227" s="3">
        <v>4.0105215999999997</v>
      </c>
      <c r="AG227" s="3">
        <v>3.9970298999999998</v>
      </c>
      <c r="AH227" s="3">
        <v>3.9836499999999999</v>
      </c>
      <c r="AI227" s="3">
        <v>3.9704931000000001</v>
      </c>
      <c r="AJ227" s="3">
        <v>3.9575917</v>
      </c>
      <c r="AK227" s="3">
        <v>3.9449779999999999</v>
      </c>
      <c r="AL227" s="3">
        <v>3.9326843999999999</v>
      </c>
      <c r="AM227" s="3">
        <v>3.9207432</v>
      </c>
      <c r="AN227" s="3">
        <v>3.9091868999999999</v>
      </c>
      <c r="AO227" s="3">
        <v>3.8980475999999999</v>
      </c>
      <c r="AP227" s="3">
        <v>3.8873578000000002</v>
      </c>
      <c r="AQ227" s="3">
        <v>3.8771496999999999</v>
      </c>
      <c r="AR227" s="3">
        <v>3.8674558000000001</v>
      </c>
      <c r="AS227" s="3">
        <v>3.8583083</v>
      </c>
      <c r="AT227" s="3">
        <v>3.8497327000000001</v>
      </c>
      <c r="AU227" s="3">
        <v>3.8417235999999999</v>
      </c>
      <c r="AV227" s="3">
        <v>3.8342672000000002</v>
      </c>
      <c r="AW227" s="3">
        <v>3.8273497000000001</v>
      </c>
      <c r="AX227" s="3">
        <v>3.8209574000000002</v>
      </c>
      <c r="AY227" s="3">
        <v>3.8150765</v>
      </c>
      <c r="AZ227" s="3">
        <v>3.8096931000000001</v>
      </c>
      <c r="BA227" s="3">
        <v>3.8047936</v>
      </c>
      <c r="BB227" s="3">
        <v>3.8003640999999999</v>
      </c>
      <c r="BC227" s="3">
        <v>3.7963908000000002</v>
      </c>
      <c r="BD227" s="3">
        <v>3.7928598999999998</v>
      </c>
      <c r="BE227" s="3">
        <v>3.7897577</v>
      </c>
      <c r="BF227" s="3">
        <v>3.7870712000000002</v>
      </c>
      <c r="BG227" s="3">
        <v>3.7847911000000001</v>
      </c>
      <c r="BH227" s="3">
        <v>3.7829090000000001</v>
      </c>
      <c r="BI227" s="3">
        <v>3.7814166999999999</v>
      </c>
      <c r="BJ227" s="3">
        <v>3.7803057999999998</v>
      </c>
      <c r="BK227" s="3">
        <v>3.7795681000000001</v>
      </c>
      <c r="BL227" s="3">
        <v>3.7791952000000002</v>
      </c>
      <c r="BM227" s="3">
        <v>3.7791787999999999</v>
      </c>
      <c r="BN227" s="3">
        <v>3.7795106999999999</v>
      </c>
      <c r="BO227" s="3">
        <v>3.7801824000000002</v>
      </c>
      <c r="BP227" s="3">
        <v>3.7811857</v>
      </c>
      <c r="BQ227" s="3">
        <v>3.7825123</v>
      </c>
      <c r="BR227" s="3">
        <v>3.7967021000000001</v>
      </c>
      <c r="BS227" s="3">
        <v>3.8198702</v>
      </c>
    </row>
    <row r="228" spans="1:71" x14ac:dyDescent="0.35">
      <c r="A228" s="6">
        <f t="shared" si="89"/>
        <v>45597</v>
      </c>
      <c r="B228">
        <f t="shared" si="84"/>
        <v>11</v>
      </c>
      <c r="C228">
        <f t="shared" si="85"/>
        <v>2024</v>
      </c>
      <c r="D228">
        <f t="shared" si="86"/>
        <v>202411</v>
      </c>
      <c r="E228">
        <f t="shared" si="87"/>
        <v>4</v>
      </c>
      <c r="F228">
        <f t="shared" si="88"/>
        <v>202404</v>
      </c>
      <c r="G228" t="s">
        <v>361</v>
      </c>
      <c r="H228" s="2">
        <v>5</v>
      </c>
      <c r="I228" s="2">
        <v>4.95</v>
      </c>
      <c r="J228" s="3">
        <v>4.7187203999999996</v>
      </c>
      <c r="K228" s="3">
        <v>4.6535891999999999</v>
      </c>
      <c r="L228" s="3">
        <v>4.5659143999999996</v>
      </c>
      <c r="M228" s="3">
        <v>4.4656281</v>
      </c>
      <c r="N228" s="3">
        <v>4.3686562999999996</v>
      </c>
      <c r="O228" s="3">
        <v>4.2831925000000002</v>
      </c>
      <c r="P228" s="3">
        <v>4.2131486999999996</v>
      </c>
      <c r="Q228" s="3">
        <v>4.1597970000000002</v>
      </c>
      <c r="R228" s="3">
        <v>4.1216604999999999</v>
      </c>
      <c r="S228" s="3">
        <v>4.0964314000000002</v>
      </c>
      <c r="T228" s="3">
        <v>4.0810886000000002</v>
      </c>
      <c r="U228" s="3">
        <v>4.0722376999999996</v>
      </c>
      <c r="V228" s="3">
        <v>4.0650757000000004</v>
      </c>
      <c r="W228" s="3">
        <v>4.0581538000000004</v>
      </c>
      <c r="X228" s="3">
        <v>4.0512103000000002</v>
      </c>
      <c r="Y228" s="3">
        <v>4.0439835999999998</v>
      </c>
      <c r="Z228" s="3">
        <v>4.0362121000000002</v>
      </c>
      <c r="AA228" s="3">
        <v>4.0276344000000002</v>
      </c>
      <c r="AB228" s="3">
        <v>4.0180821</v>
      </c>
      <c r="AC228" s="3">
        <v>4.0077075999999998</v>
      </c>
      <c r="AD228" s="3">
        <v>3.9967329</v>
      </c>
      <c r="AE228" s="3">
        <v>3.9853798</v>
      </c>
      <c r="AF228" s="3">
        <v>3.9738701000000001</v>
      </c>
      <c r="AG228" s="3">
        <v>3.9624256999999998</v>
      </c>
      <c r="AH228" s="3">
        <v>3.9512366999999999</v>
      </c>
      <c r="AI228" s="3">
        <v>3.9403529000000002</v>
      </c>
      <c r="AJ228" s="3">
        <v>3.9297854999999999</v>
      </c>
      <c r="AK228" s="3">
        <v>3.9195456000000002</v>
      </c>
      <c r="AL228" s="3">
        <v>3.9096443999999999</v>
      </c>
      <c r="AM228" s="3">
        <v>3.9000932000000001</v>
      </c>
      <c r="AN228" s="3">
        <v>3.8909028999999999</v>
      </c>
      <c r="AO228" s="3">
        <v>3.8820849000000002</v>
      </c>
      <c r="AP228" s="3">
        <v>3.8736503</v>
      </c>
      <c r="AQ228" s="3">
        <v>3.8656103000000002</v>
      </c>
      <c r="AR228" s="3">
        <v>3.8579759999999998</v>
      </c>
      <c r="AS228" s="3">
        <v>3.8507585999999998</v>
      </c>
      <c r="AT228" s="3">
        <v>3.8439667000000002</v>
      </c>
      <c r="AU228" s="3">
        <v>3.837599</v>
      </c>
      <c r="AV228" s="3">
        <v>3.8316515</v>
      </c>
      <c r="AW228" s="3">
        <v>3.8261202000000001</v>
      </c>
      <c r="AX228" s="3">
        <v>3.8210014000000001</v>
      </c>
      <c r="AY228" s="3">
        <v>3.8162910000000001</v>
      </c>
      <c r="AZ228" s="3">
        <v>3.8119852000000001</v>
      </c>
      <c r="BA228" s="3">
        <v>3.8080799999999999</v>
      </c>
      <c r="BB228" s="3">
        <v>3.8045713999999999</v>
      </c>
      <c r="BC228" s="3">
        <v>3.8014557</v>
      </c>
      <c r="BD228" s="3">
        <v>3.7987288000000001</v>
      </c>
      <c r="BE228" s="3">
        <v>3.7963868000000001</v>
      </c>
      <c r="BF228" s="3">
        <v>3.7944249999999999</v>
      </c>
      <c r="BG228" s="3">
        <v>3.7928350000000002</v>
      </c>
      <c r="BH228" s="3">
        <v>3.7916072999999999</v>
      </c>
      <c r="BI228" s="3">
        <v>3.7907327</v>
      </c>
      <c r="BJ228" s="3">
        <v>3.7902016000000001</v>
      </c>
      <c r="BK228" s="3">
        <v>3.7900046000000001</v>
      </c>
      <c r="BL228" s="3">
        <v>3.7901324000000001</v>
      </c>
      <c r="BM228" s="3">
        <v>3.7905755000000001</v>
      </c>
      <c r="BN228" s="3">
        <v>3.7913245</v>
      </c>
      <c r="BO228" s="3">
        <v>3.79237</v>
      </c>
      <c r="BP228" s="3">
        <v>3.7937026999999999</v>
      </c>
      <c r="BQ228" s="3">
        <v>3.7953130000000002</v>
      </c>
      <c r="BR228" s="3">
        <v>3.8103565000000001</v>
      </c>
      <c r="BS228" s="3">
        <v>3.8334917000000002</v>
      </c>
    </row>
    <row r="229" spans="1:71" x14ac:dyDescent="0.35">
      <c r="A229" s="6">
        <f t="shared" si="89"/>
        <v>45600</v>
      </c>
      <c r="B229">
        <f t="shared" si="84"/>
        <v>11</v>
      </c>
      <c r="C229">
        <f t="shared" si="85"/>
        <v>2024</v>
      </c>
      <c r="D229">
        <f t="shared" si="86"/>
        <v>202411</v>
      </c>
      <c r="E229">
        <f t="shared" si="87"/>
        <v>4</v>
      </c>
      <c r="F229">
        <f t="shared" si="88"/>
        <v>202404</v>
      </c>
      <c r="G229" t="s">
        <v>362</v>
      </c>
      <c r="H229" s="2">
        <v>5</v>
      </c>
      <c r="I229" s="2">
        <v>4.95</v>
      </c>
      <c r="J229" s="3">
        <v>4.7108572999999998</v>
      </c>
      <c r="K229" s="3">
        <v>4.6434553000000003</v>
      </c>
      <c r="L229" s="3">
        <v>4.5587514000000002</v>
      </c>
      <c r="M229" s="3">
        <v>4.4659075000000001</v>
      </c>
      <c r="N229" s="3">
        <v>4.3776932000000004</v>
      </c>
      <c r="O229" s="3">
        <v>4.2998817999999996</v>
      </c>
      <c r="P229" s="3">
        <v>4.2348989000000001</v>
      </c>
      <c r="Q229" s="3">
        <v>4.1835867000000002</v>
      </c>
      <c r="R229" s="3">
        <v>4.1446177999999998</v>
      </c>
      <c r="S229" s="3">
        <v>4.1163033000000002</v>
      </c>
      <c r="T229" s="3">
        <v>4.0967028000000001</v>
      </c>
      <c r="U229" s="3">
        <v>4.0835872999999996</v>
      </c>
      <c r="V229" s="3">
        <v>4.0742317999999997</v>
      </c>
      <c r="W229" s="3">
        <v>4.0673911</v>
      </c>
      <c r="X229" s="3">
        <v>4.0622569000000004</v>
      </c>
      <c r="Y229" s="3">
        <v>4.0580205999999999</v>
      </c>
      <c r="Z229" s="3">
        <v>4.0538736999999996</v>
      </c>
      <c r="AA229" s="3">
        <v>4.0490076999999998</v>
      </c>
      <c r="AB229" s="3">
        <v>4.0427936999999998</v>
      </c>
      <c r="AC229" s="3">
        <v>4.0352858999999999</v>
      </c>
      <c r="AD229" s="3">
        <v>4.0267011999999998</v>
      </c>
      <c r="AE229" s="3">
        <v>4.0172565999999996</v>
      </c>
      <c r="AF229" s="3">
        <v>4.0071690000000002</v>
      </c>
      <c r="AG229" s="3">
        <v>3.9966553999999999</v>
      </c>
      <c r="AH229" s="3">
        <v>3.9859059999999999</v>
      </c>
      <c r="AI229" s="3">
        <v>3.9750052</v>
      </c>
      <c r="AJ229" s="3">
        <v>3.9640108000000001</v>
      </c>
      <c r="AK229" s="3">
        <v>3.9529803999999999</v>
      </c>
      <c r="AL229" s="3">
        <v>3.9419718000000001</v>
      </c>
      <c r="AM229" s="3">
        <v>3.9310426999999999</v>
      </c>
      <c r="AN229" s="3">
        <v>3.9202509999999999</v>
      </c>
      <c r="AO229" s="3">
        <v>3.9096543000000001</v>
      </c>
      <c r="AP229" s="3">
        <v>3.8993102999999998</v>
      </c>
      <c r="AQ229" s="3">
        <v>3.8892769</v>
      </c>
      <c r="AR229" s="3">
        <v>3.8796116999999999</v>
      </c>
      <c r="AS229" s="3">
        <v>3.8703725000000002</v>
      </c>
      <c r="AT229" s="3">
        <v>3.8616066999999998</v>
      </c>
      <c r="AU229" s="3">
        <v>3.8533198999999998</v>
      </c>
      <c r="AV229" s="3">
        <v>3.8455073999999998</v>
      </c>
      <c r="AW229" s="3">
        <v>3.8381645999999998</v>
      </c>
      <c r="AX229" s="3">
        <v>3.8312868</v>
      </c>
      <c r="AY229" s="3">
        <v>3.8248693</v>
      </c>
      <c r="AZ229" s="3">
        <v>3.8189072999999998</v>
      </c>
      <c r="BA229" s="3">
        <v>3.8133962000000001</v>
      </c>
      <c r="BB229" s="3">
        <v>3.8083312</v>
      </c>
      <c r="BC229" s="3">
        <v>3.8037078000000002</v>
      </c>
      <c r="BD229" s="3">
        <v>3.7995212</v>
      </c>
      <c r="BE229" s="3">
        <v>3.7957665999999999</v>
      </c>
      <c r="BF229" s="3">
        <v>3.7924392999999998</v>
      </c>
      <c r="BG229" s="3">
        <v>3.7895333999999998</v>
      </c>
      <c r="BH229" s="3">
        <v>3.7870425999999999</v>
      </c>
      <c r="BI229" s="3">
        <v>3.7849609000000002</v>
      </c>
      <c r="BJ229" s="3">
        <v>3.7832819</v>
      </c>
      <c r="BK229" s="3">
        <v>3.7819995</v>
      </c>
      <c r="BL229" s="3">
        <v>3.7811075000000001</v>
      </c>
      <c r="BM229" s="3">
        <v>3.7805996999999998</v>
      </c>
      <c r="BN229" s="3">
        <v>3.7804700000000002</v>
      </c>
      <c r="BO229" s="3">
        <v>3.7807121000000001</v>
      </c>
      <c r="BP229" s="3">
        <v>3.7813199000000002</v>
      </c>
      <c r="BQ229" s="3">
        <v>3.7822871</v>
      </c>
      <c r="BR229" s="3">
        <v>3.7952018999999999</v>
      </c>
      <c r="BS229" s="3">
        <v>3.8189419</v>
      </c>
    </row>
    <row r="230" spans="1:71" x14ac:dyDescent="0.35">
      <c r="A230" s="6">
        <f t="shared" si="89"/>
        <v>45601</v>
      </c>
      <c r="B230">
        <f t="shared" si="84"/>
        <v>11</v>
      </c>
      <c r="C230">
        <f t="shared" si="85"/>
        <v>2024</v>
      </c>
      <c r="D230">
        <f t="shared" si="86"/>
        <v>202411</v>
      </c>
      <c r="E230">
        <f t="shared" si="87"/>
        <v>4</v>
      </c>
      <c r="F230">
        <f t="shared" si="88"/>
        <v>202404</v>
      </c>
      <c r="G230" t="s">
        <v>363</v>
      </c>
      <c r="H230" s="2">
        <v>5</v>
      </c>
      <c r="I230" s="2">
        <v>4.95</v>
      </c>
      <c r="J230" s="3">
        <v>4.7055059999999997</v>
      </c>
      <c r="K230" s="3">
        <v>4.6352969999999996</v>
      </c>
      <c r="L230" s="3">
        <v>4.5488242000000003</v>
      </c>
      <c r="M230" s="3">
        <v>4.4563582999999998</v>
      </c>
      <c r="N230" s="3">
        <v>4.3713069000000004</v>
      </c>
      <c r="O230" s="3">
        <v>4.2991425999999997</v>
      </c>
      <c r="P230" s="3">
        <v>4.2425509999999997</v>
      </c>
      <c r="Q230" s="3">
        <v>4.2017391999999996</v>
      </c>
      <c r="R230" s="3">
        <v>4.1752247000000002</v>
      </c>
      <c r="S230" s="3">
        <v>4.1602588999999996</v>
      </c>
      <c r="T230" s="3">
        <v>4.1541492</v>
      </c>
      <c r="U230" s="3">
        <v>4.1539543999999999</v>
      </c>
      <c r="V230" s="3">
        <v>4.1559362000000002</v>
      </c>
      <c r="W230" s="3">
        <v>4.1587442000000001</v>
      </c>
      <c r="X230" s="3">
        <v>4.1617227000000003</v>
      </c>
      <c r="Y230" s="3">
        <v>4.1642158</v>
      </c>
      <c r="Z230" s="3">
        <v>4.1655677999999998</v>
      </c>
      <c r="AA230" s="3">
        <v>4.1651230000000004</v>
      </c>
      <c r="AB230" s="3">
        <v>4.1624097999999998</v>
      </c>
      <c r="AC230" s="3">
        <v>4.1575927000000004</v>
      </c>
      <c r="AD230" s="3">
        <v>4.1509733999999998</v>
      </c>
      <c r="AE230" s="3">
        <v>4.1428533999999999</v>
      </c>
      <c r="AF230" s="3">
        <v>4.1335344000000003</v>
      </c>
      <c r="AG230" s="3">
        <v>4.1233179</v>
      </c>
      <c r="AH230" s="3">
        <v>4.1124688000000003</v>
      </c>
      <c r="AI230" s="3">
        <v>4.1011052000000001</v>
      </c>
      <c r="AJ230" s="3">
        <v>4.0893084999999996</v>
      </c>
      <c r="AK230" s="3">
        <v>4.0771601999999998</v>
      </c>
      <c r="AL230" s="3">
        <v>4.0647415000000002</v>
      </c>
      <c r="AM230" s="3">
        <v>4.0521339999999997</v>
      </c>
      <c r="AN230" s="3">
        <v>4.0394189000000003</v>
      </c>
      <c r="AO230" s="3">
        <v>4.0266776999999996</v>
      </c>
      <c r="AP230" s="3">
        <v>4.0139918000000003</v>
      </c>
      <c r="AQ230" s="3">
        <v>4.0014425999999998</v>
      </c>
      <c r="AR230" s="3">
        <v>3.9891114000000001</v>
      </c>
      <c r="AS230" s="3">
        <v>3.9770797999999998</v>
      </c>
      <c r="AT230" s="3">
        <v>3.9654169000000001</v>
      </c>
      <c r="AU230" s="3">
        <v>3.9541436000000001</v>
      </c>
      <c r="AV230" s="3">
        <v>3.9432687999999998</v>
      </c>
      <c r="AW230" s="3">
        <v>3.9328012999999999</v>
      </c>
      <c r="AX230" s="3">
        <v>3.9227498999999999</v>
      </c>
      <c r="AY230" s="3">
        <v>3.9131233000000001</v>
      </c>
      <c r="AZ230" s="3">
        <v>3.9039304000000001</v>
      </c>
      <c r="BA230" s="3">
        <v>3.8951799999999999</v>
      </c>
      <c r="BB230" s="3">
        <v>3.8868808000000001</v>
      </c>
      <c r="BC230" s="3">
        <v>3.8790417000000001</v>
      </c>
      <c r="BD230" s="3">
        <v>3.8716713999999999</v>
      </c>
      <c r="BE230" s="3">
        <v>3.8647787999999998</v>
      </c>
      <c r="BF230" s="3">
        <v>3.8583710999999998</v>
      </c>
      <c r="BG230" s="3">
        <v>3.8524473000000001</v>
      </c>
      <c r="BH230" s="3">
        <v>3.8470043999999999</v>
      </c>
      <c r="BI230" s="3">
        <v>3.8420391</v>
      </c>
      <c r="BJ230" s="3">
        <v>3.8375482000000001</v>
      </c>
      <c r="BK230" s="3">
        <v>3.8335284000000001</v>
      </c>
      <c r="BL230" s="3">
        <v>3.8299766000000002</v>
      </c>
      <c r="BM230" s="3">
        <v>3.8268895000000001</v>
      </c>
      <c r="BN230" s="3">
        <v>3.8242639</v>
      </c>
      <c r="BO230" s="3">
        <v>3.8220966000000001</v>
      </c>
      <c r="BP230" s="3">
        <v>3.8203843000000002</v>
      </c>
      <c r="BQ230" s="3">
        <v>3.8191239000000001</v>
      </c>
      <c r="BR230" s="3">
        <v>3.8205608</v>
      </c>
      <c r="BS230" s="3">
        <v>3.8355769</v>
      </c>
    </row>
    <row r="231" spans="1:71" x14ac:dyDescent="0.35">
      <c r="A231" s="6">
        <f t="shared" si="89"/>
        <v>45602</v>
      </c>
      <c r="B231">
        <f t="shared" si="84"/>
        <v>11</v>
      </c>
      <c r="C231">
        <f t="shared" si="85"/>
        <v>2024</v>
      </c>
      <c r="D231">
        <f t="shared" si="86"/>
        <v>202411</v>
      </c>
      <c r="E231">
        <f t="shared" si="87"/>
        <v>4</v>
      </c>
      <c r="F231">
        <f t="shared" si="88"/>
        <v>202404</v>
      </c>
      <c r="G231" t="s">
        <v>364</v>
      </c>
      <c r="H231" s="2">
        <v>5</v>
      </c>
    </row>
    <row r="232" spans="1:71" x14ac:dyDescent="0.35">
      <c r="A232" s="6"/>
    </row>
    <row r="233" spans="1:71" x14ac:dyDescent="0.35">
      <c r="A233" s="6"/>
    </row>
    <row r="234" spans="1:71" x14ac:dyDescent="0.35">
      <c r="A234" s="6"/>
    </row>
    <row r="235" spans="1:71" x14ac:dyDescent="0.35">
      <c r="A235" s="6"/>
    </row>
    <row r="236" spans="1:71" x14ac:dyDescent="0.35">
      <c r="A236" s="6"/>
    </row>
    <row r="237" spans="1:71" x14ac:dyDescent="0.35">
      <c r="A237" s="6"/>
    </row>
    <row r="238" spans="1:71" x14ac:dyDescent="0.35">
      <c r="A238" s="6"/>
    </row>
    <row r="239" spans="1:71" x14ac:dyDescent="0.35">
      <c r="A239" s="6"/>
    </row>
    <row r="240" spans="1:71" x14ac:dyDescent="0.35">
      <c r="A240" s="6"/>
    </row>
    <row r="241" spans="1:1" x14ac:dyDescent="0.35">
      <c r="A241" s="6"/>
    </row>
    <row r="242" spans="1:1" x14ac:dyDescent="0.35">
      <c r="A242" s="6"/>
    </row>
    <row r="243" spans="1:1" x14ac:dyDescent="0.35">
      <c r="A243" s="6"/>
    </row>
    <row r="244" spans="1:1" x14ac:dyDescent="0.35">
      <c r="A244" s="6"/>
    </row>
    <row r="245" spans="1:1" x14ac:dyDescent="0.35">
      <c r="A245" s="6"/>
    </row>
    <row r="246" spans="1:1" x14ac:dyDescent="0.35">
      <c r="A246" s="6"/>
    </row>
    <row r="247" spans="1:1" x14ac:dyDescent="0.35">
      <c r="A247" s="6"/>
    </row>
    <row r="248" spans="1:1" x14ac:dyDescent="0.35">
      <c r="A248" s="6"/>
    </row>
    <row r="249" spans="1:1" x14ac:dyDescent="0.35">
      <c r="A249" s="6"/>
    </row>
    <row r="250" spans="1:1" x14ac:dyDescent="0.35">
      <c r="A250" s="6"/>
    </row>
    <row r="251" spans="1:1" x14ac:dyDescent="0.35">
      <c r="A251" s="6"/>
    </row>
    <row r="252" spans="1:1" x14ac:dyDescent="0.35">
      <c r="A252" s="6"/>
    </row>
    <row r="253" spans="1:1" x14ac:dyDescent="0.35">
      <c r="A253" s="6"/>
    </row>
    <row r="254" spans="1:1" x14ac:dyDescent="0.35">
      <c r="A254" s="6"/>
    </row>
    <row r="255" spans="1:1" x14ac:dyDescent="0.35">
      <c r="A255" s="6"/>
    </row>
    <row r="256" spans="1:1" x14ac:dyDescent="0.35">
      <c r="A256" s="6"/>
    </row>
    <row r="257" spans="1:1" x14ac:dyDescent="0.35">
      <c r="A257" s="6"/>
    </row>
    <row r="258" spans="1:1" x14ac:dyDescent="0.35">
      <c r="A258" s="6"/>
    </row>
    <row r="259" spans="1:1" x14ac:dyDescent="0.35">
      <c r="A259" s="6"/>
    </row>
    <row r="260" spans="1:1" x14ac:dyDescent="0.35">
      <c r="A260" s="6"/>
    </row>
    <row r="261" spans="1:1" x14ac:dyDescent="0.35">
      <c r="A261" s="6"/>
    </row>
    <row r="262" spans="1:1" x14ac:dyDescent="0.35">
      <c r="A262" s="6"/>
    </row>
    <row r="263" spans="1:1" x14ac:dyDescent="0.35">
      <c r="A263" s="6"/>
    </row>
    <row r="264" spans="1:1" x14ac:dyDescent="0.35">
      <c r="A264" s="6"/>
    </row>
    <row r="265" spans="1:1" x14ac:dyDescent="0.35">
      <c r="A265" s="6"/>
    </row>
    <row r="266" spans="1:1" x14ac:dyDescent="0.35">
      <c r="A266" s="6"/>
    </row>
    <row r="267" spans="1:1" x14ac:dyDescent="0.35">
      <c r="A267" s="6"/>
    </row>
    <row r="268" spans="1:1" x14ac:dyDescent="0.35">
      <c r="A268" s="6"/>
    </row>
    <row r="269" spans="1:1" x14ac:dyDescent="0.35">
      <c r="A269" s="6"/>
    </row>
    <row r="270" spans="1:1" x14ac:dyDescent="0.35">
      <c r="A270" s="6"/>
    </row>
    <row r="271" spans="1:1" x14ac:dyDescent="0.35">
      <c r="A271" s="6"/>
    </row>
    <row r="272" spans="1:1" x14ac:dyDescent="0.35">
      <c r="A272" s="6"/>
    </row>
    <row r="273" spans="1:1" x14ac:dyDescent="0.35">
      <c r="A273" s="6"/>
    </row>
    <row r="274" spans="1:1" x14ac:dyDescent="0.35">
      <c r="A274" s="6"/>
    </row>
    <row r="275" spans="1:1" x14ac:dyDescent="0.35">
      <c r="A275" s="6"/>
    </row>
    <row r="276" spans="1:1" x14ac:dyDescent="0.35">
      <c r="A276" s="6"/>
    </row>
    <row r="277" spans="1:1" x14ac:dyDescent="0.35">
      <c r="A277" s="6"/>
    </row>
    <row r="278" spans="1:1" x14ac:dyDescent="0.35">
      <c r="A278" s="6"/>
    </row>
    <row r="279" spans="1:1" x14ac:dyDescent="0.35">
      <c r="A279" s="6"/>
    </row>
    <row r="280" spans="1:1" x14ac:dyDescent="0.35">
      <c r="A280" s="6"/>
    </row>
    <row r="281" spans="1:1" x14ac:dyDescent="0.35">
      <c r="A281" s="6"/>
    </row>
    <row r="282" spans="1:1" x14ac:dyDescent="0.35">
      <c r="A282" s="6"/>
    </row>
    <row r="283" spans="1:1" x14ac:dyDescent="0.35">
      <c r="A283" s="6"/>
    </row>
    <row r="284" spans="1:1" x14ac:dyDescent="0.35">
      <c r="A284" s="6"/>
    </row>
    <row r="285" spans="1:1" x14ac:dyDescent="0.35">
      <c r="A285" s="6"/>
    </row>
    <row r="286" spans="1:1" x14ac:dyDescent="0.35">
      <c r="A286" s="6"/>
    </row>
    <row r="287" spans="1:1" x14ac:dyDescent="0.35">
      <c r="A287" s="6"/>
    </row>
    <row r="288" spans="1:1" x14ac:dyDescent="0.35">
      <c r="A288" s="6"/>
    </row>
    <row r="289" spans="1:1" x14ac:dyDescent="0.35">
      <c r="A289" s="6"/>
    </row>
    <row r="290" spans="1:1" x14ac:dyDescent="0.35">
      <c r="A290" s="6"/>
    </row>
    <row r="291" spans="1:1" x14ac:dyDescent="0.35">
      <c r="A291" s="6"/>
    </row>
    <row r="292" spans="1:1" x14ac:dyDescent="0.35">
      <c r="A292" s="6"/>
    </row>
    <row r="293" spans="1:1" x14ac:dyDescent="0.35">
      <c r="A293" s="6"/>
    </row>
    <row r="294" spans="1:1" x14ac:dyDescent="0.35">
      <c r="A294" s="6"/>
    </row>
    <row r="295" spans="1:1" x14ac:dyDescent="0.35">
      <c r="A295" s="6"/>
    </row>
    <row r="296" spans="1:1" x14ac:dyDescent="0.35">
      <c r="A296" s="6"/>
    </row>
    <row r="297" spans="1:1" x14ac:dyDescent="0.35">
      <c r="A297" s="6"/>
    </row>
    <row r="298" spans="1:1" x14ac:dyDescent="0.35">
      <c r="A298" s="6"/>
    </row>
    <row r="299" spans="1:1" x14ac:dyDescent="0.35">
      <c r="A299" s="6"/>
    </row>
    <row r="300" spans="1:1" x14ac:dyDescent="0.35">
      <c r="A300" s="6"/>
    </row>
    <row r="301" spans="1:1" x14ac:dyDescent="0.35">
      <c r="A301" s="6"/>
    </row>
    <row r="302" spans="1:1" x14ac:dyDescent="0.35">
      <c r="A302" s="6"/>
    </row>
    <row r="303" spans="1:1" x14ac:dyDescent="0.35">
      <c r="A303" s="6"/>
    </row>
    <row r="304" spans="1:1" x14ac:dyDescent="0.35">
      <c r="A304" s="6"/>
    </row>
    <row r="305" spans="1:1" x14ac:dyDescent="0.35">
      <c r="A305" s="6"/>
    </row>
    <row r="306" spans="1:1" x14ac:dyDescent="0.35">
      <c r="A306" s="6"/>
    </row>
    <row r="307" spans="1:1" x14ac:dyDescent="0.35">
      <c r="A307" s="6"/>
    </row>
    <row r="308" spans="1:1" x14ac:dyDescent="0.35">
      <c r="A308" s="6"/>
    </row>
    <row r="309" spans="1:1" x14ac:dyDescent="0.35">
      <c r="A309" s="6"/>
    </row>
    <row r="310" spans="1:1" x14ac:dyDescent="0.35">
      <c r="A310" s="6"/>
    </row>
    <row r="311" spans="1:1" x14ac:dyDescent="0.35">
      <c r="A311" s="6"/>
    </row>
    <row r="312" spans="1:1" x14ac:dyDescent="0.35">
      <c r="A312" s="6"/>
    </row>
    <row r="313" spans="1:1" x14ac:dyDescent="0.35">
      <c r="A313" s="6"/>
    </row>
    <row r="314" spans="1:1" x14ac:dyDescent="0.35">
      <c r="A314" s="6"/>
    </row>
    <row r="315" spans="1:1" x14ac:dyDescent="0.35">
      <c r="A315" s="6"/>
    </row>
    <row r="316" spans="1:1" x14ac:dyDescent="0.35">
      <c r="A316" s="6"/>
    </row>
    <row r="317" spans="1:1" x14ac:dyDescent="0.35">
      <c r="A317" s="6"/>
    </row>
    <row r="318" spans="1:1" x14ac:dyDescent="0.35">
      <c r="A318" s="6"/>
    </row>
    <row r="319" spans="1:1" x14ac:dyDescent="0.35">
      <c r="A319" s="6"/>
    </row>
    <row r="320" spans="1:1" x14ac:dyDescent="0.35">
      <c r="A320" s="6"/>
    </row>
    <row r="321" spans="1:1" x14ac:dyDescent="0.35">
      <c r="A321" s="6"/>
    </row>
    <row r="322" spans="1:1" x14ac:dyDescent="0.35">
      <c r="A322" s="6"/>
    </row>
    <row r="323" spans="1:1" x14ac:dyDescent="0.35">
      <c r="A323" s="6"/>
    </row>
    <row r="324" spans="1:1" x14ac:dyDescent="0.35">
      <c r="A324" s="6"/>
    </row>
    <row r="325" spans="1:1" x14ac:dyDescent="0.35">
      <c r="A325" s="6"/>
    </row>
    <row r="326" spans="1:1" x14ac:dyDescent="0.35">
      <c r="A326" s="6"/>
    </row>
    <row r="327" spans="1:1" x14ac:dyDescent="0.35">
      <c r="A327" s="6"/>
    </row>
    <row r="328" spans="1:1" x14ac:dyDescent="0.35">
      <c r="A328" s="6"/>
    </row>
    <row r="329" spans="1:1" x14ac:dyDescent="0.35">
      <c r="A329" s="6"/>
    </row>
    <row r="330" spans="1:1" x14ac:dyDescent="0.35">
      <c r="A330" s="6"/>
    </row>
    <row r="331" spans="1:1" x14ac:dyDescent="0.35">
      <c r="A331" s="6"/>
    </row>
    <row r="332" spans="1:1" x14ac:dyDescent="0.35">
      <c r="A332" s="6"/>
    </row>
    <row r="333" spans="1:1" x14ac:dyDescent="0.35">
      <c r="A333" s="6"/>
    </row>
    <row r="334" spans="1:1" x14ac:dyDescent="0.35">
      <c r="A334" s="6"/>
    </row>
    <row r="335" spans="1:1" x14ac:dyDescent="0.35">
      <c r="A335" s="6"/>
    </row>
    <row r="336" spans="1:1" x14ac:dyDescent="0.35">
      <c r="A336" s="6"/>
    </row>
    <row r="337" spans="1:1" x14ac:dyDescent="0.35">
      <c r="A337" s="6"/>
    </row>
    <row r="338" spans="1:1" x14ac:dyDescent="0.35">
      <c r="A338" s="6"/>
    </row>
    <row r="339" spans="1:1" x14ac:dyDescent="0.35">
      <c r="A339" s="6"/>
    </row>
    <row r="340" spans="1:1" x14ac:dyDescent="0.35">
      <c r="A340" s="6"/>
    </row>
    <row r="341" spans="1:1" x14ac:dyDescent="0.35">
      <c r="A341" s="6"/>
    </row>
    <row r="342" spans="1:1" x14ac:dyDescent="0.35">
      <c r="A342" s="6"/>
    </row>
    <row r="343" spans="1:1" x14ac:dyDescent="0.35">
      <c r="A343" s="6"/>
    </row>
    <row r="344" spans="1:1" x14ac:dyDescent="0.35">
      <c r="A344" s="6"/>
    </row>
    <row r="345" spans="1:1" x14ac:dyDescent="0.35">
      <c r="A345" s="6"/>
    </row>
    <row r="346" spans="1:1" x14ac:dyDescent="0.35">
      <c r="A346" s="6"/>
    </row>
    <row r="347" spans="1:1" x14ac:dyDescent="0.35">
      <c r="A347" s="6"/>
    </row>
    <row r="348" spans="1:1" x14ac:dyDescent="0.35">
      <c r="A348" s="6"/>
    </row>
    <row r="349" spans="1:1" x14ac:dyDescent="0.35">
      <c r="A349" s="6"/>
    </row>
    <row r="350" spans="1:1" x14ac:dyDescent="0.35">
      <c r="A350" s="6"/>
    </row>
    <row r="351" spans="1:1" x14ac:dyDescent="0.35">
      <c r="A351" s="6"/>
    </row>
    <row r="352" spans="1:1" x14ac:dyDescent="0.35">
      <c r="A352" s="6"/>
    </row>
    <row r="353" spans="1:1" x14ac:dyDescent="0.35">
      <c r="A353" s="6"/>
    </row>
    <row r="354" spans="1:1" x14ac:dyDescent="0.35">
      <c r="A354" s="6"/>
    </row>
    <row r="355" spans="1:1" x14ac:dyDescent="0.35">
      <c r="A355" s="6"/>
    </row>
    <row r="356" spans="1:1" x14ac:dyDescent="0.35">
      <c r="A356" s="6"/>
    </row>
    <row r="357" spans="1:1" x14ac:dyDescent="0.35">
      <c r="A357" s="6"/>
    </row>
    <row r="358" spans="1:1" x14ac:dyDescent="0.35">
      <c r="A358" s="6"/>
    </row>
    <row r="359" spans="1:1" x14ac:dyDescent="0.35">
      <c r="A359" s="6"/>
    </row>
    <row r="360" spans="1:1" x14ac:dyDescent="0.35">
      <c r="A360" s="6"/>
    </row>
    <row r="361" spans="1:1" x14ac:dyDescent="0.35">
      <c r="A361" s="6"/>
    </row>
    <row r="362" spans="1:1" x14ac:dyDescent="0.35">
      <c r="A362" s="6"/>
    </row>
    <row r="363" spans="1:1" x14ac:dyDescent="0.35">
      <c r="A363" s="6"/>
    </row>
    <row r="364" spans="1:1" x14ac:dyDescent="0.35">
      <c r="A364" s="6"/>
    </row>
    <row r="365" spans="1:1" x14ac:dyDescent="0.35">
      <c r="A365" s="6"/>
    </row>
    <row r="366" spans="1:1" x14ac:dyDescent="0.35">
      <c r="A366" s="6"/>
    </row>
    <row r="367" spans="1:1" x14ac:dyDescent="0.35">
      <c r="A367" s="6"/>
    </row>
    <row r="368" spans="1:1" x14ac:dyDescent="0.35">
      <c r="A368" s="6"/>
    </row>
    <row r="369" spans="1:1" x14ac:dyDescent="0.35">
      <c r="A369" s="6"/>
    </row>
    <row r="370" spans="1:1" x14ac:dyDescent="0.35">
      <c r="A370" s="6"/>
    </row>
    <row r="371" spans="1:1" x14ac:dyDescent="0.35">
      <c r="A371" s="6"/>
    </row>
    <row r="372" spans="1:1" x14ac:dyDescent="0.35">
      <c r="A372" s="6"/>
    </row>
    <row r="373" spans="1:1" x14ac:dyDescent="0.35">
      <c r="A373" s="6"/>
    </row>
    <row r="374" spans="1:1" x14ac:dyDescent="0.35">
      <c r="A374" s="6"/>
    </row>
    <row r="375" spans="1:1" x14ac:dyDescent="0.35">
      <c r="A375" s="6"/>
    </row>
    <row r="376" spans="1:1" x14ac:dyDescent="0.35">
      <c r="A376" s="6"/>
    </row>
    <row r="377" spans="1:1" x14ac:dyDescent="0.35">
      <c r="A377" s="6"/>
    </row>
    <row r="378" spans="1:1" x14ac:dyDescent="0.35">
      <c r="A378" s="6"/>
    </row>
    <row r="379" spans="1:1" x14ac:dyDescent="0.35">
      <c r="A379" s="6"/>
    </row>
    <row r="380" spans="1:1" x14ac:dyDescent="0.35">
      <c r="A380" s="6"/>
    </row>
    <row r="381" spans="1:1" x14ac:dyDescent="0.35">
      <c r="A381" s="6"/>
    </row>
    <row r="382" spans="1:1" x14ac:dyDescent="0.35">
      <c r="A382" s="6"/>
    </row>
    <row r="383" spans="1:1" x14ac:dyDescent="0.35">
      <c r="A383" s="6"/>
    </row>
    <row r="384" spans="1:1" x14ac:dyDescent="0.35">
      <c r="A384" s="6"/>
    </row>
    <row r="385" spans="1:1" x14ac:dyDescent="0.35">
      <c r="A385" s="6"/>
    </row>
    <row r="386" spans="1:1" x14ac:dyDescent="0.35">
      <c r="A386" s="6"/>
    </row>
    <row r="387" spans="1:1" x14ac:dyDescent="0.35">
      <c r="A387" s="6"/>
    </row>
    <row r="388" spans="1:1" x14ac:dyDescent="0.35">
      <c r="A388" s="6"/>
    </row>
    <row r="389" spans="1:1" x14ac:dyDescent="0.35">
      <c r="A389" s="6"/>
    </row>
    <row r="390" spans="1:1" x14ac:dyDescent="0.35">
      <c r="A390" s="6"/>
    </row>
    <row r="391" spans="1:1" x14ac:dyDescent="0.35">
      <c r="A391" s="6"/>
    </row>
    <row r="392" spans="1:1" x14ac:dyDescent="0.35">
      <c r="A392" s="6"/>
    </row>
    <row r="393" spans="1:1" x14ac:dyDescent="0.35">
      <c r="A393" s="6"/>
    </row>
    <row r="394" spans="1:1" x14ac:dyDescent="0.35">
      <c r="A394" s="6"/>
    </row>
    <row r="395" spans="1:1" x14ac:dyDescent="0.35">
      <c r="A395" s="6"/>
    </row>
    <row r="396" spans="1:1" x14ac:dyDescent="0.35">
      <c r="A396" s="6"/>
    </row>
    <row r="397" spans="1:1" x14ac:dyDescent="0.35">
      <c r="A397" s="6"/>
    </row>
    <row r="398" spans="1:1" x14ac:dyDescent="0.35">
      <c r="A398" s="6"/>
    </row>
    <row r="399" spans="1:1" x14ac:dyDescent="0.35">
      <c r="A399" s="6"/>
    </row>
    <row r="400" spans="1:1" x14ac:dyDescent="0.35">
      <c r="A400" s="6"/>
    </row>
    <row r="401" spans="1:1" x14ac:dyDescent="0.35">
      <c r="A401" s="6"/>
    </row>
    <row r="402" spans="1:1" x14ac:dyDescent="0.35">
      <c r="A402" s="6"/>
    </row>
    <row r="403" spans="1:1" x14ac:dyDescent="0.35">
      <c r="A403" s="6"/>
    </row>
    <row r="404" spans="1:1" x14ac:dyDescent="0.35">
      <c r="A404" s="6"/>
    </row>
    <row r="405" spans="1:1" x14ac:dyDescent="0.35">
      <c r="A405" s="6"/>
    </row>
    <row r="406" spans="1:1" x14ac:dyDescent="0.35">
      <c r="A406" s="6"/>
    </row>
    <row r="407" spans="1:1" x14ac:dyDescent="0.35">
      <c r="A407" s="6"/>
    </row>
    <row r="408" spans="1:1" x14ac:dyDescent="0.35">
      <c r="A408" s="6"/>
    </row>
    <row r="409" spans="1:1" x14ac:dyDescent="0.35">
      <c r="A409" s="6"/>
    </row>
    <row r="410" spans="1:1" x14ac:dyDescent="0.35">
      <c r="A410" s="6"/>
    </row>
    <row r="411" spans="1:1" x14ac:dyDescent="0.35">
      <c r="A411" s="6"/>
    </row>
    <row r="412" spans="1:1" x14ac:dyDescent="0.35">
      <c r="A412" s="6"/>
    </row>
    <row r="413" spans="1:1" x14ac:dyDescent="0.35">
      <c r="A413" s="6"/>
    </row>
    <row r="414" spans="1:1" x14ac:dyDescent="0.35">
      <c r="A414" s="6"/>
    </row>
    <row r="415" spans="1:1" x14ac:dyDescent="0.35">
      <c r="A415" s="6"/>
    </row>
    <row r="416" spans="1:1" x14ac:dyDescent="0.35">
      <c r="A416" s="6"/>
    </row>
    <row r="417" spans="1:1" x14ac:dyDescent="0.35">
      <c r="A417" s="6"/>
    </row>
    <row r="418" spans="1:1" x14ac:dyDescent="0.35">
      <c r="A418" s="6"/>
    </row>
    <row r="419" spans="1:1" x14ac:dyDescent="0.35">
      <c r="A419" s="6"/>
    </row>
    <row r="420" spans="1:1" x14ac:dyDescent="0.35">
      <c r="A420" s="6"/>
    </row>
    <row r="421" spans="1:1" x14ac:dyDescent="0.35">
      <c r="A421" s="6"/>
    </row>
    <row r="422" spans="1:1" x14ac:dyDescent="0.35">
      <c r="A422" s="6"/>
    </row>
    <row r="423" spans="1:1" x14ac:dyDescent="0.35">
      <c r="A423" s="6"/>
    </row>
    <row r="424" spans="1:1" x14ac:dyDescent="0.35">
      <c r="A424" s="6"/>
    </row>
    <row r="425" spans="1:1" x14ac:dyDescent="0.35">
      <c r="A425" s="6"/>
    </row>
    <row r="426" spans="1:1" x14ac:dyDescent="0.35">
      <c r="A426" s="6"/>
    </row>
    <row r="427" spans="1:1" x14ac:dyDescent="0.35">
      <c r="A427" s="6"/>
    </row>
    <row r="428" spans="1:1" x14ac:dyDescent="0.35">
      <c r="A428" s="6"/>
    </row>
    <row r="429" spans="1:1" x14ac:dyDescent="0.35">
      <c r="A429" s="6"/>
    </row>
    <row r="430" spans="1:1" x14ac:dyDescent="0.35">
      <c r="A430" s="6"/>
    </row>
    <row r="431" spans="1:1" x14ac:dyDescent="0.35">
      <c r="A431" s="6"/>
    </row>
    <row r="432" spans="1:1" x14ac:dyDescent="0.35">
      <c r="A432" s="6"/>
    </row>
    <row r="433" spans="1:1" x14ac:dyDescent="0.35">
      <c r="A433" s="6"/>
    </row>
    <row r="434" spans="1:1" x14ac:dyDescent="0.35">
      <c r="A434" s="6"/>
    </row>
    <row r="435" spans="1:1" x14ac:dyDescent="0.35">
      <c r="A435" s="6"/>
    </row>
    <row r="436" spans="1:1" x14ac:dyDescent="0.35">
      <c r="A436" s="6"/>
    </row>
    <row r="437" spans="1:1" x14ac:dyDescent="0.35">
      <c r="A437" s="6"/>
    </row>
    <row r="438" spans="1:1" x14ac:dyDescent="0.35">
      <c r="A438" s="6"/>
    </row>
    <row r="439" spans="1:1" x14ac:dyDescent="0.35">
      <c r="A439" s="6"/>
    </row>
    <row r="440" spans="1:1" x14ac:dyDescent="0.35">
      <c r="A440" s="6"/>
    </row>
    <row r="441" spans="1:1" x14ac:dyDescent="0.35">
      <c r="A441" s="6"/>
    </row>
    <row r="442" spans="1:1" x14ac:dyDescent="0.35">
      <c r="A442" s="6"/>
    </row>
    <row r="443" spans="1:1" x14ac:dyDescent="0.35">
      <c r="A443" s="6"/>
    </row>
    <row r="444" spans="1:1" x14ac:dyDescent="0.35">
      <c r="A444" s="6"/>
    </row>
    <row r="445" spans="1:1" x14ac:dyDescent="0.35">
      <c r="A445" s="6"/>
    </row>
    <row r="446" spans="1:1" x14ac:dyDescent="0.35">
      <c r="A446" s="6"/>
    </row>
    <row r="447" spans="1:1" x14ac:dyDescent="0.35">
      <c r="A447" s="6"/>
    </row>
    <row r="448" spans="1:1" x14ac:dyDescent="0.35">
      <c r="A448" s="6"/>
    </row>
    <row r="449" spans="1:1" x14ac:dyDescent="0.35">
      <c r="A449" s="6"/>
    </row>
    <row r="450" spans="1:1" x14ac:dyDescent="0.35">
      <c r="A450" s="6"/>
    </row>
    <row r="451" spans="1:1" x14ac:dyDescent="0.35">
      <c r="A451" s="6"/>
    </row>
    <row r="452" spans="1:1" x14ac:dyDescent="0.35">
      <c r="A452" s="6"/>
    </row>
    <row r="453" spans="1:1" x14ac:dyDescent="0.35">
      <c r="A453" s="6"/>
    </row>
    <row r="454" spans="1:1" x14ac:dyDescent="0.35">
      <c r="A454" s="6"/>
    </row>
    <row r="455" spans="1:1" x14ac:dyDescent="0.35">
      <c r="A455" s="6"/>
    </row>
    <row r="456" spans="1:1" x14ac:dyDescent="0.35">
      <c r="A456" s="6"/>
    </row>
    <row r="457" spans="1:1" x14ac:dyDescent="0.35">
      <c r="A457" s="6"/>
    </row>
    <row r="458" spans="1:1" x14ac:dyDescent="0.35">
      <c r="A458" s="6"/>
    </row>
    <row r="459" spans="1:1" x14ac:dyDescent="0.35">
      <c r="A459" s="6"/>
    </row>
    <row r="460" spans="1:1" x14ac:dyDescent="0.35">
      <c r="A460" s="6"/>
    </row>
    <row r="461" spans="1:1" x14ac:dyDescent="0.35">
      <c r="A461" s="6"/>
    </row>
    <row r="462" spans="1:1" x14ac:dyDescent="0.35">
      <c r="A462" s="6"/>
    </row>
    <row r="463" spans="1:1" x14ac:dyDescent="0.35">
      <c r="A463" s="6"/>
    </row>
    <row r="464" spans="1:1" x14ac:dyDescent="0.35">
      <c r="A464" s="6"/>
    </row>
    <row r="465" spans="1:1" x14ac:dyDescent="0.35">
      <c r="A465" s="6"/>
    </row>
    <row r="466" spans="1:1" x14ac:dyDescent="0.35">
      <c r="A466" s="6"/>
    </row>
    <row r="467" spans="1:1" x14ac:dyDescent="0.35">
      <c r="A467" s="6"/>
    </row>
    <row r="468" spans="1:1" x14ac:dyDescent="0.35">
      <c r="A468" s="6"/>
    </row>
    <row r="469" spans="1:1" x14ac:dyDescent="0.35">
      <c r="A469" s="6"/>
    </row>
    <row r="470" spans="1:1" x14ac:dyDescent="0.35">
      <c r="A470" s="6"/>
    </row>
    <row r="471" spans="1:1" x14ac:dyDescent="0.35">
      <c r="A471" s="6"/>
    </row>
    <row r="472" spans="1:1" x14ac:dyDescent="0.35">
      <c r="A472" s="6"/>
    </row>
    <row r="473" spans="1:1" x14ac:dyDescent="0.35">
      <c r="A473" s="6"/>
    </row>
    <row r="474" spans="1:1" x14ac:dyDescent="0.35">
      <c r="A474" s="6"/>
    </row>
    <row r="475" spans="1:1" x14ac:dyDescent="0.35">
      <c r="A475" s="6"/>
    </row>
    <row r="476" spans="1:1" x14ac:dyDescent="0.35">
      <c r="A476" s="6"/>
    </row>
    <row r="477" spans="1:1" x14ac:dyDescent="0.35">
      <c r="A477" s="6"/>
    </row>
    <row r="478" spans="1:1" x14ac:dyDescent="0.35">
      <c r="A478" s="6"/>
    </row>
    <row r="479" spans="1:1" x14ac:dyDescent="0.35">
      <c r="A479" s="6"/>
    </row>
    <row r="480" spans="1:1" x14ac:dyDescent="0.35">
      <c r="A480" s="6"/>
    </row>
    <row r="481" spans="1:1" x14ac:dyDescent="0.35">
      <c r="A481" s="6"/>
    </row>
    <row r="482" spans="1:1" x14ac:dyDescent="0.35">
      <c r="A482" s="6"/>
    </row>
    <row r="483" spans="1:1" x14ac:dyDescent="0.35">
      <c r="A483" s="6"/>
    </row>
    <row r="484" spans="1:1" x14ac:dyDescent="0.35">
      <c r="A484" s="6"/>
    </row>
    <row r="485" spans="1:1" x14ac:dyDescent="0.35">
      <c r="A485" s="6"/>
    </row>
    <row r="486" spans="1:1" x14ac:dyDescent="0.35">
      <c r="A486" s="6"/>
    </row>
    <row r="487" spans="1:1" x14ac:dyDescent="0.35">
      <c r="A487" s="6"/>
    </row>
    <row r="488" spans="1:1" x14ac:dyDescent="0.35">
      <c r="A488" s="6"/>
    </row>
    <row r="489" spans="1:1" x14ac:dyDescent="0.35">
      <c r="A489" s="6"/>
    </row>
    <row r="490" spans="1:1" x14ac:dyDescent="0.35">
      <c r="A490" s="6"/>
    </row>
    <row r="491" spans="1:1" x14ac:dyDescent="0.35">
      <c r="A491" s="6"/>
    </row>
    <row r="492" spans="1:1" x14ac:dyDescent="0.35">
      <c r="A492" s="6"/>
    </row>
    <row r="493" spans="1:1" x14ac:dyDescent="0.35">
      <c r="A493" s="6"/>
    </row>
    <row r="494" spans="1:1" x14ac:dyDescent="0.35">
      <c r="A494" s="6"/>
    </row>
    <row r="495" spans="1:1" x14ac:dyDescent="0.35">
      <c r="A495" s="6"/>
    </row>
    <row r="496" spans="1:1" x14ac:dyDescent="0.35">
      <c r="A496" s="6"/>
    </row>
    <row r="497" spans="1:1" x14ac:dyDescent="0.35">
      <c r="A497" s="6"/>
    </row>
    <row r="498" spans="1:1" x14ac:dyDescent="0.35">
      <c r="A498" s="6"/>
    </row>
    <row r="499" spans="1:1" x14ac:dyDescent="0.35">
      <c r="A499" s="6"/>
    </row>
    <row r="500" spans="1:1" x14ac:dyDescent="0.35">
      <c r="A500" s="6"/>
    </row>
    <row r="501" spans="1:1" x14ac:dyDescent="0.35">
      <c r="A501" s="6"/>
    </row>
    <row r="502" spans="1:1" x14ac:dyDescent="0.35">
      <c r="A502" s="6"/>
    </row>
    <row r="503" spans="1:1" x14ac:dyDescent="0.35">
      <c r="A503" s="6"/>
    </row>
    <row r="504" spans="1:1" x14ac:dyDescent="0.35">
      <c r="A504" s="6"/>
    </row>
    <row r="505" spans="1:1" x14ac:dyDescent="0.35">
      <c r="A505" s="6"/>
    </row>
    <row r="506" spans="1:1" x14ac:dyDescent="0.35">
      <c r="A506" s="6"/>
    </row>
    <row r="507" spans="1:1" x14ac:dyDescent="0.35">
      <c r="A507" s="6"/>
    </row>
    <row r="508" spans="1:1" x14ac:dyDescent="0.35">
      <c r="A508" s="6"/>
    </row>
    <row r="509" spans="1:1" x14ac:dyDescent="0.35">
      <c r="A509" s="6"/>
    </row>
    <row r="510" spans="1:1" x14ac:dyDescent="0.35">
      <c r="A510" s="6"/>
    </row>
    <row r="511" spans="1:1" x14ac:dyDescent="0.35">
      <c r="A511" s="6"/>
    </row>
    <row r="512" spans="1:1" x14ac:dyDescent="0.35">
      <c r="A512" s="6"/>
    </row>
    <row r="513" spans="1:1" x14ac:dyDescent="0.35">
      <c r="A513" s="6"/>
    </row>
    <row r="514" spans="1:1" x14ac:dyDescent="0.35">
      <c r="A514" s="6"/>
    </row>
    <row r="515" spans="1:1" x14ac:dyDescent="0.35">
      <c r="A515" s="6"/>
    </row>
    <row r="516" spans="1:1" x14ac:dyDescent="0.35">
      <c r="A516" s="6"/>
    </row>
    <row r="517" spans="1:1" x14ac:dyDescent="0.35">
      <c r="A517" s="6"/>
    </row>
    <row r="518" spans="1:1" x14ac:dyDescent="0.35">
      <c r="A518" s="6"/>
    </row>
    <row r="519" spans="1:1" x14ac:dyDescent="0.35">
      <c r="A519" s="6"/>
    </row>
    <row r="520" spans="1:1" x14ac:dyDescent="0.35">
      <c r="A520" s="6"/>
    </row>
    <row r="521" spans="1:1" x14ac:dyDescent="0.35">
      <c r="A521" s="6"/>
    </row>
    <row r="522" spans="1:1" x14ac:dyDescent="0.35">
      <c r="A522" s="6"/>
    </row>
    <row r="523" spans="1:1" x14ac:dyDescent="0.35">
      <c r="A523" s="6"/>
    </row>
    <row r="524" spans="1:1" x14ac:dyDescent="0.35">
      <c r="A524" s="6"/>
    </row>
    <row r="525" spans="1:1" x14ac:dyDescent="0.35">
      <c r="A525" s="6"/>
    </row>
    <row r="526" spans="1:1" x14ac:dyDescent="0.35">
      <c r="A526" s="6"/>
    </row>
    <row r="527" spans="1:1" x14ac:dyDescent="0.35">
      <c r="A527" s="6"/>
    </row>
    <row r="528" spans="1:1" x14ac:dyDescent="0.35">
      <c r="A528" s="6"/>
    </row>
    <row r="529" spans="1:1" x14ac:dyDescent="0.35">
      <c r="A529" s="6"/>
    </row>
    <row r="530" spans="1:1" x14ac:dyDescent="0.35">
      <c r="A530" s="6"/>
    </row>
    <row r="531" spans="1:1" x14ac:dyDescent="0.35">
      <c r="A531" s="6"/>
    </row>
    <row r="532" spans="1:1" x14ac:dyDescent="0.35">
      <c r="A532" s="6"/>
    </row>
    <row r="533" spans="1:1" x14ac:dyDescent="0.35">
      <c r="A533" s="6"/>
    </row>
    <row r="534" spans="1:1" x14ac:dyDescent="0.35">
      <c r="A534" s="6"/>
    </row>
    <row r="535" spans="1:1" x14ac:dyDescent="0.35">
      <c r="A535" s="6"/>
    </row>
    <row r="536" spans="1:1" x14ac:dyDescent="0.35">
      <c r="A536" s="6"/>
    </row>
    <row r="537" spans="1:1" x14ac:dyDescent="0.35">
      <c r="A537" s="6"/>
    </row>
    <row r="538" spans="1:1" x14ac:dyDescent="0.35">
      <c r="A538" s="6"/>
    </row>
    <row r="539" spans="1:1" x14ac:dyDescent="0.35">
      <c r="A539" s="6"/>
    </row>
    <row r="540" spans="1:1" x14ac:dyDescent="0.35">
      <c r="A540" s="6"/>
    </row>
    <row r="541" spans="1:1" x14ac:dyDescent="0.35">
      <c r="A541" s="6"/>
    </row>
    <row r="542" spans="1:1" x14ac:dyDescent="0.35">
      <c r="A542" s="6"/>
    </row>
    <row r="543" spans="1:1" x14ac:dyDescent="0.35">
      <c r="A543" s="6"/>
    </row>
    <row r="544" spans="1:1" x14ac:dyDescent="0.35">
      <c r="A544" s="6"/>
    </row>
    <row r="545" spans="1:1" x14ac:dyDescent="0.35">
      <c r="A545" s="6"/>
    </row>
    <row r="546" spans="1:1" x14ac:dyDescent="0.35">
      <c r="A546" s="6"/>
    </row>
    <row r="547" spans="1:1" x14ac:dyDescent="0.35">
      <c r="A547" s="6"/>
    </row>
    <row r="548" spans="1:1" x14ac:dyDescent="0.35">
      <c r="A548" s="6"/>
    </row>
    <row r="549" spans="1:1" x14ac:dyDescent="0.35">
      <c r="A549" s="6"/>
    </row>
    <row r="550" spans="1:1" x14ac:dyDescent="0.35">
      <c r="A550" s="6"/>
    </row>
    <row r="551" spans="1:1" x14ac:dyDescent="0.35">
      <c r="A551" s="6"/>
    </row>
    <row r="552" spans="1:1" x14ac:dyDescent="0.35">
      <c r="A552" s="6"/>
    </row>
    <row r="553" spans="1:1" x14ac:dyDescent="0.35">
      <c r="A553" s="6"/>
    </row>
    <row r="554" spans="1:1" x14ac:dyDescent="0.35">
      <c r="A554" s="6"/>
    </row>
    <row r="555" spans="1:1" x14ac:dyDescent="0.35">
      <c r="A555" s="6"/>
    </row>
    <row r="556" spans="1:1" x14ac:dyDescent="0.35">
      <c r="A556" s="6"/>
    </row>
    <row r="557" spans="1:1" x14ac:dyDescent="0.35">
      <c r="A557" s="6"/>
    </row>
    <row r="558" spans="1:1" x14ac:dyDescent="0.35">
      <c r="A558" s="6"/>
    </row>
    <row r="559" spans="1:1" x14ac:dyDescent="0.35">
      <c r="A559" s="6"/>
    </row>
    <row r="560" spans="1:1" x14ac:dyDescent="0.35">
      <c r="A560" s="6"/>
    </row>
    <row r="561" spans="1:1" x14ac:dyDescent="0.35">
      <c r="A561" s="6"/>
    </row>
    <row r="562" spans="1:1" x14ac:dyDescent="0.35">
      <c r="A562" s="6"/>
    </row>
    <row r="563" spans="1:1" x14ac:dyDescent="0.35">
      <c r="A563" s="6"/>
    </row>
    <row r="564" spans="1:1" x14ac:dyDescent="0.35">
      <c r="A564" s="6"/>
    </row>
    <row r="565" spans="1:1" x14ac:dyDescent="0.35">
      <c r="A565" s="6"/>
    </row>
    <row r="566" spans="1:1" x14ac:dyDescent="0.35">
      <c r="A566" s="6"/>
    </row>
    <row r="567" spans="1:1" x14ac:dyDescent="0.35">
      <c r="A567" s="6"/>
    </row>
    <row r="568" spans="1:1" x14ac:dyDescent="0.35">
      <c r="A568" s="6"/>
    </row>
    <row r="569" spans="1:1" x14ac:dyDescent="0.35">
      <c r="A569" s="6"/>
    </row>
    <row r="570" spans="1:1" x14ac:dyDescent="0.35">
      <c r="A570" s="6"/>
    </row>
    <row r="571" spans="1:1" x14ac:dyDescent="0.35">
      <c r="A571" s="6"/>
    </row>
    <row r="572" spans="1:1" x14ac:dyDescent="0.35">
      <c r="A572" s="6"/>
    </row>
    <row r="573" spans="1:1" x14ac:dyDescent="0.35">
      <c r="A573" s="6"/>
    </row>
    <row r="574" spans="1:1" x14ac:dyDescent="0.35">
      <c r="A574" s="6"/>
    </row>
    <row r="575" spans="1:1" x14ac:dyDescent="0.35">
      <c r="A575" s="6"/>
    </row>
    <row r="576" spans="1:1" x14ac:dyDescent="0.35">
      <c r="A576" s="6"/>
    </row>
    <row r="577" spans="1:1" x14ac:dyDescent="0.35">
      <c r="A577" s="6"/>
    </row>
    <row r="578" spans="1:1" x14ac:dyDescent="0.35">
      <c r="A578" s="6"/>
    </row>
    <row r="579" spans="1:1" x14ac:dyDescent="0.35">
      <c r="A579" s="6"/>
    </row>
    <row r="580" spans="1:1" x14ac:dyDescent="0.35">
      <c r="A580" s="6"/>
    </row>
    <row r="581" spans="1:1" x14ac:dyDescent="0.35">
      <c r="A581" s="6"/>
    </row>
    <row r="582" spans="1:1" x14ac:dyDescent="0.35">
      <c r="A582" s="6"/>
    </row>
    <row r="583" spans="1:1" x14ac:dyDescent="0.35">
      <c r="A583" s="6"/>
    </row>
    <row r="584" spans="1:1" x14ac:dyDescent="0.35">
      <c r="A584" s="6"/>
    </row>
    <row r="585" spans="1:1" x14ac:dyDescent="0.35">
      <c r="A585" s="6"/>
    </row>
    <row r="586" spans="1:1" x14ac:dyDescent="0.35">
      <c r="A586" s="6"/>
    </row>
    <row r="587" spans="1:1" x14ac:dyDescent="0.35">
      <c r="A587" s="6"/>
    </row>
    <row r="588" spans="1:1" x14ac:dyDescent="0.35">
      <c r="A588" s="6"/>
    </row>
    <row r="589" spans="1:1" x14ac:dyDescent="0.35">
      <c r="A589" s="6"/>
    </row>
    <row r="590" spans="1:1" x14ac:dyDescent="0.35">
      <c r="A590" s="6"/>
    </row>
    <row r="591" spans="1:1" x14ac:dyDescent="0.35">
      <c r="A591" s="6"/>
    </row>
    <row r="592" spans="1:1" x14ac:dyDescent="0.35">
      <c r="A592" s="6"/>
    </row>
    <row r="593" spans="1:1" x14ac:dyDescent="0.35">
      <c r="A593" s="6"/>
    </row>
    <row r="594" spans="1:1" x14ac:dyDescent="0.35">
      <c r="A594" s="6"/>
    </row>
    <row r="595" spans="1:1" x14ac:dyDescent="0.35">
      <c r="A595" s="6"/>
    </row>
    <row r="596" spans="1:1" x14ac:dyDescent="0.35">
      <c r="A596" s="6"/>
    </row>
    <row r="597" spans="1:1" x14ac:dyDescent="0.35">
      <c r="A597" s="6"/>
    </row>
    <row r="598" spans="1:1" x14ac:dyDescent="0.35">
      <c r="A598" s="6"/>
    </row>
    <row r="599" spans="1:1" x14ac:dyDescent="0.35">
      <c r="A599" s="6"/>
    </row>
    <row r="600" spans="1:1" x14ac:dyDescent="0.35">
      <c r="A600" s="6"/>
    </row>
    <row r="601" spans="1:1" x14ac:dyDescent="0.35">
      <c r="A601" s="6"/>
    </row>
    <row r="602" spans="1:1" x14ac:dyDescent="0.35">
      <c r="A602" s="6"/>
    </row>
    <row r="603" spans="1:1" x14ac:dyDescent="0.35">
      <c r="A603" s="6"/>
    </row>
    <row r="604" spans="1:1" x14ac:dyDescent="0.35">
      <c r="A604" s="6"/>
    </row>
    <row r="605" spans="1:1" x14ac:dyDescent="0.35">
      <c r="A605" s="6"/>
    </row>
    <row r="606" spans="1:1" x14ac:dyDescent="0.35">
      <c r="A606" s="6"/>
    </row>
    <row r="607" spans="1:1" x14ac:dyDescent="0.35">
      <c r="A607" s="6"/>
    </row>
    <row r="608" spans="1:1" x14ac:dyDescent="0.35">
      <c r="A608" s="6"/>
    </row>
    <row r="609" spans="1:1" x14ac:dyDescent="0.35">
      <c r="A609" s="6"/>
    </row>
    <row r="610" spans="1:1" x14ac:dyDescent="0.35">
      <c r="A610" s="6"/>
    </row>
    <row r="611" spans="1:1" x14ac:dyDescent="0.35">
      <c r="A611" s="6"/>
    </row>
    <row r="612" spans="1:1" x14ac:dyDescent="0.35">
      <c r="A612" s="6"/>
    </row>
    <row r="613" spans="1:1" x14ac:dyDescent="0.35">
      <c r="A613" s="6"/>
    </row>
    <row r="614" spans="1:1" x14ac:dyDescent="0.35">
      <c r="A614" s="6"/>
    </row>
    <row r="615" spans="1:1" x14ac:dyDescent="0.35">
      <c r="A615" s="6"/>
    </row>
    <row r="616" spans="1:1" x14ac:dyDescent="0.35">
      <c r="A616" s="6"/>
    </row>
    <row r="617" spans="1:1" x14ac:dyDescent="0.35">
      <c r="A617" s="6"/>
    </row>
    <row r="618" spans="1:1" x14ac:dyDescent="0.35">
      <c r="A618" s="6"/>
    </row>
    <row r="619" spans="1:1" x14ac:dyDescent="0.35">
      <c r="A619" s="6"/>
    </row>
    <row r="620" spans="1:1" x14ac:dyDescent="0.35">
      <c r="A620" s="6"/>
    </row>
    <row r="621" spans="1:1" x14ac:dyDescent="0.35">
      <c r="A621" s="6"/>
    </row>
    <row r="622" spans="1:1" x14ac:dyDescent="0.35">
      <c r="A622" s="6"/>
    </row>
    <row r="623" spans="1:1" x14ac:dyDescent="0.35">
      <c r="A623" s="6"/>
    </row>
    <row r="624" spans="1:1" x14ac:dyDescent="0.35">
      <c r="A624" s="6"/>
    </row>
    <row r="625" spans="1:1" x14ac:dyDescent="0.35">
      <c r="A625" s="6"/>
    </row>
    <row r="626" spans="1:1" x14ac:dyDescent="0.35">
      <c r="A626" s="6"/>
    </row>
    <row r="627" spans="1:1" x14ac:dyDescent="0.35">
      <c r="A627" s="6"/>
    </row>
    <row r="628" spans="1:1" x14ac:dyDescent="0.35">
      <c r="A628" s="6"/>
    </row>
    <row r="629" spans="1:1" x14ac:dyDescent="0.35">
      <c r="A629" s="6"/>
    </row>
    <row r="630" spans="1:1" x14ac:dyDescent="0.35">
      <c r="A630" s="6"/>
    </row>
    <row r="631" spans="1:1" x14ac:dyDescent="0.35">
      <c r="A631" s="6"/>
    </row>
    <row r="632" spans="1:1" x14ac:dyDescent="0.35">
      <c r="A632" s="6"/>
    </row>
    <row r="633" spans="1:1" x14ac:dyDescent="0.35">
      <c r="A633" s="6"/>
    </row>
    <row r="634" spans="1:1" x14ac:dyDescent="0.35">
      <c r="A634" s="6"/>
    </row>
    <row r="635" spans="1:1" x14ac:dyDescent="0.35">
      <c r="A635" s="6"/>
    </row>
    <row r="636" spans="1:1" x14ac:dyDescent="0.35">
      <c r="A636" s="6"/>
    </row>
    <row r="637" spans="1:1" x14ac:dyDescent="0.35">
      <c r="A637" s="6"/>
    </row>
    <row r="638" spans="1:1" x14ac:dyDescent="0.35">
      <c r="A638" s="6"/>
    </row>
    <row r="639" spans="1:1" x14ac:dyDescent="0.35">
      <c r="A639" s="6"/>
    </row>
    <row r="640" spans="1:1" x14ac:dyDescent="0.35">
      <c r="A640" s="6"/>
    </row>
    <row r="641" spans="1:1" x14ac:dyDescent="0.35">
      <c r="A641" s="6"/>
    </row>
    <row r="642" spans="1:1" x14ac:dyDescent="0.35">
      <c r="A642" s="6"/>
    </row>
    <row r="643" spans="1:1" x14ac:dyDescent="0.35">
      <c r="A643" s="6"/>
    </row>
    <row r="644" spans="1:1" x14ac:dyDescent="0.35">
      <c r="A644" s="6"/>
    </row>
    <row r="645" spans="1:1" x14ac:dyDescent="0.35">
      <c r="A645" s="6"/>
    </row>
    <row r="646" spans="1:1" x14ac:dyDescent="0.35">
      <c r="A646" s="6"/>
    </row>
    <row r="647" spans="1:1" x14ac:dyDescent="0.35">
      <c r="A647" s="6"/>
    </row>
    <row r="648" spans="1:1" x14ac:dyDescent="0.35">
      <c r="A648" s="6"/>
    </row>
    <row r="649" spans="1:1" x14ac:dyDescent="0.35">
      <c r="A649" s="6"/>
    </row>
    <row r="650" spans="1:1" x14ac:dyDescent="0.35">
      <c r="A650" s="6"/>
    </row>
    <row r="651" spans="1:1" x14ac:dyDescent="0.35">
      <c r="A651" s="6"/>
    </row>
    <row r="652" spans="1:1" x14ac:dyDescent="0.35">
      <c r="A652" s="6"/>
    </row>
    <row r="653" spans="1:1" x14ac:dyDescent="0.35">
      <c r="A653" s="6"/>
    </row>
    <row r="654" spans="1:1" x14ac:dyDescent="0.35">
      <c r="A654" s="6"/>
    </row>
    <row r="655" spans="1:1" x14ac:dyDescent="0.35">
      <c r="A655" s="6"/>
    </row>
    <row r="656" spans="1:1" x14ac:dyDescent="0.35">
      <c r="A656" s="6"/>
    </row>
    <row r="657" spans="1:1" x14ac:dyDescent="0.35">
      <c r="A657" s="6"/>
    </row>
    <row r="658" spans="1:1" x14ac:dyDescent="0.35">
      <c r="A658" s="6"/>
    </row>
    <row r="659" spans="1:1" x14ac:dyDescent="0.35">
      <c r="A659" s="6"/>
    </row>
    <row r="660" spans="1:1" x14ac:dyDescent="0.35">
      <c r="A660" s="6"/>
    </row>
    <row r="661" spans="1:1" x14ac:dyDescent="0.35">
      <c r="A661" s="6"/>
    </row>
    <row r="662" spans="1:1" x14ac:dyDescent="0.35">
      <c r="A662" s="6"/>
    </row>
    <row r="663" spans="1:1" x14ac:dyDescent="0.35">
      <c r="A663" s="6"/>
    </row>
    <row r="664" spans="1:1" x14ac:dyDescent="0.35">
      <c r="A664" s="6"/>
    </row>
    <row r="665" spans="1:1" x14ac:dyDescent="0.35">
      <c r="A665" s="6"/>
    </row>
    <row r="666" spans="1:1" x14ac:dyDescent="0.35">
      <c r="A666" s="6"/>
    </row>
    <row r="667" spans="1:1" x14ac:dyDescent="0.35">
      <c r="A667" s="6"/>
    </row>
    <row r="668" spans="1:1" x14ac:dyDescent="0.35">
      <c r="A668" s="6"/>
    </row>
    <row r="669" spans="1:1" x14ac:dyDescent="0.35">
      <c r="A669" s="6"/>
    </row>
    <row r="670" spans="1:1" x14ac:dyDescent="0.35">
      <c r="A670" s="6"/>
    </row>
    <row r="671" spans="1:1" x14ac:dyDescent="0.35">
      <c r="A671" s="6"/>
    </row>
    <row r="672" spans="1:1" x14ac:dyDescent="0.35">
      <c r="A672" s="6"/>
    </row>
    <row r="673" spans="1:1" x14ac:dyDescent="0.35">
      <c r="A673" s="6"/>
    </row>
    <row r="674" spans="1:1" x14ac:dyDescent="0.35">
      <c r="A674" s="6"/>
    </row>
    <row r="675" spans="1:1" x14ac:dyDescent="0.35">
      <c r="A675" s="6"/>
    </row>
    <row r="676" spans="1:1" x14ac:dyDescent="0.35">
      <c r="A676" s="6"/>
    </row>
    <row r="677" spans="1:1" x14ac:dyDescent="0.35">
      <c r="A677" s="6"/>
    </row>
    <row r="678" spans="1:1" x14ac:dyDescent="0.35">
      <c r="A678" s="6"/>
    </row>
    <row r="679" spans="1:1" x14ac:dyDescent="0.35">
      <c r="A679" s="6"/>
    </row>
    <row r="680" spans="1:1" x14ac:dyDescent="0.35">
      <c r="A680" s="6"/>
    </row>
    <row r="681" spans="1:1" x14ac:dyDescent="0.35">
      <c r="A681" s="6"/>
    </row>
    <row r="682" spans="1:1" x14ac:dyDescent="0.35">
      <c r="A682" s="6"/>
    </row>
    <row r="683" spans="1:1" x14ac:dyDescent="0.35">
      <c r="A683" s="6"/>
    </row>
    <row r="684" spans="1:1" x14ac:dyDescent="0.35">
      <c r="A684" s="6"/>
    </row>
    <row r="685" spans="1:1" x14ac:dyDescent="0.35">
      <c r="A685" s="6"/>
    </row>
    <row r="686" spans="1:1" x14ac:dyDescent="0.35">
      <c r="A686" s="6"/>
    </row>
    <row r="687" spans="1:1" x14ac:dyDescent="0.35">
      <c r="A687" s="6"/>
    </row>
    <row r="688" spans="1:1" x14ac:dyDescent="0.35">
      <c r="A688" s="6"/>
    </row>
    <row r="689" spans="1:1" x14ac:dyDescent="0.35">
      <c r="A689" s="6"/>
    </row>
    <row r="690" spans="1:1" x14ac:dyDescent="0.35">
      <c r="A690" s="6"/>
    </row>
    <row r="691" spans="1:1" x14ac:dyDescent="0.35">
      <c r="A691" s="6"/>
    </row>
    <row r="692" spans="1:1" x14ac:dyDescent="0.35">
      <c r="A692" s="6"/>
    </row>
    <row r="693" spans="1:1" x14ac:dyDescent="0.35">
      <c r="A693" s="6"/>
    </row>
    <row r="694" spans="1:1" x14ac:dyDescent="0.35">
      <c r="A694" s="6"/>
    </row>
    <row r="695" spans="1:1" x14ac:dyDescent="0.35">
      <c r="A695" s="6"/>
    </row>
    <row r="696" spans="1:1" x14ac:dyDescent="0.35">
      <c r="A696" s="6"/>
    </row>
    <row r="697" spans="1:1" x14ac:dyDescent="0.35">
      <c r="A697" s="6"/>
    </row>
    <row r="698" spans="1:1" x14ac:dyDescent="0.35">
      <c r="A698" s="6"/>
    </row>
    <row r="699" spans="1:1" x14ac:dyDescent="0.35">
      <c r="A699" s="6"/>
    </row>
    <row r="700" spans="1:1" x14ac:dyDescent="0.35">
      <c r="A700" s="6"/>
    </row>
    <row r="701" spans="1:1" x14ac:dyDescent="0.35">
      <c r="A701" s="6"/>
    </row>
    <row r="702" spans="1:1" x14ac:dyDescent="0.35">
      <c r="A702" s="6"/>
    </row>
    <row r="703" spans="1:1" x14ac:dyDescent="0.35">
      <c r="A703" s="6"/>
    </row>
    <row r="704" spans="1:1" x14ac:dyDescent="0.35">
      <c r="A704" s="6"/>
    </row>
    <row r="705" spans="1:1" x14ac:dyDescent="0.35">
      <c r="A705" s="6"/>
    </row>
    <row r="706" spans="1:1" x14ac:dyDescent="0.35">
      <c r="A706" s="6"/>
    </row>
    <row r="707" spans="1:1" x14ac:dyDescent="0.35">
      <c r="A707" s="6"/>
    </row>
    <row r="708" spans="1:1" x14ac:dyDescent="0.35">
      <c r="A708" s="6"/>
    </row>
    <row r="709" spans="1:1" x14ac:dyDescent="0.35">
      <c r="A709" s="6"/>
    </row>
    <row r="710" spans="1:1" x14ac:dyDescent="0.35">
      <c r="A710" s="6"/>
    </row>
    <row r="711" spans="1:1" x14ac:dyDescent="0.35">
      <c r="A711" s="6"/>
    </row>
    <row r="712" spans="1:1" x14ac:dyDescent="0.35">
      <c r="A712" s="6"/>
    </row>
    <row r="713" spans="1:1" x14ac:dyDescent="0.35">
      <c r="A713" s="6"/>
    </row>
    <row r="714" spans="1:1" x14ac:dyDescent="0.35">
      <c r="A714" s="6"/>
    </row>
    <row r="715" spans="1:1" x14ac:dyDescent="0.35">
      <c r="A715" s="6"/>
    </row>
    <row r="716" spans="1:1" x14ac:dyDescent="0.35">
      <c r="A716" s="6"/>
    </row>
    <row r="717" spans="1:1" x14ac:dyDescent="0.35">
      <c r="A717" s="6"/>
    </row>
    <row r="718" spans="1:1" x14ac:dyDescent="0.35">
      <c r="A718" s="6"/>
    </row>
    <row r="719" spans="1:1" x14ac:dyDescent="0.35">
      <c r="A719" s="6"/>
    </row>
    <row r="720" spans="1:1" x14ac:dyDescent="0.35">
      <c r="A720" s="6"/>
    </row>
    <row r="721" spans="1:1" x14ac:dyDescent="0.35">
      <c r="A721" s="6"/>
    </row>
    <row r="722" spans="1:1" x14ac:dyDescent="0.35">
      <c r="A722" s="6"/>
    </row>
    <row r="723" spans="1:1" x14ac:dyDescent="0.35">
      <c r="A723" s="6"/>
    </row>
    <row r="724" spans="1:1" x14ac:dyDescent="0.35">
      <c r="A724" s="6"/>
    </row>
    <row r="725" spans="1:1" x14ac:dyDescent="0.35">
      <c r="A725" s="6"/>
    </row>
    <row r="726" spans="1:1" x14ac:dyDescent="0.35">
      <c r="A726" s="6"/>
    </row>
    <row r="727" spans="1:1" x14ac:dyDescent="0.35">
      <c r="A727" s="6"/>
    </row>
    <row r="728" spans="1:1" x14ac:dyDescent="0.35">
      <c r="A728" s="6"/>
    </row>
    <row r="729" spans="1:1" x14ac:dyDescent="0.35">
      <c r="A729" s="6"/>
    </row>
    <row r="730" spans="1:1" x14ac:dyDescent="0.35">
      <c r="A730" s="6"/>
    </row>
    <row r="731" spans="1:1" x14ac:dyDescent="0.35">
      <c r="A731" s="6"/>
    </row>
    <row r="732" spans="1:1" x14ac:dyDescent="0.35">
      <c r="A732" s="6"/>
    </row>
    <row r="733" spans="1:1" x14ac:dyDescent="0.35">
      <c r="A733" s="6"/>
    </row>
    <row r="734" spans="1:1" x14ac:dyDescent="0.35">
      <c r="A734" s="6"/>
    </row>
    <row r="735" spans="1:1" x14ac:dyDescent="0.35">
      <c r="A735" s="6"/>
    </row>
    <row r="736" spans="1:1" x14ac:dyDescent="0.35">
      <c r="A736" s="6"/>
    </row>
    <row r="737" spans="1:1" x14ac:dyDescent="0.35">
      <c r="A737" s="6"/>
    </row>
    <row r="738" spans="1:1" x14ac:dyDescent="0.35">
      <c r="A738" s="6"/>
    </row>
    <row r="739" spans="1:1" x14ac:dyDescent="0.35">
      <c r="A739" s="6"/>
    </row>
    <row r="740" spans="1:1" x14ac:dyDescent="0.35">
      <c r="A740" s="6"/>
    </row>
    <row r="741" spans="1:1" x14ac:dyDescent="0.35">
      <c r="A741" s="6"/>
    </row>
    <row r="742" spans="1:1" x14ac:dyDescent="0.35">
      <c r="A742" s="6"/>
    </row>
    <row r="743" spans="1:1" x14ac:dyDescent="0.35">
      <c r="A743" s="6"/>
    </row>
    <row r="744" spans="1:1" x14ac:dyDescent="0.35">
      <c r="A744" s="6"/>
    </row>
    <row r="745" spans="1:1" x14ac:dyDescent="0.35">
      <c r="A745" s="6"/>
    </row>
    <row r="746" spans="1:1" x14ac:dyDescent="0.35">
      <c r="A7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A10-72F5-46C4-AFDF-B67C0F26DD3D}">
  <dimension ref="A1:C64"/>
  <sheetViews>
    <sheetView workbookViewId="0">
      <pane xSplit="2" ySplit="6" topLeftCell="C47" activePane="bottomRight" state="frozen"/>
      <selection pane="topRight" activeCell="B1" sqref="B1"/>
      <selection pane="bottomLeft" activeCell="A7" sqref="A7"/>
      <selection pane="bottomRight" activeCell="C2" sqref="C2"/>
    </sheetView>
  </sheetViews>
  <sheetFormatPr defaultRowHeight="14.5" x14ac:dyDescent="0.35"/>
  <cols>
    <col min="1" max="1" width="10.7265625" bestFit="1" customWidth="1"/>
  </cols>
  <sheetData>
    <row r="1" spans="1:3" x14ac:dyDescent="0.35">
      <c r="B1" s="1" t="s">
        <v>386</v>
      </c>
      <c r="C1" t="s">
        <v>0</v>
      </c>
    </row>
    <row r="2" spans="1:3" x14ac:dyDescent="0.35">
      <c r="B2" t="s">
        <v>70</v>
      </c>
      <c r="C2" t="s">
        <v>74</v>
      </c>
    </row>
    <row r="3" spans="1:3" x14ac:dyDescent="0.35">
      <c r="B3" t="s">
        <v>69</v>
      </c>
      <c r="C3" t="s">
        <v>388</v>
      </c>
    </row>
    <row r="4" spans="1:3" x14ac:dyDescent="0.35">
      <c r="B4" t="s">
        <v>68</v>
      </c>
      <c r="C4" t="s">
        <v>449</v>
      </c>
    </row>
    <row r="5" spans="1:3" x14ac:dyDescent="0.35">
      <c r="B5" t="s">
        <v>67</v>
      </c>
      <c r="C5" t="s">
        <v>71</v>
      </c>
    </row>
    <row r="6" spans="1:3" x14ac:dyDescent="0.35">
      <c r="B6" t="s">
        <v>66</v>
      </c>
      <c r="C6" t="s">
        <v>447</v>
      </c>
    </row>
    <row r="7" spans="1:3" x14ac:dyDescent="0.35">
      <c r="A7" s="6">
        <v>43831</v>
      </c>
      <c r="B7" t="s">
        <v>387</v>
      </c>
      <c r="C7" s="2">
        <v>0.75</v>
      </c>
    </row>
    <row r="8" spans="1:3" x14ac:dyDescent="0.35">
      <c r="A8" s="6">
        <v>43862</v>
      </c>
      <c r="B8" t="s">
        <v>389</v>
      </c>
      <c r="C8" s="2">
        <v>0.75</v>
      </c>
    </row>
    <row r="9" spans="1:3" x14ac:dyDescent="0.35">
      <c r="A9" s="6">
        <v>43891</v>
      </c>
      <c r="B9" t="s">
        <v>390</v>
      </c>
      <c r="C9" s="2">
        <v>0.34772727272727261</v>
      </c>
    </row>
    <row r="10" spans="1:3" x14ac:dyDescent="0.35">
      <c r="A10" s="6">
        <v>43922</v>
      </c>
      <c r="B10" t="s">
        <v>391</v>
      </c>
      <c r="C10" s="2">
        <v>0.10000000000000003</v>
      </c>
    </row>
    <row r="11" spans="1:3" x14ac:dyDescent="0.35">
      <c r="A11" s="6">
        <v>43952</v>
      </c>
      <c r="B11" t="s">
        <v>392</v>
      </c>
      <c r="C11" s="2">
        <v>0.10000000000000002</v>
      </c>
    </row>
    <row r="12" spans="1:3" x14ac:dyDescent="0.35">
      <c r="A12" s="6">
        <v>43983</v>
      </c>
      <c r="B12" t="s">
        <v>393</v>
      </c>
      <c r="C12" s="2">
        <v>0.10000000000000003</v>
      </c>
    </row>
    <row r="13" spans="1:3" x14ac:dyDescent="0.35">
      <c r="A13" s="6">
        <v>44013</v>
      </c>
      <c r="B13" t="s">
        <v>394</v>
      </c>
      <c r="C13" s="2">
        <v>0.10000000000000003</v>
      </c>
    </row>
    <row r="14" spans="1:3" x14ac:dyDescent="0.35">
      <c r="A14" s="6">
        <v>44044</v>
      </c>
      <c r="B14" t="s">
        <v>395</v>
      </c>
      <c r="C14" s="2">
        <v>0.10000000000000002</v>
      </c>
    </row>
    <row r="15" spans="1:3" x14ac:dyDescent="0.35">
      <c r="A15" s="6">
        <v>44075</v>
      </c>
      <c r="B15" t="s">
        <v>396</v>
      </c>
      <c r="C15" s="2">
        <v>0.10000000000000003</v>
      </c>
    </row>
    <row r="16" spans="1:3" x14ac:dyDescent="0.35">
      <c r="A16" s="6">
        <v>44105</v>
      </c>
      <c r="B16" t="s">
        <v>397</v>
      </c>
      <c r="C16" s="2">
        <v>0.10000000000000003</v>
      </c>
    </row>
    <row r="17" spans="1:3" x14ac:dyDescent="0.35">
      <c r="A17" s="6">
        <v>44136</v>
      </c>
      <c r="B17" t="s">
        <v>398</v>
      </c>
      <c r="C17" s="2">
        <v>0.10000000000000002</v>
      </c>
    </row>
    <row r="18" spans="1:3" x14ac:dyDescent="0.35">
      <c r="A18" s="6">
        <v>44166</v>
      </c>
      <c r="B18" t="s">
        <v>399</v>
      </c>
      <c r="C18" s="2">
        <v>0.10000000000000003</v>
      </c>
    </row>
    <row r="19" spans="1:3" x14ac:dyDescent="0.35">
      <c r="A19" s="6">
        <v>44197</v>
      </c>
      <c r="B19" t="s">
        <v>400</v>
      </c>
      <c r="C19" s="2">
        <v>0.10000000000000002</v>
      </c>
    </row>
    <row r="20" spans="1:3" x14ac:dyDescent="0.35">
      <c r="A20" s="6">
        <v>44228</v>
      </c>
      <c r="B20" t="s">
        <v>401</v>
      </c>
      <c r="C20" s="2">
        <v>0.10000000000000002</v>
      </c>
    </row>
    <row r="21" spans="1:3" x14ac:dyDescent="0.35">
      <c r="A21" s="6">
        <v>44256</v>
      </c>
      <c r="B21" t="s">
        <v>402</v>
      </c>
      <c r="C21" s="2">
        <v>0.10000000000000003</v>
      </c>
    </row>
    <row r="22" spans="1:3" x14ac:dyDescent="0.35">
      <c r="A22" s="6">
        <v>44287</v>
      </c>
      <c r="B22" t="s">
        <v>403</v>
      </c>
      <c r="C22" s="2">
        <v>0.10000000000000003</v>
      </c>
    </row>
    <row r="23" spans="1:3" x14ac:dyDescent="0.35">
      <c r="A23" s="6">
        <v>44317</v>
      </c>
      <c r="B23" t="s">
        <v>404</v>
      </c>
      <c r="C23" s="2">
        <v>0.10000000000000002</v>
      </c>
    </row>
    <row r="24" spans="1:3" x14ac:dyDescent="0.35">
      <c r="A24" s="6">
        <v>44348</v>
      </c>
      <c r="B24" t="s">
        <v>405</v>
      </c>
      <c r="C24" s="2">
        <v>0.10000000000000003</v>
      </c>
    </row>
    <row r="25" spans="1:3" x14ac:dyDescent="0.35">
      <c r="A25" s="6">
        <v>44378</v>
      </c>
      <c r="B25" t="s">
        <v>406</v>
      </c>
      <c r="C25" s="2">
        <v>0.10000000000000003</v>
      </c>
    </row>
    <row r="26" spans="1:3" x14ac:dyDescent="0.35">
      <c r="A26" s="6">
        <v>44409</v>
      </c>
      <c r="B26" t="s">
        <v>407</v>
      </c>
      <c r="C26" s="2">
        <v>0.10000000000000003</v>
      </c>
    </row>
    <row r="27" spans="1:3" x14ac:dyDescent="0.35">
      <c r="A27" s="6">
        <v>44440</v>
      </c>
      <c r="B27" t="s">
        <v>408</v>
      </c>
      <c r="C27" s="2">
        <v>0.10000000000000003</v>
      </c>
    </row>
    <row r="28" spans="1:3" x14ac:dyDescent="0.35">
      <c r="A28" s="6">
        <v>44470</v>
      </c>
      <c r="B28" t="s">
        <v>409</v>
      </c>
      <c r="C28" s="2">
        <v>0.10000000000000002</v>
      </c>
    </row>
    <row r="29" spans="1:3" x14ac:dyDescent="0.35">
      <c r="A29" s="6">
        <v>44501</v>
      </c>
      <c r="B29" t="s">
        <v>410</v>
      </c>
      <c r="C29" s="2">
        <v>0.10000000000000003</v>
      </c>
    </row>
    <row r="30" spans="1:3" x14ac:dyDescent="0.35">
      <c r="A30" s="6">
        <v>44531</v>
      </c>
      <c r="B30" t="s">
        <v>411</v>
      </c>
      <c r="C30" s="2">
        <v>0.17826086956521739</v>
      </c>
    </row>
    <row r="31" spans="1:3" x14ac:dyDescent="0.35">
      <c r="A31" s="6">
        <v>44562</v>
      </c>
      <c r="B31" t="s">
        <v>412</v>
      </c>
      <c r="C31" s="2">
        <v>0.25</v>
      </c>
    </row>
    <row r="32" spans="1:3" x14ac:dyDescent="0.35">
      <c r="A32" s="6">
        <v>44593</v>
      </c>
      <c r="B32" t="s">
        <v>413</v>
      </c>
      <c r="C32" s="2">
        <v>0.47499999999999998</v>
      </c>
    </row>
    <row r="33" spans="1:3" x14ac:dyDescent="0.35">
      <c r="A33" s="6">
        <v>44621</v>
      </c>
      <c r="B33" t="s">
        <v>414</v>
      </c>
      <c r="C33" s="2">
        <v>0.61956521739130432</v>
      </c>
    </row>
    <row r="34" spans="1:3" x14ac:dyDescent="0.35">
      <c r="A34" s="6">
        <v>44652</v>
      </c>
      <c r="B34" t="s">
        <v>415</v>
      </c>
      <c r="C34" s="2">
        <v>0.75</v>
      </c>
    </row>
    <row r="35" spans="1:3" x14ac:dyDescent="0.35">
      <c r="A35" s="6">
        <v>44682</v>
      </c>
      <c r="B35" t="s">
        <v>416</v>
      </c>
      <c r="C35" s="2">
        <v>0.96590909090909094</v>
      </c>
    </row>
    <row r="36" spans="1:3" x14ac:dyDescent="0.35">
      <c r="A36" s="6">
        <v>44713</v>
      </c>
      <c r="B36" t="s">
        <v>417</v>
      </c>
      <c r="C36" s="2">
        <v>1.125</v>
      </c>
    </row>
    <row r="37" spans="1:3" x14ac:dyDescent="0.35">
      <c r="A37" s="6">
        <v>44743</v>
      </c>
      <c r="B37" t="s">
        <v>418</v>
      </c>
      <c r="C37" s="2">
        <v>1.25</v>
      </c>
    </row>
    <row r="38" spans="1:3" x14ac:dyDescent="0.35">
      <c r="A38" s="6">
        <v>44774</v>
      </c>
      <c r="B38" t="s">
        <v>419</v>
      </c>
      <c r="C38" s="2">
        <v>1.6847826086956521</v>
      </c>
    </row>
    <row r="39" spans="1:3" x14ac:dyDescent="0.35">
      <c r="A39" s="6">
        <v>44805</v>
      </c>
      <c r="B39" t="s">
        <v>420</v>
      </c>
      <c r="C39" s="2">
        <v>1.9090909090909092</v>
      </c>
    </row>
    <row r="40" spans="1:3" x14ac:dyDescent="0.35">
      <c r="A40" s="6">
        <v>44835</v>
      </c>
      <c r="B40" t="s">
        <v>421</v>
      </c>
      <c r="C40" s="2">
        <v>2.25</v>
      </c>
    </row>
    <row r="41" spans="1:3" x14ac:dyDescent="0.35">
      <c r="A41" s="6">
        <v>44866</v>
      </c>
      <c r="B41" t="s">
        <v>422</v>
      </c>
      <c r="C41" s="2">
        <v>2.9318181818181817</v>
      </c>
    </row>
    <row r="42" spans="1:3" x14ac:dyDescent="0.35">
      <c r="A42" s="6">
        <v>44896</v>
      </c>
      <c r="B42" t="s">
        <v>423</v>
      </c>
      <c r="C42" s="2">
        <v>3.2727272727272729</v>
      </c>
    </row>
    <row r="43" spans="1:3" x14ac:dyDescent="0.35">
      <c r="A43" s="6">
        <v>44927</v>
      </c>
      <c r="B43" t="s">
        <v>424</v>
      </c>
      <c r="C43" s="2">
        <v>3.5</v>
      </c>
    </row>
    <row r="44" spans="1:3" x14ac:dyDescent="0.35">
      <c r="A44" s="6">
        <v>44958</v>
      </c>
      <c r="B44" t="s">
        <v>425</v>
      </c>
      <c r="C44" s="2">
        <v>3.9750000000000001</v>
      </c>
    </row>
    <row r="45" spans="1:3" x14ac:dyDescent="0.35">
      <c r="A45" s="6">
        <v>44986</v>
      </c>
      <c r="B45" t="s">
        <v>426</v>
      </c>
      <c r="C45" s="2">
        <v>4.0760869565217392</v>
      </c>
    </row>
    <row r="46" spans="1:3" x14ac:dyDescent="0.35">
      <c r="A46" s="6">
        <v>45017</v>
      </c>
      <c r="B46" t="s">
        <v>427</v>
      </c>
      <c r="C46" s="2">
        <v>4.25</v>
      </c>
    </row>
    <row r="47" spans="1:3" x14ac:dyDescent="0.35">
      <c r="A47" s="6">
        <v>45047</v>
      </c>
      <c r="B47" t="s">
        <v>428</v>
      </c>
      <c r="C47" s="2">
        <v>4.4130434782608692</v>
      </c>
    </row>
    <row r="48" spans="1:3" x14ac:dyDescent="0.35">
      <c r="A48" s="6">
        <v>45078</v>
      </c>
      <c r="B48" t="s">
        <v>429</v>
      </c>
      <c r="C48" s="2">
        <v>4.6590909090909092</v>
      </c>
    </row>
    <row r="49" spans="1:3" x14ac:dyDescent="0.35">
      <c r="A49" s="6">
        <v>45108</v>
      </c>
      <c r="B49" t="s">
        <v>430</v>
      </c>
      <c r="C49" s="2">
        <v>5</v>
      </c>
    </row>
    <row r="50" spans="1:3" x14ac:dyDescent="0.35">
      <c r="A50" s="6">
        <v>45139</v>
      </c>
      <c r="B50" t="s">
        <v>431</v>
      </c>
      <c r="C50" s="2">
        <v>5.2282608695652177</v>
      </c>
    </row>
    <row r="51" spans="1:3" x14ac:dyDescent="0.35">
      <c r="A51" s="6">
        <v>45170</v>
      </c>
      <c r="B51" t="s">
        <v>432</v>
      </c>
      <c r="C51" s="2">
        <v>5.25</v>
      </c>
    </row>
    <row r="52" spans="1:3" x14ac:dyDescent="0.35">
      <c r="A52" s="6">
        <v>45200</v>
      </c>
      <c r="B52" t="s">
        <v>433</v>
      </c>
      <c r="C52" s="2">
        <v>5.25</v>
      </c>
    </row>
    <row r="53" spans="1:3" x14ac:dyDescent="0.35">
      <c r="A53" s="6">
        <v>45231</v>
      </c>
      <c r="B53" t="s">
        <v>434</v>
      </c>
      <c r="C53" s="2">
        <v>5.25</v>
      </c>
    </row>
    <row r="54" spans="1:3" x14ac:dyDescent="0.35">
      <c r="A54" s="6">
        <v>45261</v>
      </c>
      <c r="B54" t="s">
        <v>435</v>
      </c>
      <c r="C54" s="2">
        <v>5.25</v>
      </c>
    </row>
    <row r="55" spans="1:3" x14ac:dyDescent="0.35">
      <c r="A55" s="6">
        <v>45292</v>
      </c>
      <c r="B55" t="s">
        <v>436</v>
      </c>
      <c r="C55" s="2">
        <v>5.25</v>
      </c>
    </row>
    <row r="56" spans="1:3" x14ac:dyDescent="0.35">
      <c r="A56" s="6">
        <v>45323</v>
      </c>
      <c r="B56" t="s">
        <v>437</v>
      </c>
      <c r="C56" s="2">
        <v>5.25</v>
      </c>
    </row>
    <row r="57" spans="1:3" x14ac:dyDescent="0.35">
      <c r="A57" s="6">
        <v>45352</v>
      </c>
      <c r="B57" t="s">
        <v>438</v>
      </c>
      <c r="C57" s="2">
        <v>5.25</v>
      </c>
    </row>
    <row r="58" spans="1:3" x14ac:dyDescent="0.35">
      <c r="A58" s="6">
        <v>45383</v>
      </c>
      <c r="B58" t="s">
        <v>439</v>
      </c>
      <c r="C58" s="2">
        <v>5.25</v>
      </c>
    </row>
    <row r="59" spans="1:3" x14ac:dyDescent="0.35">
      <c r="A59" s="6">
        <v>45413</v>
      </c>
      <c r="B59" t="s">
        <v>440</v>
      </c>
      <c r="C59" s="2">
        <v>5.25</v>
      </c>
    </row>
    <row r="60" spans="1:3" x14ac:dyDescent="0.35">
      <c r="A60" s="6">
        <v>45444</v>
      </c>
      <c r="B60" t="s">
        <v>441</v>
      </c>
      <c r="C60" s="2">
        <v>5.25</v>
      </c>
    </row>
    <row r="61" spans="1:3" x14ac:dyDescent="0.35">
      <c r="A61" s="6">
        <v>45474</v>
      </c>
      <c r="B61" t="s">
        <v>442</v>
      </c>
      <c r="C61" s="2">
        <v>5.25</v>
      </c>
    </row>
    <row r="62" spans="1:3" x14ac:dyDescent="0.35">
      <c r="A62" s="6">
        <v>45505</v>
      </c>
      <c r="B62" t="s">
        <v>443</v>
      </c>
      <c r="C62" s="2">
        <v>5</v>
      </c>
    </row>
    <row r="63" spans="1:3" x14ac:dyDescent="0.35">
      <c r="A63" s="6">
        <v>45536</v>
      </c>
      <c r="B63" t="s">
        <v>444</v>
      </c>
      <c r="C63" s="2">
        <v>5</v>
      </c>
    </row>
    <row r="64" spans="1:3" x14ac:dyDescent="0.35">
      <c r="A64" s="6">
        <v>45566</v>
      </c>
      <c r="B64" t="s">
        <v>445</v>
      </c>
      <c r="C64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5A48-00AE-4CA8-B125-17E41A1FCEF7}">
  <dimension ref="A3:M45"/>
  <sheetViews>
    <sheetView zoomScale="85" zoomScaleNormal="85" workbookViewId="0">
      <pane xSplit="1" ySplit="9" topLeftCell="B19" activePane="bottomRight" state="frozen"/>
      <selection pane="topRight" activeCell="B1" sqref="B1"/>
      <selection pane="bottomLeft" activeCell="A10" sqref="A10"/>
      <selection pane="bottomRight" activeCell="K32" sqref="K31:K32"/>
    </sheetView>
  </sheetViews>
  <sheetFormatPr defaultRowHeight="14.5" x14ac:dyDescent="0.35"/>
  <cols>
    <col min="2" max="2" width="21.1796875" customWidth="1"/>
    <col min="3" max="3" width="21.54296875" customWidth="1"/>
    <col min="4" max="4" width="18.6328125" customWidth="1"/>
    <col min="5" max="5" width="2.7265625" customWidth="1"/>
    <col min="6" max="7" width="20.90625" customWidth="1"/>
  </cols>
  <sheetData>
    <row r="3" spans="1:13" x14ac:dyDescent="0.35">
      <c r="B3" s="11" t="s">
        <v>451</v>
      </c>
      <c r="C3" s="11"/>
      <c r="D3" s="11"/>
      <c r="F3" s="11" t="s">
        <v>452</v>
      </c>
      <c r="G3" s="11"/>
    </row>
    <row r="4" spans="1:13" x14ac:dyDescent="0.35">
      <c r="A4" s="1" t="s">
        <v>458</v>
      </c>
      <c r="B4" s="12" t="s">
        <v>453</v>
      </c>
      <c r="C4" s="12" t="s">
        <v>454</v>
      </c>
      <c r="D4" t="s">
        <v>455</v>
      </c>
      <c r="F4" s="12" t="s">
        <v>456</v>
      </c>
      <c r="G4" s="12" t="s">
        <v>457</v>
      </c>
    </row>
    <row r="5" spans="1:13" s="10" customFormat="1" ht="62.5" customHeight="1" x14ac:dyDescent="0.35">
      <c r="A5" s="10" t="s">
        <v>70</v>
      </c>
      <c r="B5" s="10" t="s">
        <v>463</v>
      </c>
      <c r="C5" s="10" t="s">
        <v>464</v>
      </c>
      <c r="D5" s="10" t="s">
        <v>469</v>
      </c>
      <c r="F5" s="10" t="s">
        <v>474</v>
      </c>
      <c r="G5" s="10" t="s">
        <v>475</v>
      </c>
    </row>
    <row r="6" spans="1:13" ht="2" customHeight="1" x14ac:dyDescent="0.35">
      <c r="A6" t="s">
        <v>69</v>
      </c>
      <c r="B6" t="s">
        <v>462</v>
      </c>
      <c r="C6" t="s">
        <v>462</v>
      </c>
      <c r="D6" t="s">
        <v>468</v>
      </c>
      <c r="F6" t="s">
        <v>473</v>
      </c>
      <c r="G6" t="s">
        <v>473</v>
      </c>
    </row>
    <row r="7" spans="1:13" hidden="1" x14ac:dyDescent="0.35">
      <c r="A7" t="s">
        <v>68</v>
      </c>
      <c r="B7" t="s">
        <v>461</v>
      </c>
      <c r="C7" t="s">
        <v>461</v>
      </c>
      <c r="D7" t="s">
        <v>467</v>
      </c>
      <c r="F7" t="s">
        <v>472</v>
      </c>
      <c r="G7" t="s">
        <v>472</v>
      </c>
    </row>
    <row r="8" spans="1:13" ht="1.5" customHeight="1" x14ac:dyDescent="0.35">
      <c r="A8" t="s">
        <v>67</v>
      </c>
      <c r="B8" t="s">
        <v>71</v>
      </c>
      <c r="C8" t="s">
        <v>71</v>
      </c>
      <c r="D8" t="s">
        <v>466</v>
      </c>
      <c r="F8" t="s">
        <v>471</v>
      </c>
      <c r="G8" t="s">
        <v>471</v>
      </c>
    </row>
    <row r="9" spans="1:13" ht="16" customHeight="1" x14ac:dyDescent="0.35">
      <c r="A9" t="s">
        <v>66</v>
      </c>
      <c r="B9" t="s">
        <v>460</v>
      </c>
      <c r="C9" t="s">
        <v>460</v>
      </c>
      <c r="D9" t="s">
        <v>465</v>
      </c>
      <c r="F9" t="s">
        <v>470</v>
      </c>
      <c r="G9" t="s">
        <v>470</v>
      </c>
      <c r="J9" t="s">
        <v>379</v>
      </c>
      <c r="K9" s="14">
        <v>45597</v>
      </c>
      <c r="L9" s="14">
        <v>45505</v>
      </c>
      <c r="M9" t="s">
        <v>511</v>
      </c>
    </row>
    <row r="10" spans="1:13" x14ac:dyDescent="0.35">
      <c r="A10" t="s">
        <v>459</v>
      </c>
      <c r="B10" s="8" t="e">
        <v>#N/A</v>
      </c>
      <c r="C10" s="8" t="e">
        <v>#N/A</v>
      </c>
      <c r="D10" s="13">
        <v>1.8453706649697699E-2</v>
      </c>
      <c r="F10" s="8" t="e">
        <v>#N/A</v>
      </c>
      <c r="G10" s="8" t="e">
        <v>#N/A</v>
      </c>
      <c r="J10" t="str">
        <f>LEFT(A10,4)</f>
        <v>2019</v>
      </c>
      <c r="K10" t="e">
        <f>NA()</f>
        <v>#N/A</v>
      </c>
      <c r="L10" s="8">
        <f>D10*100</f>
        <v>1.8453706649697699</v>
      </c>
      <c r="M10">
        <v>2</v>
      </c>
    </row>
    <row r="11" spans="1:13" x14ac:dyDescent="0.35">
      <c r="A11" t="s">
        <v>476</v>
      </c>
      <c r="B11" s="8" t="e">
        <v>#N/A</v>
      </c>
      <c r="C11" s="8" t="e">
        <v>#N/A</v>
      </c>
      <c r="D11" s="13">
        <v>2.018927444794949E-2</v>
      </c>
      <c r="F11" s="8" t="e">
        <v>#N/A</v>
      </c>
      <c r="G11" s="8" t="e">
        <v>#N/A</v>
      </c>
      <c r="J11" t="str">
        <f t="shared" ref="J11:J44" si="0">LEFT(A11,4)</f>
        <v>2019</v>
      </c>
      <c r="K11" t="e">
        <f>NA()</f>
        <v>#N/A</v>
      </c>
      <c r="L11" s="8">
        <f>D11*100</f>
        <v>2.018927444794949</v>
      </c>
      <c r="M11">
        <v>2</v>
      </c>
    </row>
    <row r="12" spans="1:13" x14ac:dyDescent="0.35">
      <c r="A12" t="s">
        <v>477</v>
      </c>
      <c r="B12" s="8" t="e">
        <v>#N/A</v>
      </c>
      <c r="C12" s="8" t="e">
        <v>#N/A</v>
      </c>
      <c r="D12" s="13">
        <v>1.8501097522734433E-2</v>
      </c>
      <c r="F12" s="8" t="e">
        <v>#N/A</v>
      </c>
      <c r="G12" s="8" t="e">
        <v>#N/A</v>
      </c>
      <c r="J12" t="str">
        <f t="shared" si="0"/>
        <v>2019</v>
      </c>
      <c r="K12" t="e">
        <f>NA()</f>
        <v>#N/A</v>
      </c>
      <c r="L12" s="8">
        <f>D12*100</f>
        <v>1.8501097522734433</v>
      </c>
      <c r="M12">
        <v>2</v>
      </c>
    </row>
    <row r="13" spans="1:13" x14ac:dyDescent="0.35">
      <c r="A13" t="s">
        <v>478</v>
      </c>
      <c r="B13" s="8" t="e">
        <v>#N/A</v>
      </c>
      <c r="C13" s="8" t="e">
        <v>#N/A</v>
      </c>
      <c r="D13" s="13">
        <v>1.4027431421446579E-2</v>
      </c>
      <c r="F13" s="8" t="e">
        <v>#N/A</v>
      </c>
      <c r="G13" s="8" t="e">
        <v>#N/A</v>
      </c>
      <c r="J13" t="str">
        <f t="shared" si="0"/>
        <v>2019</v>
      </c>
      <c r="K13" t="e">
        <f>NA()</f>
        <v>#N/A</v>
      </c>
      <c r="L13" s="8">
        <f>D13*100</f>
        <v>1.4027431421446579</v>
      </c>
      <c r="M13">
        <v>2</v>
      </c>
    </row>
    <row r="14" spans="1:13" x14ac:dyDescent="0.35">
      <c r="A14" t="s">
        <v>479</v>
      </c>
      <c r="B14" s="8" t="e">
        <v>#N/A</v>
      </c>
      <c r="C14" s="8" t="e">
        <v>#N/A</v>
      </c>
      <c r="D14" s="13">
        <v>1.6557325835676151E-2</v>
      </c>
      <c r="F14" s="8" t="e">
        <v>#N/A</v>
      </c>
      <c r="G14" s="8" t="e">
        <v>#N/A</v>
      </c>
      <c r="J14" t="str">
        <f t="shared" si="0"/>
        <v>2020</v>
      </c>
      <c r="K14" t="e">
        <f>NA()</f>
        <v>#N/A</v>
      </c>
      <c r="L14" s="8">
        <f>D14*100</f>
        <v>1.6557325835676151</v>
      </c>
      <c r="M14">
        <v>2</v>
      </c>
    </row>
    <row r="15" spans="1:13" x14ac:dyDescent="0.35">
      <c r="A15" t="s">
        <v>480</v>
      </c>
      <c r="B15" s="8" t="e">
        <v>#N/A</v>
      </c>
      <c r="C15" s="8" t="e">
        <v>#N/A</v>
      </c>
      <c r="D15" s="13">
        <v>6.8027210884356037E-3</v>
      </c>
      <c r="F15" s="8" t="e">
        <v>#N/A</v>
      </c>
      <c r="G15" s="8" t="e">
        <v>#N/A</v>
      </c>
      <c r="J15" t="str">
        <f t="shared" si="0"/>
        <v>2020</v>
      </c>
      <c r="K15" t="e">
        <f>NA()</f>
        <v>#N/A</v>
      </c>
      <c r="L15" s="8">
        <f>D15*100</f>
        <v>0.68027210884356037</v>
      </c>
      <c r="M15">
        <v>2</v>
      </c>
    </row>
    <row r="16" spans="1:13" x14ac:dyDescent="0.35">
      <c r="A16" t="s">
        <v>481</v>
      </c>
      <c r="B16" s="8" t="e">
        <v>#N/A</v>
      </c>
      <c r="C16" s="8" t="e">
        <v>#N/A</v>
      </c>
      <c r="D16" s="13">
        <v>6.1576354679802048E-3</v>
      </c>
      <c r="F16" s="8" t="e">
        <v>#N/A</v>
      </c>
      <c r="G16" s="8" t="e">
        <v>#N/A</v>
      </c>
      <c r="J16" t="str">
        <f t="shared" si="0"/>
        <v>2020</v>
      </c>
      <c r="K16" t="e">
        <f>NA()</f>
        <v>#N/A</v>
      </c>
      <c r="L16" s="8">
        <f>D16*100</f>
        <v>0.61576354679802048</v>
      </c>
      <c r="M16">
        <v>2</v>
      </c>
    </row>
    <row r="17" spans="1:13" x14ac:dyDescent="0.35">
      <c r="A17" t="s">
        <v>482</v>
      </c>
      <c r="B17" s="8" t="e">
        <v>#N/A</v>
      </c>
      <c r="C17" s="8" t="e">
        <v>#N/A</v>
      </c>
      <c r="D17" s="13">
        <v>5.8407623731939751E-3</v>
      </c>
      <c r="F17" s="8" t="e">
        <v>#N/A</v>
      </c>
      <c r="G17" s="8" t="e">
        <v>#N/A</v>
      </c>
      <c r="J17" t="str">
        <f t="shared" si="0"/>
        <v>2020</v>
      </c>
      <c r="K17" t="e">
        <f>NA()</f>
        <v>#N/A</v>
      </c>
      <c r="L17" s="8">
        <f>D17*100</f>
        <v>0.58407623731939751</v>
      </c>
      <c r="M17">
        <v>2</v>
      </c>
    </row>
    <row r="18" spans="1:13" x14ac:dyDescent="0.35">
      <c r="A18" t="s">
        <v>483</v>
      </c>
      <c r="B18" s="8" t="e">
        <v>#N/A</v>
      </c>
      <c r="C18" s="8" t="e">
        <v>#N/A</v>
      </c>
      <c r="D18" s="13">
        <v>6.4535955746773954E-3</v>
      </c>
      <c r="F18" s="8" t="e">
        <v>#N/A</v>
      </c>
      <c r="G18" s="8" t="e">
        <v>#N/A</v>
      </c>
      <c r="J18" t="str">
        <f t="shared" si="0"/>
        <v>2021</v>
      </c>
      <c r="K18" t="e">
        <f>NA()</f>
        <v>#N/A</v>
      </c>
      <c r="L18" s="8">
        <f>D18*100</f>
        <v>0.64535955746773954</v>
      </c>
      <c r="M18">
        <v>2</v>
      </c>
    </row>
    <row r="19" spans="1:13" x14ac:dyDescent="0.35">
      <c r="A19" t="s">
        <v>484</v>
      </c>
      <c r="B19" s="8" t="e">
        <v>#N/A</v>
      </c>
      <c r="C19" s="8" t="e">
        <v>#N/A</v>
      </c>
      <c r="D19" s="13">
        <v>2.0270270270270174E-2</v>
      </c>
      <c r="F19" s="8" t="e">
        <v>#N/A</v>
      </c>
      <c r="G19" s="8" t="e">
        <v>#N/A</v>
      </c>
      <c r="J19" t="str">
        <f t="shared" si="0"/>
        <v>2021</v>
      </c>
      <c r="K19" t="e">
        <f>NA()</f>
        <v>#N/A</v>
      </c>
      <c r="L19" s="8">
        <f>D19*100</f>
        <v>2.0270270270270174</v>
      </c>
      <c r="M19">
        <v>2</v>
      </c>
    </row>
    <row r="20" spans="1:13" x14ac:dyDescent="0.35">
      <c r="A20" t="s">
        <v>485</v>
      </c>
      <c r="B20" s="8" t="e">
        <v>#N/A</v>
      </c>
      <c r="C20" s="8" t="e">
        <v>#N/A</v>
      </c>
      <c r="D20" s="13">
        <v>2.7539779681762466E-2</v>
      </c>
      <c r="F20" s="8" t="e">
        <v>#N/A</v>
      </c>
      <c r="G20" s="8" t="e">
        <v>#N/A</v>
      </c>
      <c r="J20" t="str">
        <f t="shared" si="0"/>
        <v>2021</v>
      </c>
      <c r="K20" t="e">
        <f>NA()</f>
        <v>#N/A</v>
      </c>
      <c r="L20" s="8">
        <f>D20*100</f>
        <v>2.7539779681762466</v>
      </c>
      <c r="M20">
        <v>2</v>
      </c>
    </row>
    <row r="21" spans="1:13" x14ac:dyDescent="0.35">
      <c r="A21" t="s">
        <v>486</v>
      </c>
      <c r="B21" s="8" t="e">
        <v>#N/A</v>
      </c>
      <c r="C21" s="8" t="e">
        <v>#N/A</v>
      </c>
      <c r="D21" s="13">
        <v>4.8899755501222497E-2</v>
      </c>
      <c r="F21" s="8" t="e">
        <v>#N/A</v>
      </c>
      <c r="G21" s="8" t="e">
        <v>#N/A</v>
      </c>
      <c r="J21" t="str">
        <f t="shared" si="0"/>
        <v>2021</v>
      </c>
      <c r="K21" t="e">
        <f>NA()</f>
        <v>#N/A</v>
      </c>
      <c r="L21" s="8">
        <f>D21*100</f>
        <v>4.8899755501222497</v>
      </c>
      <c r="M21">
        <v>2</v>
      </c>
    </row>
    <row r="22" spans="1:13" x14ac:dyDescent="0.35">
      <c r="A22" t="s">
        <v>487</v>
      </c>
      <c r="B22" s="8" t="e">
        <v>#N/A</v>
      </c>
      <c r="C22" s="8" t="e">
        <v>#N/A</v>
      </c>
      <c r="D22" s="13">
        <v>6.1984732824427402E-2</v>
      </c>
      <c r="F22" s="8" t="e">
        <v>#N/A</v>
      </c>
      <c r="G22" s="8" t="e">
        <v>#N/A</v>
      </c>
      <c r="J22" t="str">
        <f t="shared" si="0"/>
        <v>2022</v>
      </c>
      <c r="K22" t="e">
        <f>NA()</f>
        <v>#N/A</v>
      </c>
      <c r="L22" s="8">
        <f>D22*100</f>
        <v>6.1984732824427402</v>
      </c>
      <c r="M22">
        <v>2</v>
      </c>
    </row>
    <row r="23" spans="1:13" x14ac:dyDescent="0.35">
      <c r="A23" t="s">
        <v>488</v>
      </c>
      <c r="B23" s="8" t="e">
        <v>#N/A</v>
      </c>
      <c r="C23" s="8" t="e">
        <v>#N/A</v>
      </c>
      <c r="D23" s="13">
        <v>9.1511137868753867E-2</v>
      </c>
      <c r="F23" s="8" t="e">
        <v>#N/A</v>
      </c>
      <c r="G23" s="8" t="e">
        <v>#N/A</v>
      </c>
      <c r="J23" t="str">
        <f t="shared" si="0"/>
        <v>2022</v>
      </c>
      <c r="K23" t="e">
        <f>NA()</f>
        <v>#N/A</v>
      </c>
      <c r="L23" s="8">
        <f>D23*100</f>
        <v>9.1511137868753867</v>
      </c>
      <c r="M23">
        <v>2</v>
      </c>
    </row>
    <row r="24" spans="1:13" x14ac:dyDescent="0.35">
      <c r="A24" t="s">
        <v>489</v>
      </c>
      <c r="B24" s="8" t="e">
        <v>#N/A</v>
      </c>
      <c r="C24" s="8" t="e">
        <v>#N/A</v>
      </c>
      <c r="D24" s="13">
        <v>0.10005955926146527</v>
      </c>
      <c r="F24" s="8" t="e">
        <v>#N/A</v>
      </c>
      <c r="G24" s="8" t="e">
        <v>#N/A</v>
      </c>
      <c r="J24" t="str">
        <f t="shared" si="0"/>
        <v>2022</v>
      </c>
      <c r="K24" t="e">
        <f>NA()</f>
        <v>#N/A</v>
      </c>
      <c r="L24" s="8">
        <f>D24*100</f>
        <v>10.005955926146527</v>
      </c>
      <c r="M24">
        <v>2</v>
      </c>
    </row>
    <row r="25" spans="1:13" x14ac:dyDescent="0.35">
      <c r="A25" t="s">
        <v>490</v>
      </c>
      <c r="B25" s="8" t="e">
        <v>#N/A</v>
      </c>
      <c r="C25" s="8" t="e">
        <v>#N/A</v>
      </c>
      <c r="D25" s="13">
        <v>0.10751748251748271</v>
      </c>
      <c r="F25" s="8" t="e">
        <v>#N/A</v>
      </c>
      <c r="G25" s="8" t="e">
        <v>#N/A</v>
      </c>
      <c r="J25" t="str">
        <f t="shared" si="0"/>
        <v>2022</v>
      </c>
      <c r="K25" t="e">
        <f>NA()</f>
        <v>#N/A</v>
      </c>
      <c r="L25" s="8">
        <f>D25*100</f>
        <v>10.751748251748271</v>
      </c>
      <c r="M25">
        <v>2</v>
      </c>
    </row>
    <row r="26" spans="1:13" x14ac:dyDescent="0.35">
      <c r="A26" t="s">
        <v>491</v>
      </c>
      <c r="B26" s="8" t="e">
        <v>#N/A</v>
      </c>
      <c r="C26" s="8" t="e">
        <v>#N/A</v>
      </c>
      <c r="D26" s="13">
        <v>0.10178263369752759</v>
      </c>
      <c r="F26" s="8" t="e">
        <v>#N/A</v>
      </c>
      <c r="G26" s="8" t="e">
        <v>#N/A</v>
      </c>
      <c r="J26" t="str">
        <f t="shared" si="0"/>
        <v>2023</v>
      </c>
      <c r="K26" t="e">
        <f>NA()</f>
        <v>#N/A</v>
      </c>
      <c r="L26" s="8">
        <f>D26*100</f>
        <v>10.178263369752759</v>
      </c>
      <c r="M26">
        <v>2</v>
      </c>
    </row>
    <row r="27" spans="1:13" x14ac:dyDescent="0.35">
      <c r="A27" t="s">
        <v>492</v>
      </c>
      <c r="B27" s="8" t="e">
        <v>#N/A</v>
      </c>
      <c r="C27" s="8" t="e">
        <v>#N/A</v>
      </c>
      <c r="D27" s="13">
        <v>8.4390512961941777E-2</v>
      </c>
      <c r="F27" s="8" t="e">
        <v>#N/A</v>
      </c>
      <c r="G27" s="8" t="e">
        <v>#N/A</v>
      </c>
      <c r="J27" t="str">
        <f t="shared" si="0"/>
        <v>2023</v>
      </c>
      <c r="K27" t="e">
        <f>NA()</f>
        <v>#N/A</v>
      </c>
      <c r="L27" s="8">
        <f>D27*100</f>
        <v>8.4390512961941777</v>
      </c>
      <c r="M27">
        <v>2</v>
      </c>
    </row>
    <row r="28" spans="1:13" x14ac:dyDescent="0.35">
      <c r="A28" t="s">
        <v>493</v>
      </c>
      <c r="B28" s="8" t="e">
        <v>#N/A</v>
      </c>
      <c r="C28" s="8" t="e">
        <v>#N/A</v>
      </c>
      <c r="D28" s="13">
        <v>6.7135896047644916E-2</v>
      </c>
      <c r="F28" s="8" t="e">
        <v>#N/A</v>
      </c>
      <c r="G28" s="8" t="e">
        <v>#N/A</v>
      </c>
      <c r="J28" t="str">
        <f t="shared" si="0"/>
        <v>2023</v>
      </c>
      <c r="K28" t="e">
        <f>NA()</f>
        <v>#N/A</v>
      </c>
      <c r="L28" s="8">
        <f>D28*100</f>
        <v>6.7135896047644916</v>
      </c>
      <c r="M28">
        <v>2</v>
      </c>
    </row>
    <row r="29" spans="1:13" x14ac:dyDescent="0.35">
      <c r="A29" t="s">
        <v>494</v>
      </c>
      <c r="B29" s="8" t="e">
        <v>#N/A</v>
      </c>
      <c r="C29" s="8" t="e">
        <v>#N/A</v>
      </c>
      <c r="D29" s="13">
        <v>4.1568008418837232E-2</v>
      </c>
      <c r="F29" s="8" t="e">
        <v>#N/A</v>
      </c>
      <c r="G29" s="8" t="e">
        <v>#N/A</v>
      </c>
      <c r="J29" t="str">
        <f t="shared" si="0"/>
        <v>2023</v>
      </c>
      <c r="K29" t="e">
        <f>NA()</f>
        <v>#N/A</v>
      </c>
      <c r="L29" s="8">
        <f>D29*100</f>
        <v>4.1568008418837232</v>
      </c>
      <c r="M29">
        <v>2</v>
      </c>
    </row>
    <row r="30" spans="1:13" x14ac:dyDescent="0.35">
      <c r="A30" t="s">
        <v>495</v>
      </c>
      <c r="B30" s="8" t="e">
        <v>#N/A</v>
      </c>
      <c r="C30" s="8" t="e">
        <v>#N/A</v>
      </c>
      <c r="D30" s="13">
        <v>3.5490605427974886E-2</v>
      </c>
      <c r="F30" s="8" t="e">
        <v>#N/A</v>
      </c>
      <c r="G30" s="8" t="e">
        <v>#N/A</v>
      </c>
      <c r="J30" t="str">
        <f t="shared" si="0"/>
        <v>2024</v>
      </c>
      <c r="K30" t="e">
        <f>NA()</f>
        <v>#N/A</v>
      </c>
      <c r="L30" s="8">
        <f>D30*100</f>
        <v>3.5490605427974886</v>
      </c>
      <c r="M30">
        <v>2</v>
      </c>
    </row>
    <row r="31" spans="1:13" x14ac:dyDescent="0.35">
      <c r="A31" t="s">
        <v>496</v>
      </c>
      <c r="B31" s="8" t="e">
        <v>#N/A</v>
      </c>
      <c r="C31" s="8" t="e">
        <v>#N/A</v>
      </c>
      <c r="D31" s="13">
        <v>2.1108850457782102E-2</v>
      </c>
      <c r="F31" s="8" t="e">
        <v>#N/A</v>
      </c>
      <c r="G31" s="8" t="e">
        <v>#N/A</v>
      </c>
      <c r="J31" t="str">
        <f t="shared" si="0"/>
        <v>2024</v>
      </c>
      <c r="K31">
        <f>D31*100</f>
        <v>2.1108850457782102</v>
      </c>
      <c r="L31" s="8">
        <f>D31*100</f>
        <v>2.1108850457782102</v>
      </c>
      <c r="M31">
        <v>2</v>
      </c>
    </row>
    <row r="32" spans="1:13" x14ac:dyDescent="0.35">
      <c r="A32" t="s">
        <v>497</v>
      </c>
      <c r="B32" s="8" t="e">
        <v>#N/A</v>
      </c>
      <c r="C32" s="8" t="e">
        <v>#N/A</v>
      </c>
      <c r="D32" s="13">
        <v>2.0547945205479312E-2</v>
      </c>
      <c r="F32" s="8">
        <v>2.2999999999999998</v>
      </c>
      <c r="G32" s="8">
        <v>2.2999999999999998</v>
      </c>
      <c r="J32" t="str">
        <f t="shared" si="0"/>
        <v>2024</v>
      </c>
      <c r="K32">
        <f>D32*100</f>
        <v>2.0547945205479312</v>
      </c>
      <c r="L32" s="16">
        <f>F32</f>
        <v>2.2999999999999998</v>
      </c>
      <c r="M32">
        <v>2</v>
      </c>
    </row>
    <row r="33" spans="1:13" x14ac:dyDescent="0.35">
      <c r="A33" t="s">
        <v>498</v>
      </c>
      <c r="B33" s="8">
        <v>2.4</v>
      </c>
      <c r="C33" s="8">
        <v>2.4</v>
      </c>
      <c r="F33" s="8">
        <v>2.7</v>
      </c>
      <c r="G33" s="8">
        <v>2.7</v>
      </c>
      <c r="J33" t="str">
        <f t="shared" si="0"/>
        <v>2024</v>
      </c>
      <c r="K33" s="15">
        <f>B33</f>
        <v>2.4</v>
      </c>
      <c r="L33" s="16">
        <f>F33</f>
        <v>2.7</v>
      </c>
      <c r="M33">
        <v>2</v>
      </c>
    </row>
    <row r="34" spans="1:13" x14ac:dyDescent="0.35">
      <c r="A34" t="s">
        <v>499</v>
      </c>
      <c r="B34" s="8">
        <v>2.4</v>
      </c>
      <c r="C34" s="8">
        <v>2.4</v>
      </c>
      <c r="F34" s="8">
        <v>2.7</v>
      </c>
      <c r="G34" s="8">
        <v>2.7</v>
      </c>
      <c r="J34" t="str">
        <f t="shared" si="0"/>
        <v>2025</v>
      </c>
      <c r="K34" s="15">
        <f t="shared" ref="K34:K44" si="1">B34</f>
        <v>2.4</v>
      </c>
      <c r="L34" s="16">
        <f t="shared" ref="L34:L44" si="2">F34</f>
        <v>2.7</v>
      </c>
      <c r="M34">
        <v>2</v>
      </c>
    </row>
    <row r="35" spans="1:13" x14ac:dyDescent="0.35">
      <c r="A35" t="s">
        <v>500</v>
      </c>
      <c r="B35" s="8">
        <v>2.6</v>
      </c>
      <c r="C35" s="8">
        <v>2.6</v>
      </c>
      <c r="F35" s="8">
        <v>2.6</v>
      </c>
      <c r="G35" s="8">
        <v>2.7</v>
      </c>
      <c r="J35" t="str">
        <f t="shared" si="0"/>
        <v>2025</v>
      </c>
      <c r="K35" s="15">
        <f t="shared" si="1"/>
        <v>2.6</v>
      </c>
      <c r="L35" s="16">
        <f t="shared" si="2"/>
        <v>2.6</v>
      </c>
      <c r="M35">
        <v>2</v>
      </c>
    </row>
    <row r="36" spans="1:13" x14ac:dyDescent="0.35">
      <c r="A36" t="s">
        <v>501</v>
      </c>
      <c r="B36" s="8">
        <v>2.8</v>
      </c>
      <c r="C36" s="8">
        <v>2.8</v>
      </c>
      <c r="F36" s="8">
        <v>2.4</v>
      </c>
      <c r="G36" s="8">
        <v>2.5</v>
      </c>
      <c r="J36" t="str">
        <f t="shared" si="0"/>
        <v>2025</v>
      </c>
      <c r="K36" s="15">
        <f t="shared" si="1"/>
        <v>2.8</v>
      </c>
      <c r="L36" s="16">
        <f t="shared" si="2"/>
        <v>2.4</v>
      </c>
      <c r="M36">
        <v>2</v>
      </c>
    </row>
    <row r="37" spans="1:13" x14ac:dyDescent="0.35">
      <c r="A37" t="s">
        <v>502</v>
      </c>
      <c r="B37" s="8">
        <v>2.7</v>
      </c>
      <c r="C37" s="8">
        <v>2.7</v>
      </c>
      <c r="F37" s="8">
        <v>2.2000000000000002</v>
      </c>
      <c r="G37" s="8">
        <v>2.2999999999999998</v>
      </c>
      <c r="J37" t="str">
        <f t="shared" si="0"/>
        <v>2025</v>
      </c>
      <c r="K37" s="15">
        <f t="shared" si="1"/>
        <v>2.7</v>
      </c>
      <c r="L37" s="16">
        <f t="shared" si="2"/>
        <v>2.2000000000000002</v>
      </c>
      <c r="M37">
        <v>2</v>
      </c>
    </row>
    <row r="38" spans="1:13" x14ac:dyDescent="0.35">
      <c r="A38" t="s">
        <v>503</v>
      </c>
      <c r="B38" s="8">
        <v>2.6</v>
      </c>
      <c r="C38" s="8">
        <v>2.6</v>
      </c>
      <c r="F38" s="8">
        <v>2</v>
      </c>
      <c r="G38" s="8">
        <v>2.1</v>
      </c>
      <c r="J38" t="str">
        <f t="shared" si="0"/>
        <v>2026</v>
      </c>
      <c r="K38" s="15">
        <f t="shared" si="1"/>
        <v>2.6</v>
      </c>
      <c r="L38" s="16">
        <f t="shared" si="2"/>
        <v>2</v>
      </c>
      <c r="M38">
        <v>2</v>
      </c>
    </row>
    <row r="39" spans="1:13" x14ac:dyDescent="0.35">
      <c r="A39" t="s">
        <v>504</v>
      </c>
      <c r="B39" s="8">
        <v>2.4</v>
      </c>
      <c r="C39" s="8">
        <v>2.4</v>
      </c>
      <c r="F39" s="8">
        <v>1.7</v>
      </c>
      <c r="G39" s="8">
        <v>1.9</v>
      </c>
      <c r="J39" t="str">
        <f t="shared" si="0"/>
        <v>2026</v>
      </c>
      <c r="K39" s="15">
        <f t="shared" si="1"/>
        <v>2.4</v>
      </c>
      <c r="L39" s="16">
        <f t="shared" si="2"/>
        <v>1.7</v>
      </c>
      <c r="M39">
        <v>2</v>
      </c>
    </row>
    <row r="40" spans="1:13" x14ac:dyDescent="0.35">
      <c r="A40" t="s">
        <v>505</v>
      </c>
      <c r="B40" s="8">
        <v>2.2999999999999998</v>
      </c>
      <c r="C40" s="8">
        <v>2.2999999999999998</v>
      </c>
      <c r="F40" s="8">
        <v>1.7</v>
      </c>
      <c r="G40" s="8">
        <v>1.9</v>
      </c>
      <c r="J40" t="str">
        <f t="shared" si="0"/>
        <v>2026</v>
      </c>
      <c r="K40" s="15">
        <f t="shared" si="1"/>
        <v>2.2999999999999998</v>
      </c>
      <c r="L40" s="16">
        <f t="shared" si="2"/>
        <v>1.7</v>
      </c>
      <c r="M40">
        <v>2</v>
      </c>
    </row>
    <row r="41" spans="1:13" x14ac:dyDescent="0.35">
      <c r="A41" t="s">
        <v>506</v>
      </c>
      <c r="B41" s="8">
        <v>2.2000000000000002</v>
      </c>
      <c r="C41" s="8">
        <v>2.2000000000000002</v>
      </c>
      <c r="F41" s="8">
        <v>1.6</v>
      </c>
      <c r="G41" s="8">
        <v>1.8</v>
      </c>
      <c r="J41" t="str">
        <f t="shared" si="0"/>
        <v>2026</v>
      </c>
      <c r="K41" s="15">
        <f t="shared" si="1"/>
        <v>2.2000000000000002</v>
      </c>
      <c r="L41" s="16">
        <f t="shared" si="2"/>
        <v>1.6</v>
      </c>
      <c r="M41">
        <v>2</v>
      </c>
    </row>
    <row r="42" spans="1:13" x14ac:dyDescent="0.35">
      <c r="A42" t="s">
        <v>507</v>
      </c>
      <c r="B42" s="8">
        <v>2.1</v>
      </c>
      <c r="C42" s="8">
        <v>2.1</v>
      </c>
      <c r="F42" s="8">
        <v>1.5</v>
      </c>
      <c r="G42" s="8">
        <v>1.7</v>
      </c>
      <c r="J42" t="str">
        <f t="shared" si="0"/>
        <v>2027</v>
      </c>
      <c r="K42" s="15">
        <f t="shared" si="1"/>
        <v>2.1</v>
      </c>
      <c r="L42" s="16">
        <f t="shared" si="2"/>
        <v>1.5</v>
      </c>
      <c r="M42">
        <v>2</v>
      </c>
    </row>
    <row r="43" spans="1:13" x14ac:dyDescent="0.35">
      <c r="A43" t="s">
        <v>508</v>
      </c>
      <c r="B43" s="8">
        <v>1.9</v>
      </c>
      <c r="C43" s="8">
        <v>1.9</v>
      </c>
      <c r="F43" s="8">
        <v>1.5</v>
      </c>
      <c r="G43" s="8">
        <v>1.7</v>
      </c>
      <c r="J43" t="str">
        <f t="shared" si="0"/>
        <v>2027</v>
      </c>
      <c r="K43" s="15">
        <f t="shared" si="1"/>
        <v>1.9</v>
      </c>
      <c r="L43" s="16">
        <f t="shared" si="2"/>
        <v>1.5</v>
      </c>
      <c r="M43">
        <v>2</v>
      </c>
    </row>
    <row r="44" spans="1:13" x14ac:dyDescent="0.35">
      <c r="A44" t="s">
        <v>509</v>
      </c>
      <c r="B44" s="8">
        <v>1.9</v>
      </c>
      <c r="C44" s="8">
        <v>1.9</v>
      </c>
      <c r="F44" s="8">
        <v>1.5</v>
      </c>
      <c r="G44" s="8">
        <v>1.8</v>
      </c>
      <c r="J44" t="str">
        <f t="shared" si="0"/>
        <v>2027</v>
      </c>
      <c r="K44" s="15">
        <f t="shared" si="1"/>
        <v>1.9</v>
      </c>
      <c r="L44" s="16">
        <f t="shared" si="2"/>
        <v>1.5</v>
      </c>
      <c r="M44">
        <v>2</v>
      </c>
    </row>
    <row r="45" spans="1:13" x14ac:dyDescent="0.35">
      <c r="A45" t="s">
        <v>510</v>
      </c>
      <c r="B45" s="8">
        <v>1.8</v>
      </c>
      <c r="C45" s="8">
        <v>1.8</v>
      </c>
    </row>
  </sheetData>
  <mergeCells count="2">
    <mergeCell ref="B3:D3"/>
    <mergeCell ref="F3:G3"/>
  </mergeCells>
  <hyperlinks>
    <hyperlink ref="B4" r:id="rId1" xr:uid="{79E4C227-3AED-4CB5-AACD-DE7C9360DCCE}"/>
    <hyperlink ref="C4" r:id="rId2" xr:uid="{11CF2585-2489-4C21-9E00-FCD91C78EC89}"/>
    <hyperlink ref="F4" r:id="rId3" xr:uid="{82DB2755-C639-4D37-B5B1-6447CD14CEDE}"/>
    <hyperlink ref="G4" r:id="rId4" xr:uid="{43FFF421-EF01-4A6B-A8BC-8B148F0F55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Chart Data</vt:lpstr>
      <vt:lpstr>HAVERD</vt:lpstr>
      <vt:lpstr>HAVERM</vt:lpstr>
      <vt:lpstr>Haver Q</vt:lpstr>
      <vt:lpstr>Chart1</vt:lpstr>
      <vt:lpstr>Chart2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2024-11-07T11:15:48Z</dcterms:created>
  <dcterms:modified xsi:type="dcterms:W3CDTF">2024-11-07T18:32:42Z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2024-11-07T11:17:02Z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fe116a9c-ed68-4f85-9530-92ce858af44c</vt:lpwstr>
  </property>
  <property fmtid="{D5CDD505-2E9C-101B-9397-08002B2CF9AE}" pid="8" name="MSIP_Label_3b83b38b-8e91-4f17-8371-95d3d41e26c0_ContentBits">
    <vt:lpwstr>0</vt:lpwstr>
  </property>
</Properties>
</file>