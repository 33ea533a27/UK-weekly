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BAFB68AB-58F9-438C-B9D9-608427B0CDF8}" xr6:coauthVersionLast="47" xr6:coauthVersionMax="47" xr10:uidLastSave="{00000000-0000-0000-0000-000000000000}"/>
  <bookViews>
    <workbookView xWindow="-110" yWindow="-110" windowWidth="19420" windowHeight="10300" tabRatio="886" activeTab="2" xr2:uid="{01EB5883-3C54-4EA7-BAD2-585E4111CB63}"/>
  </bookViews>
  <sheets>
    <sheet name="CHARTS&gt;&gt;" sheetId="26" r:id="rId1"/>
    <sheet name="Chart - US goods tariffs" sheetId="68" r:id="rId2"/>
    <sheet name="Chart - US goods tariffs V2" sheetId="69" r:id="rId3"/>
    <sheet name="DATA&gt;&gt;" sheetId="25" r:id="rId4"/>
    <sheet name="Chart Data" sheetId="2" r:id="rId5"/>
  </sheets>
  <externalReferences>
    <externalReference r:id="rId6"/>
  </externalReferences>
  <definedNames>
    <definedName name="_DLX1.INC">#REF!</definedName>
    <definedName name="_DLX2.INC">#REF!</definedName>
    <definedName name="_DLX3.INC">#REF!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30" i="2"/>
  <c r="E30" i="2"/>
  <c r="E29" i="2"/>
  <c r="D29" i="2"/>
  <c r="H5" i="2" l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G24" i="2" l="1"/>
  <c r="G4" i="2" l="1"/>
  <c r="G8" i="2"/>
  <c r="G12" i="2"/>
  <c r="G16" i="2"/>
  <c r="G20" i="2"/>
  <c r="G5" i="2"/>
  <c r="G9" i="2"/>
  <c r="G13" i="2"/>
  <c r="G17" i="2"/>
  <c r="G21" i="2"/>
  <c r="G10" i="2"/>
  <c r="G14" i="2"/>
  <c r="G18" i="2"/>
  <c r="G6" i="2"/>
  <c r="G22" i="2"/>
  <c r="G7" i="2"/>
  <c r="G11" i="2"/>
  <c r="G15" i="2"/>
  <c r="G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DG7" authorId="0" shapeId="0" xr:uid="{B740EF75-98EF-40BA-BF40-C0F23F6DED4B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6/4/22-5/11/22: 15.05%
6/11/22-5/4/23: 13.8%</t>
        </r>
      </text>
    </comment>
    <comment ref="DO7" authorId="0" shapeId="0" xr:uid="{6A08484E-5279-4A59-B570-5F9697FAD355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6/4/22-5/11/22: 15.05%
6/11/22-5/4/23: 13.8%</t>
        </r>
      </text>
    </comment>
  </commentList>
</comments>
</file>

<file path=xl/sharedStrings.xml><?xml version="1.0" encoding="utf-8"?>
<sst xmlns="http://schemas.openxmlformats.org/spreadsheetml/2006/main" count="25" uniqueCount="25">
  <si>
    <t>United Kingdom</t>
  </si>
  <si>
    <t>ASHE annual pay by sector</t>
  </si>
  <si>
    <t>Country</t>
  </si>
  <si>
    <t>European Union</t>
  </si>
  <si>
    <t>China</t>
  </si>
  <si>
    <t>Japan</t>
  </si>
  <si>
    <t>Vietnam</t>
  </si>
  <si>
    <t>South Korea</t>
  </si>
  <si>
    <t>Taiwan</t>
  </si>
  <si>
    <t>India</t>
  </si>
  <si>
    <t>Switzerland</t>
  </si>
  <si>
    <t>Thailand</t>
  </si>
  <si>
    <t>Malaysia</t>
  </si>
  <si>
    <t>Brazil</t>
  </si>
  <si>
    <t>Singapore</t>
  </si>
  <si>
    <t>Updated rate</t>
  </si>
  <si>
    <t>Cambodia</t>
  </si>
  <si>
    <t>Saudi Arabia</t>
  </si>
  <si>
    <t>Philippines</t>
  </si>
  <si>
    <t>South Africa</t>
  </si>
  <si>
    <t>Australia</t>
  </si>
  <si>
    <t>Turkey</t>
  </si>
  <si>
    <t>Israel</t>
  </si>
  <si>
    <t>Indonesia</t>
  </si>
  <si>
    <t>April 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</si>
</sst>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/>
    <xf numFmtId="0" fontId="2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12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164" fontId="8" fillId="0" borderId="0" xfId="0" applyNumberFormat="1" applyFont="1"/>
    <xf numFmtId="164" fontId="0" fillId="0" borderId="0" xfId="0" applyNumberFormat="1" applyFont="1"/>
  </cellXfs>
  <cellStyles count="8">
    <cellStyle name="Normal" xfId="0" builtinId="0"/>
    <cellStyle name="Normal 2" xfId="1" xr:uid="{C4CA7049-D613-4AAC-81D8-27288F5206AB}"/>
    <cellStyle name="Normal 2 5" xfId="2" xr:uid="{10420136-F7B3-4719-8FC8-FE4A2674724C}"/>
    <cellStyle name="Normal 3" xfId="3" xr:uid="{1C179679-BA27-48CE-A22D-98ACC79DE8D6}"/>
    <cellStyle name="Normal 4" xfId="4" xr:uid="{6A00FDA6-77F9-4BA6-9F22-D5FC258586E9}"/>
    <cellStyle name="Normal 5" xfId="5" xr:uid="{6D398DB9-DDB2-45B4-A56C-3639C50455D7}"/>
    <cellStyle name="Normal 6" xfId="6" xr:uid="{C2999A08-9F78-4F7A-8A57-4C3733B99BDA}"/>
    <cellStyle name="Normal 7" xfId="7" xr:uid="{C49CC01C-CF75-4F9D-9171-BD991986B3F8}"/>
  </cellStyles>
  <dxfs count="0"/>
  <tableStyles count="0" defaultTableStyle="TableStyleMedium2" defaultPivotStyle="PivotStyleLight16"/>
  <colors>
    <mruColors>
      <color rgb="FFBD1B21"/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755169178513319"/>
          <c:y val="0.13764061803595304"/>
          <c:w val="0.76388154534981767"/>
          <c:h val="0.72973674045461301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'Chart Data'!$F$3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Data'!$C$4:$C$24</c:f>
              <c:strCache>
                <c:ptCount val="21"/>
                <c:pt idx="0">
                  <c:v>Cambodia</c:v>
                </c:pt>
                <c:pt idx="1">
                  <c:v>Saudi Arabia</c:v>
                </c:pt>
                <c:pt idx="2">
                  <c:v>Philippines</c:v>
                </c:pt>
                <c:pt idx="3">
                  <c:v>South Africa</c:v>
                </c:pt>
                <c:pt idx="4">
                  <c:v>Australia</c:v>
                </c:pt>
                <c:pt idx="5">
                  <c:v>Turkey</c:v>
                </c:pt>
                <c:pt idx="6">
                  <c:v>Israel</c:v>
                </c:pt>
                <c:pt idx="7">
                  <c:v>Indonesia</c:v>
                </c:pt>
                <c:pt idx="8">
                  <c:v>Singapore</c:v>
                </c:pt>
                <c:pt idx="9">
                  <c:v>Brazil</c:v>
                </c:pt>
                <c:pt idx="10">
                  <c:v>Malaysia</c:v>
                </c:pt>
                <c:pt idx="11">
                  <c:v>Thailand</c:v>
                </c:pt>
                <c:pt idx="12">
                  <c:v>Switzerland</c:v>
                </c:pt>
                <c:pt idx="13">
                  <c:v>United Kingdom</c:v>
                </c:pt>
                <c:pt idx="14">
                  <c:v>India</c:v>
                </c:pt>
                <c:pt idx="15">
                  <c:v>Taiwan</c:v>
                </c:pt>
                <c:pt idx="16">
                  <c:v>South Korea</c:v>
                </c:pt>
                <c:pt idx="17">
                  <c:v>Vietnam</c:v>
                </c:pt>
                <c:pt idx="18">
                  <c:v>Japan</c:v>
                </c:pt>
                <c:pt idx="19">
                  <c:v>China</c:v>
                </c:pt>
                <c:pt idx="20">
                  <c:v>European Union</c:v>
                </c:pt>
              </c:strCache>
            </c:strRef>
          </c:cat>
          <c:val>
            <c:numRef>
              <c:f>'Chart Data'!$C$4:$C$24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7-41F9-81B5-D29CD3A4E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31339631"/>
        <c:axId val="1639976431"/>
      </c:barChart>
      <c:scatterChart>
        <c:scatterStyle val="lineMarker"/>
        <c:varyColors val="0"/>
        <c:ser>
          <c:idx val="0"/>
          <c:order val="1"/>
          <c:tx>
            <c:v>Updated rate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 Data'!$E$4:$E$24</c:f>
              <c:numCache>
                <c:formatCode>0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145</c:v>
                </c:pt>
                <c:pt idx="20">
                  <c:v>10</c:v>
                </c:pt>
              </c:numCache>
            </c:numRef>
          </c:xVal>
          <c:yVal>
            <c:numRef>
              <c:f>'Chart Data'!$H$4:$H$24</c:f>
              <c:numCache>
                <c:formatCode>0.0</c:formatCode>
                <c:ptCount val="2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  <c:pt idx="12">
                  <c:v>13.5</c:v>
                </c:pt>
                <c:pt idx="13">
                  <c:v>14.5</c:v>
                </c:pt>
                <c:pt idx="14">
                  <c:v>15.5</c:v>
                </c:pt>
                <c:pt idx="15">
                  <c:v>16.5</c:v>
                </c:pt>
                <c:pt idx="16">
                  <c:v>17.5</c:v>
                </c:pt>
                <c:pt idx="17">
                  <c:v>18.5</c:v>
                </c:pt>
                <c:pt idx="18">
                  <c:v>19.5</c:v>
                </c:pt>
                <c:pt idx="19">
                  <c:v>20.5</c:v>
                </c:pt>
                <c:pt idx="20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7-41F9-81B5-D29CD3A4E09B}"/>
            </c:ext>
          </c:extLst>
        </c:ser>
        <c:ser>
          <c:idx val="1"/>
          <c:order val="2"/>
          <c:tx>
            <c:v>Previous rate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'Chart Data'!$D$4:$D$24</c:f>
              <c:numCache>
                <c:formatCode>0</c:formatCode>
                <c:ptCount val="21"/>
                <c:pt idx="0">
                  <c:v>49</c:v>
                </c:pt>
                <c:pt idx="1">
                  <c:v>10</c:v>
                </c:pt>
                <c:pt idx="2">
                  <c:v>17</c:v>
                </c:pt>
                <c:pt idx="3">
                  <c:v>30</c:v>
                </c:pt>
                <c:pt idx="4">
                  <c:v>10</c:v>
                </c:pt>
                <c:pt idx="5">
                  <c:v>10</c:v>
                </c:pt>
                <c:pt idx="6">
                  <c:v>17</c:v>
                </c:pt>
                <c:pt idx="7">
                  <c:v>32</c:v>
                </c:pt>
                <c:pt idx="8">
                  <c:v>10</c:v>
                </c:pt>
                <c:pt idx="9">
                  <c:v>10</c:v>
                </c:pt>
                <c:pt idx="10">
                  <c:v>24</c:v>
                </c:pt>
                <c:pt idx="11">
                  <c:v>36</c:v>
                </c:pt>
                <c:pt idx="12">
                  <c:v>31</c:v>
                </c:pt>
                <c:pt idx="13">
                  <c:v>10</c:v>
                </c:pt>
                <c:pt idx="14">
                  <c:v>26</c:v>
                </c:pt>
                <c:pt idx="15">
                  <c:v>32</c:v>
                </c:pt>
                <c:pt idx="16">
                  <c:v>25</c:v>
                </c:pt>
                <c:pt idx="17">
                  <c:v>46</c:v>
                </c:pt>
                <c:pt idx="18">
                  <c:v>24</c:v>
                </c:pt>
                <c:pt idx="19">
                  <c:v>34</c:v>
                </c:pt>
                <c:pt idx="20">
                  <c:v>20</c:v>
                </c:pt>
              </c:numCache>
            </c:numRef>
          </c:xVal>
          <c:yVal>
            <c:numRef>
              <c:f>'Chart Data'!$H$4:$H$24</c:f>
              <c:numCache>
                <c:formatCode>0.0</c:formatCode>
                <c:ptCount val="2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  <c:pt idx="12">
                  <c:v>13.5</c:v>
                </c:pt>
                <c:pt idx="13">
                  <c:v>14.5</c:v>
                </c:pt>
                <c:pt idx="14">
                  <c:v>15.5</c:v>
                </c:pt>
                <c:pt idx="15">
                  <c:v>16.5</c:v>
                </c:pt>
                <c:pt idx="16">
                  <c:v>17.5</c:v>
                </c:pt>
                <c:pt idx="17">
                  <c:v>18.5</c:v>
                </c:pt>
                <c:pt idx="18">
                  <c:v>19.5</c:v>
                </c:pt>
                <c:pt idx="19">
                  <c:v>20.5</c:v>
                </c:pt>
                <c:pt idx="20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7-41F9-81B5-D29CD3A4E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283007"/>
        <c:axId val="78126668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Data'!$G$4:$G$24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2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Data'!$H$4:$H$24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1.5</c:v>
                      </c:pt>
                      <c:pt idx="1">
                        <c:v>2.5</c:v>
                      </c:pt>
                      <c:pt idx="2">
                        <c:v>3.5</c:v>
                      </c:pt>
                      <c:pt idx="3">
                        <c:v>4.5</c:v>
                      </c:pt>
                      <c:pt idx="4">
                        <c:v>5.5</c:v>
                      </c:pt>
                      <c:pt idx="5">
                        <c:v>6.5</c:v>
                      </c:pt>
                      <c:pt idx="6">
                        <c:v>7.5</c:v>
                      </c:pt>
                      <c:pt idx="7">
                        <c:v>8.5</c:v>
                      </c:pt>
                      <c:pt idx="8">
                        <c:v>9.5</c:v>
                      </c:pt>
                      <c:pt idx="9">
                        <c:v>10.5</c:v>
                      </c:pt>
                      <c:pt idx="10">
                        <c:v>11.5</c:v>
                      </c:pt>
                      <c:pt idx="11">
                        <c:v>12.5</c:v>
                      </c:pt>
                      <c:pt idx="12">
                        <c:v>13.5</c:v>
                      </c:pt>
                      <c:pt idx="13">
                        <c:v>14.5</c:v>
                      </c:pt>
                      <c:pt idx="14">
                        <c:v>15.5</c:v>
                      </c:pt>
                      <c:pt idx="15">
                        <c:v>16.5</c:v>
                      </c:pt>
                      <c:pt idx="16">
                        <c:v>17.5</c:v>
                      </c:pt>
                      <c:pt idx="17">
                        <c:v>18.5</c:v>
                      </c:pt>
                      <c:pt idx="18">
                        <c:v>19.5</c:v>
                      </c:pt>
                      <c:pt idx="19">
                        <c:v>20.5</c:v>
                      </c:pt>
                      <c:pt idx="20">
                        <c:v>21.5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197-41F9-81B5-D29CD3A4E09B}"/>
                  </c:ext>
                </c:extLst>
              </c15:ser>
            </c15:filteredScatterSeries>
          </c:ext>
        </c:extLst>
      </c:scatterChart>
      <c:valAx>
        <c:axId val="163997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crossBetween val="between"/>
        <c:majorUnit val="20"/>
      </c:valAx>
      <c:catAx>
        <c:axId val="1631339631"/>
        <c:scaling>
          <c:orientation val="minMax"/>
          <c:max val="2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9976431"/>
        <c:crosses val="autoZero"/>
        <c:auto val="0"/>
        <c:lblAlgn val="ctr"/>
        <c:lblOffset val="100"/>
        <c:tickLblSkip val="1"/>
        <c:noMultiLvlLbl val="0"/>
      </c:catAx>
      <c:valAx>
        <c:axId val="781266687"/>
        <c:scaling>
          <c:orientation val="minMax"/>
          <c:max val="22"/>
          <c:min val="0"/>
        </c:scaling>
        <c:delete val="0"/>
        <c:axPos val="r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1283007"/>
        <c:crosses val="max"/>
        <c:crossBetween val="midCat"/>
      </c:valAx>
      <c:valAx>
        <c:axId val="781283007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781266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3884611821712331"/>
          <c:y val="8.0294161343039669E-2"/>
          <c:w val="0.44309930147731963"/>
          <c:h val="5.604813549249740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755169178513319"/>
          <c:y val="0.13764061803595304"/>
          <c:w val="0.76388154534981767"/>
          <c:h val="0.72973674045461301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'Chart Data'!$F$3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Data'!$C$4:$C$24</c:f>
              <c:strCache>
                <c:ptCount val="21"/>
                <c:pt idx="0">
                  <c:v>Cambodia</c:v>
                </c:pt>
                <c:pt idx="1">
                  <c:v>Saudi Arabia</c:v>
                </c:pt>
                <c:pt idx="2">
                  <c:v>Philippines</c:v>
                </c:pt>
                <c:pt idx="3">
                  <c:v>South Africa</c:v>
                </c:pt>
                <c:pt idx="4">
                  <c:v>Australia</c:v>
                </c:pt>
                <c:pt idx="5">
                  <c:v>Turkey</c:v>
                </c:pt>
                <c:pt idx="6">
                  <c:v>Israel</c:v>
                </c:pt>
                <c:pt idx="7">
                  <c:v>Indonesia</c:v>
                </c:pt>
                <c:pt idx="8">
                  <c:v>Singapore</c:v>
                </c:pt>
                <c:pt idx="9">
                  <c:v>Brazil</c:v>
                </c:pt>
                <c:pt idx="10">
                  <c:v>Malaysia</c:v>
                </c:pt>
                <c:pt idx="11">
                  <c:v>Thailand</c:v>
                </c:pt>
                <c:pt idx="12">
                  <c:v>Switzerland</c:v>
                </c:pt>
                <c:pt idx="13">
                  <c:v>United Kingdom</c:v>
                </c:pt>
                <c:pt idx="14">
                  <c:v>India</c:v>
                </c:pt>
                <c:pt idx="15">
                  <c:v>Taiwan</c:v>
                </c:pt>
                <c:pt idx="16">
                  <c:v>South Korea</c:v>
                </c:pt>
                <c:pt idx="17">
                  <c:v>Vietnam</c:v>
                </c:pt>
                <c:pt idx="18">
                  <c:v>Japan</c:v>
                </c:pt>
                <c:pt idx="19">
                  <c:v>China</c:v>
                </c:pt>
                <c:pt idx="20">
                  <c:v>European Union</c:v>
                </c:pt>
              </c:strCache>
            </c:strRef>
          </c:cat>
          <c:val>
            <c:numRef>
              <c:f>'Chart Data'!$C$4:$C$24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3-454E-B8A7-CC287298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31339631"/>
        <c:axId val="1639976431"/>
      </c:barChart>
      <c:scatterChart>
        <c:scatterStyle val="lineMarker"/>
        <c:varyColors val="0"/>
        <c:ser>
          <c:idx val="0"/>
          <c:order val="1"/>
          <c:tx>
            <c:v>April 9th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rgbClr val="BD1B21"/>
                </a:solidFill>
              </a:ln>
              <a:effectLst/>
            </c:spPr>
          </c:marker>
          <c:xVal>
            <c:numRef>
              <c:f>'Chart Data'!$E$4:$E$24</c:f>
              <c:numCache>
                <c:formatCode>0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145</c:v>
                </c:pt>
                <c:pt idx="20">
                  <c:v>10</c:v>
                </c:pt>
              </c:numCache>
            </c:numRef>
          </c:xVal>
          <c:yVal>
            <c:numRef>
              <c:f>'Chart Data'!$H$4:$H$24</c:f>
              <c:numCache>
                <c:formatCode>0.0</c:formatCode>
                <c:ptCount val="2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  <c:pt idx="12">
                  <c:v>13.5</c:v>
                </c:pt>
                <c:pt idx="13">
                  <c:v>14.5</c:v>
                </c:pt>
                <c:pt idx="14">
                  <c:v>15.5</c:v>
                </c:pt>
                <c:pt idx="15">
                  <c:v>16.5</c:v>
                </c:pt>
                <c:pt idx="16">
                  <c:v>17.5</c:v>
                </c:pt>
                <c:pt idx="17">
                  <c:v>18.5</c:v>
                </c:pt>
                <c:pt idx="18">
                  <c:v>19.5</c:v>
                </c:pt>
                <c:pt idx="19">
                  <c:v>20.5</c:v>
                </c:pt>
                <c:pt idx="20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3-454E-B8A7-CC2872988CBC}"/>
            </c:ext>
          </c:extLst>
        </c:ser>
        <c:ser>
          <c:idx val="1"/>
          <c:order val="2"/>
          <c:tx>
            <c:v>April 2nd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'Chart Data'!$D$4:$D$24</c:f>
              <c:numCache>
                <c:formatCode>0</c:formatCode>
                <c:ptCount val="21"/>
                <c:pt idx="0">
                  <c:v>49</c:v>
                </c:pt>
                <c:pt idx="1">
                  <c:v>10</c:v>
                </c:pt>
                <c:pt idx="2">
                  <c:v>17</c:v>
                </c:pt>
                <c:pt idx="3">
                  <c:v>30</c:v>
                </c:pt>
                <c:pt idx="4">
                  <c:v>10</c:v>
                </c:pt>
                <c:pt idx="5">
                  <c:v>10</c:v>
                </c:pt>
                <c:pt idx="6">
                  <c:v>17</c:v>
                </c:pt>
                <c:pt idx="7">
                  <c:v>32</c:v>
                </c:pt>
                <c:pt idx="8">
                  <c:v>10</c:v>
                </c:pt>
                <c:pt idx="9">
                  <c:v>10</c:v>
                </c:pt>
                <c:pt idx="10">
                  <c:v>24</c:v>
                </c:pt>
                <c:pt idx="11">
                  <c:v>36</c:v>
                </c:pt>
                <c:pt idx="12">
                  <c:v>31</c:v>
                </c:pt>
                <c:pt idx="13">
                  <c:v>10</c:v>
                </c:pt>
                <c:pt idx="14">
                  <c:v>26</c:v>
                </c:pt>
                <c:pt idx="15">
                  <c:v>32</c:v>
                </c:pt>
                <c:pt idx="16">
                  <c:v>25</c:v>
                </c:pt>
                <c:pt idx="17">
                  <c:v>46</c:v>
                </c:pt>
                <c:pt idx="18">
                  <c:v>24</c:v>
                </c:pt>
                <c:pt idx="19">
                  <c:v>34</c:v>
                </c:pt>
                <c:pt idx="20">
                  <c:v>20</c:v>
                </c:pt>
              </c:numCache>
            </c:numRef>
          </c:xVal>
          <c:yVal>
            <c:numRef>
              <c:f>'Chart Data'!$H$4:$H$24</c:f>
              <c:numCache>
                <c:formatCode>0.0</c:formatCode>
                <c:ptCount val="2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  <c:pt idx="11">
                  <c:v>12.5</c:v>
                </c:pt>
                <c:pt idx="12">
                  <c:v>13.5</c:v>
                </c:pt>
                <c:pt idx="13">
                  <c:v>14.5</c:v>
                </c:pt>
                <c:pt idx="14">
                  <c:v>15.5</c:v>
                </c:pt>
                <c:pt idx="15">
                  <c:v>16.5</c:v>
                </c:pt>
                <c:pt idx="16">
                  <c:v>17.5</c:v>
                </c:pt>
                <c:pt idx="17">
                  <c:v>18.5</c:v>
                </c:pt>
                <c:pt idx="18">
                  <c:v>19.5</c:v>
                </c:pt>
                <c:pt idx="19">
                  <c:v>20.5</c:v>
                </c:pt>
                <c:pt idx="20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A3-454E-B8A7-CC287298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283007"/>
        <c:axId val="78126668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Data'!$G$4:$G$24</c15:sqref>
                        </c15:formulaRef>
                      </c:ext>
                    </c:extLst>
                    <c:numCache>
                      <c:formatCode>0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2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Data'!$H$4:$H$24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1.5</c:v>
                      </c:pt>
                      <c:pt idx="1">
                        <c:v>2.5</c:v>
                      </c:pt>
                      <c:pt idx="2">
                        <c:v>3.5</c:v>
                      </c:pt>
                      <c:pt idx="3">
                        <c:v>4.5</c:v>
                      </c:pt>
                      <c:pt idx="4">
                        <c:v>5.5</c:v>
                      </c:pt>
                      <c:pt idx="5">
                        <c:v>6.5</c:v>
                      </c:pt>
                      <c:pt idx="6">
                        <c:v>7.5</c:v>
                      </c:pt>
                      <c:pt idx="7">
                        <c:v>8.5</c:v>
                      </c:pt>
                      <c:pt idx="8">
                        <c:v>9.5</c:v>
                      </c:pt>
                      <c:pt idx="9">
                        <c:v>10.5</c:v>
                      </c:pt>
                      <c:pt idx="10">
                        <c:v>11.5</c:v>
                      </c:pt>
                      <c:pt idx="11">
                        <c:v>12.5</c:v>
                      </c:pt>
                      <c:pt idx="12">
                        <c:v>13.5</c:v>
                      </c:pt>
                      <c:pt idx="13">
                        <c:v>14.5</c:v>
                      </c:pt>
                      <c:pt idx="14">
                        <c:v>15.5</c:v>
                      </c:pt>
                      <c:pt idx="15">
                        <c:v>16.5</c:v>
                      </c:pt>
                      <c:pt idx="16">
                        <c:v>17.5</c:v>
                      </c:pt>
                      <c:pt idx="17">
                        <c:v>18.5</c:v>
                      </c:pt>
                      <c:pt idx="18">
                        <c:v>19.5</c:v>
                      </c:pt>
                      <c:pt idx="19">
                        <c:v>20.5</c:v>
                      </c:pt>
                      <c:pt idx="20">
                        <c:v>21.5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8A3-454E-B8A7-CC2872988CBC}"/>
                  </c:ext>
                </c:extLst>
              </c15:ser>
            </c15:filteredScatterSeries>
          </c:ext>
        </c:extLst>
      </c:scatterChart>
      <c:valAx>
        <c:axId val="1639976431"/>
        <c:scaling>
          <c:orientation val="minMax"/>
          <c:max val="6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crossBetween val="between"/>
        <c:majorUnit val="10"/>
      </c:valAx>
      <c:catAx>
        <c:axId val="1631339631"/>
        <c:scaling>
          <c:orientation val="minMax"/>
          <c:max val="2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9976431"/>
        <c:crosses val="autoZero"/>
        <c:auto val="0"/>
        <c:lblAlgn val="ctr"/>
        <c:lblOffset val="100"/>
        <c:tickLblSkip val="1"/>
        <c:noMultiLvlLbl val="0"/>
      </c:catAx>
      <c:valAx>
        <c:axId val="781266687"/>
        <c:scaling>
          <c:orientation val="minMax"/>
          <c:max val="22"/>
          <c:min val="0"/>
        </c:scaling>
        <c:delete val="0"/>
        <c:axPos val="r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1283007"/>
        <c:crosses val="max"/>
        <c:crossBetween val="midCat"/>
      </c:valAx>
      <c:valAx>
        <c:axId val="781283007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781266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3884611821712331"/>
          <c:y val="8.0294161343039669E-2"/>
          <c:w val="0.44309930147731963"/>
          <c:h val="5.604813549249740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BEFB98-75BD-4C9E-8EC0-B7E710EA2C38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E51583-C270-4D99-B8DB-E458CA3E7F44}">
  <sheetPr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66E66-732E-A622-60BB-3B6D3057DB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0.99688</cdr:x>
      <cdr:y>0.07817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45974" y="56272"/>
          <a:ext cx="8347855" cy="4698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Global: Tariffs on non-exempted US goods imports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White House</a:t>
          </a:r>
        </a:p>
      </cdr:txBody>
    </cdr:sp>
  </cdr:relSizeAnchor>
  <cdr:relSizeAnchor xmlns:cdr="http://schemas.openxmlformats.org/drawingml/2006/chartDrawing">
    <cdr:from>
      <cdr:x>0.30489</cdr:x>
      <cdr:y>0.92548</cdr:y>
    </cdr:from>
    <cdr:to>
      <cdr:x>0.97538</cdr:x>
      <cdr:y>0.99326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507BC0A-A947-4886-8A83-C17A58E39CF4}"/>
            </a:ext>
          </a:extLst>
        </cdr:cNvPr>
        <cdr:cNvSpPr txBox="1"/>
      </cdr:nvSpPr>
      <cdr:spPr>
        <a:xfrm xmlns:a="http://schemas.openxmlformats.org/drawingml/2006/main">
          <a:off x="2567215" y="6229406"/>
          <a:ext cx="5645584" cy="456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6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Tariff rate on non-exempted US goods imports (%)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449731-8BD1-956D-CF3F-AAD194AA82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0.99688</cdr:x>
      <cdr:y>0.07817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45974" y="56272"/>
          <a:ext cx="8347855" cy="4698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Global: Tariffs on non-exempted US goods imports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White House</a:t>
          </a:r>
        </a:p>
      </cdr:txBody>
    </cdr:sp>
  </cdr:relSizeAnchor>
  <cdr:relSizeAnchor xmlns:cdr="http://schemas.openxmlformats.org/drawingml/2006/chartDrawing">
    <cdr:from>
      <cdr:x>0.30489</cdr:x>
      <cdr:y>0.92548</cdr:y>
    </cdr:from>
    <cdr:to>
      <cdr:x>0.97538</cdr:x>
      <cdr:y>0.99326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507BC0A-A947-4886-8A83-C17A58E39CF4}"/>
            </a:ext>
          </a:extLst>
        </cdr:cNvPr>
        <cdr:cNvSpPr txBox="1"/>
      </cdr:nvSpPr>
      <cdr:spPr>
        <a:xfrm xmlns:a="http://schemas.openxmlformats.org/drawingml/2006/main">
          <a:off x="2567215" y="6229406"/>
          <a:ext cx="5645584" cy="456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6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Tariff rate on non-exempted US goods imports (%)</a:t>
          </a:r>
        </a:p>
      </cdr:txBody>
    </cdr:sp>
  </cdr:relSizeAnchor>
  <cdr:relSizeAnchor xmlns:cdr="http://schemas.openxmlformats.org/drawingml/2006/chartDrawing">
    <cdr:from>
      <cdr:x>0.90615</cdr:x>
      <cdr:y>0.18623</cdr:y>
    </cdr:from>
    <cdr:to>
      <cdr:x>0.98364</cdr:x>
      <cdr:y>0.18623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4493C877-2A96-61F7-2F4E-ABEA646207BE}"/>
            </a:ext>
          </a:extLst>
        </cdr:cNvPr>
        <cdr:cNvCxnSpPr/>
      </cdr:nvCxnSpPr>
      <cdr:spPr>
        <a:xfrm xmlns:a="http://schemas.openxmlformats.org/drawingml/2006/main">
          <a:off x="7620000" y="1251857"/>
          <a:ext cx="651600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EF20-2EE1-4AAF-95A0-C3D58FE083D5}">
  <sheetPr>
    <tabColor rgb="FFC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B309-B465-4211-8774-47A47FFC080A}">
  <sheetPr>
    <tabColor rgb="FFC00000"/>
  </sheetPr>
  <dimension ref="A1"/>
  <sheetViews>
    <sheetView workbookViewId="0">
      <selection activeCell="H26" sqref="H2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3909-17BB-4CC9-9417-D649AD463072}">
  <dimension ref="A1:FQ104"/>
  <sheetViews>
    <sheetView workbookViewId="0">
      <pane ySplit="3" topLeftCell="A4" activePane="bottomLeft" state="frozen"/>
      <selection pane="bottomLeft" activeCell="C9" sqref="C9:E15"/>
    </sheetView>
  </sheetViews>
  <sheetFormatPr defaultRowHeight="14.5" x14ac:dyDescent="0.35"/>
  <cols>
    <col min="1" max="2" width="2.7265625" customWidth="1"/>
    <col min="3" max="3" width="23.1796875" customWidth="1"/>
    <col min="4" max="8" width="9.1796875" customWidth="1"/>
    <col min="9" max="9" width="2.7265625" customWidth="1"/>
    <col min="10" max="10" width="23.1796875" customWidth="1"/>
    <col min="11" max="15" width="9.1796875" customWidth="1"/>
    <col min="16" max="16" width="2.7265625" customWidth="1"/>
    <col min="17" max="17" width="11.453125" customWidth="1"/>
    <col min="27" max="27" width="2.7265625" customWidth="1"/>
    <col min="30" max="30" width="2.7265625" customWidth="1"/>
    <col min="40" max="40" width="2.7265625" customWidth="1"/>
    <col min="43" max="43" width="2.7265625" customWidth="1"/>
    <col min="44" max="44" width="10.26953125" customWidth="1"/>
    <col min="54" max="54" width="2.7265625" customWidth="1"/>
    <col min="57" max="57" width="2.7265625" customWidth="1"/>
    <col min="60" max="60" width="2.7265625" customWidth="1"/>
    <col min="61" max="61" width="11.453125" customWidth="1"/>
    <col min="71" max="71" width="2.7265625" customWidth="1"/>
    <col min="74" max="74" width="2.7265625" customWidth="1"/>
    <col min="84" max="84" width="2.7265625" customWidth="1"/>
    <col min="87" max="87" width="2.7265625" customWidth="1"/>
    <col min="88" max="88" width="10.26953125" customWidth="1"/>
    <col min="98" max="98" width="2.7265625" customWidth="1"/>
    <col min="101" max="101" width="2.7265625" customWidth="1"/>
    <col min="104" max="104" width="2.7265625" customWidth="1"/>
    <col min="105" max="109" width="9.26953125" customWidth="1"/>
    <col min="110" max="110" width="2.7265625" customWidth="1"/>
    <col min="113" max="113" width="2.7265625" customWidth="1"/>
    <col min="114" max="117" width="9.26953125" customWidth="1"/>
    <col min="118" max="118" width="2.7265625" customWidth="1"/>
    <col min="121" max="121" width="2.7265625" customWidth="1"/>
    <col min="122" max="122" width="10.7265625" bestFit="1" customWidth="1"/>
    <col min="123" max="126" width="16" customWidth="1"/>
    <col min="127" max="127" width="2.7265625" customWidth="1"/>
    <col min="128" max="128" width="16" customWidth="1"/>
    <col min="129" max="129" width="2.7265625" customWidth="1"/>
    <col min="130" max="130" width="10.7265625" bestFit="1" customWidth="1"/>
    <col min="131" max="132" width="10.7265625" customWidth="1"/>
    <col min="133" max="133" width="2.7265625" customWidth="1"/>
    <col min="134" max="135" width="10.7265625" customWidth="1"/>
    <col min="136" max="136" width="2.7265625" customWidth="1"/>
    <col min="139" max="139" width="2.7265625" customWidth="1"/>
    <col min="140" max="140" width="10.7265625" bestFit="1" customWidth="1"/>
    <col min="143" max="143" width="2.7265625" customWidth="1"/>
    <col min="144" max="144" width="10.7265625" bestFit="1" customWidth="1"/>
    <col min="147" max="147" width="2.7265625" customWidth="1"/>
    <col min="148" max="148" width="10.7265625" bestFit="1" customWidth="1"/>
    <col min="149" max="151" width="10.7265625" customWidth="1"/>
    <col min="152" max="152" width="2.7265625" customWidth="1"/>
    <col min="153" max="154" width="10.7265625" customWidth="1"/>
    <col min="155" max="155" width="2.7265625" customWidth="1"/>
    <col min="158" max="158" width="2.7265625" customWidth="1"/>
    <col min="159" max="159" width="10.7265625" bestFit="1" customWidth="1"/>
    <col min="160" max="162" width="10.7265625" customWidth="1"/>
    <col min="163" max="163" width="2.7265625" customWidth="1"/>
    <col min="164" max="165" width="10.7265625" customWidth="1"/>
    <col min="166" max="166" width="2.7265625" customWidth="1"/>
    <col min="169" max="169" width="2.7265625" customWidth="1"/>
    <col min="170" max="170" width="17.26953125" customWidth="1"/>
  </cols>
  <sheetData>
    <row r="1" spans="1:173" x14ac:dyDescent="0.35">
      <c r="C1" s="4" t="s">
        <v>1</v>
      </c>
      <c r="J1" s="4"/>
      <c r="Q1" s="4"/>
      <c r="BI1" s="4"/>
      <c r="DA1" s="4"/>
      <c r="DR1" s="4"/>
      <c r="DS1" s="4"/>
      <c r="DT1" s="4"/>
      <c r="DU1" s="4"/>
      <c r="DV1" s="4"/>
      <c r="DX1" s="4"/>
      <c r="EA1" s="8"/>
      <c r="EB1" s="8"/>
      <c r="ED1" s="4"/>
      <c r="EE1" s="4"/>
      <c r="EJ1" s="4"/>
      <c r="EN1" s="4"/>
      <c r="ER1" s="4"/>
      <c r="ES1" s="4"/>
      <c r="ET1" s="4"/>
      <c r="EU1" s="4"/>
      <c r="EW1" s="4"/>
      <c r="EX1" s="4"/>
      <c r="FC1" s="4"/>
      <c r="FD1" s="4"/>
      <c r="FE1" s="4"/>
      <c r="FF1" s="4"/>
      <c r="FH1" s="4"/>
      <c r="FI1" s="4"/>
      <c r="FN1" s="4"/>
    </row>
    <row r="2" spans="1:173" x14ac:dyDescent="0.35">
      <c r="EA2" s="1"/>
      <c r="EB2" s="1"/>
    </row>
    <row r="3" spans="1:173" x14ac:dyDescent="0.35">
      <c r="C3" t="s">
        <v>2</v>
      </c>
      <c r="D3" t="s">
        <v>24</v>
      </c>
      <c r="E3" t="s">
        <v>15</v>
      </c>
      <c r="G3">
        <v>75</v>
      </c>
      <c r="DT3" s="2"/>
      <c r="DV3" s="2"/>
      <c r="DX3" s="2"/>
      <c r="ES3" s="3"/>
      <c r="ET3" s="3"/>
      <c r="EU3" s="3"/>
      <c r="EW3" s="3"/>
      <c r="EX3" s="3"/>
      <c r="EZ3" s="3"/>
      <c r="FA3" s="3"/>
      <c r="FD3" s="3"/>
      <c r="FE3" s="3"/>
      <c r="FF3" s="3"/>
      <c r="FH3" s="3"/>
      <c r="FI3" s="3"/>
      <c r="FK3" s="3"/>
      <c r="FL3" s="3"/>
    </row>
    <row r="4" spans="1:173" x14ac:dyDescent="0.35">
      <c r="A4" s="5"/>
      <c r="B4" s="5">
        <v>1</v>
      </c>
      <c r="C4" t="s">
        <v>16</v>
      </c>
      <c r="D4" s="5">
        <v>49</v>
      </c>
      <c r="E4" s="5">
        <v>10</v>
      </c>
      <c r="F4">
        <v>1.5</v>
      </c>
      <c r="G4" s="5" t="e">
        <f>VLOOKUP($B4,#REF!,6,FALSE)</f>
        <v>#REF!</v>
      </c>
      <c r="H4" s="1">
        <v>1.5</v>
      </c>
      <c r="I4" s="5"/>
      <c r="J4" s="5"/>
      <c r="K4" s="5"/>
      <c r="L4" s="5"/>
      <c r="M4" s="5"/>
      <c r="N4" s="5"/>
      <c r="O4" s="1"/>
      <c r="P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H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Z4" s="5"/>
      <c r="DA4" s="5"/>
      <c r="DB4" s="5"/>
      <c r="DC4" s="5"/>
      <c r="DD4" s="5"/>
      <c r="DE4" s="1"/>
      <c r="DF4" s="5"/>
      <c r="DI4" s="5"/>
      <c r="DJ4" s="5"/>
      <c r="DK4" s="5"/>
      <c r="DL4" s="5"/>
      <c r="DM4" s="1"/>
      <c r="DN4" s="5"/>
      <c r="DQ4" s="5"/>
      <c r="DR4" s="6"/>
      <c r="DS4" s="1"/>
      <c r="DT4" s="1"/>
      <c r="DU4" s="1"/>
      <c r="DV4" s="1"/>
      <c r="DW4" s="5"/>
      <c r="DX4" s="1"/>
      <c r="DY4" s="5"/>
      <c r="DZ4" s="6"/>
      <c r="EA4" s="1"/>
      <c r="EB4" s="1"/>
      <c r="EC4" s="5"/>
      <c r="ED4" s="1"/>
      <c r="EE4" s="1"/>
      <c r="EF4" s="5"/>
      <c r="EG4" s="7"/>
      <c r="EI4" s="5"/>
      <c r="EJ4" s="6"/>
      <c r="EK4" s="1"/>
      <c r="EL4" s="1"/>
      <c r="EM4" s="5"/>
      <c r="EN4" s="6"/>
      <c r="EO4" s="1"/>
      <c r="EP4" s="1"/>
      <c r="EQ4" s="5"/>
      <c r="ER4" s="6"/>
      <c r="ES4" s="5"/>
      <c r="ET4" s="5"/>
      <c r="EU4" s="5"/>
      <c r="EV4" s="5"/>
      <c r="EW4" s="1"/>
      <c r="EX4" s="1"/>
      <c r="EY4" s="5"/>
      <c r="EZ4" s="5"/>
      <c r="FA4" s="5"/>
      <c r="FB4" s="5"/>
      <c r="FC4" s="6"/>
      <c r="FD4" s="5"/>
      <c r="FE4" s="5"/>
      <c r="FF4" s="5"/>
      <c r="FG4" s="5"/>
      <c r="FH4" s="1"/>
      <c r="FI4" s="1"/>
      <c r="FJ4" s="5"/>
      <c r="FK4" s="5"/>
      <c r="FL4" s="5"/>
      <c r="FM4" s="5"/>
      <c r="FO4" s="5"/>
      <c r="FP4" s="5"/>
      <c r="FQ4" s="5"/>
    </row>
    <row r="5" spans="1:173" x14ac:dyDescent="0.35">
      <c r="A5" s="5"/>
      <c r="B5" s="5">
        <v>2</v>
      </c>
      <c r="C5" t="s">
        <v>17</v>
      </c>
      <c r="D5" s="5">
        <v>10</v>
      </c>
      <c r="E5" s="5">
        <v>10</v>
      </c>
      <c r="F5">
        <v>2.5</v>
      </c>
      <c r="G5" s="5" t="e">
        <f>VLOOKUP($B5,#REF!,6,FALSE)</f>
        <v>#REF!</v>
      </c>
      <c r="H5" s="1">
        <f>+H4+1</f>
        <v>2.5</v>
      </c>
      <c r="I5" s="5"/>
      <c r="J5" s="5"/>
      <c r="K5" s="5"/>
      <c r="L5" s="5"/>
      <c r="M5" s="5"/>
      <c r="N5" s="5"/>
      <c r="O5" s="1"/>
      <c r="P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H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Z5" s="5"/>
      <c r="DA5" s="5"/>
      <c r="DB5" s="5"/>
      <c r="DC5" s="5"/>
      <c r="DD5" s="5"/>
      <c r="DE5" s="1"/>
      <c r="DF5" s="5"/>
      <c r="DI5" s="5"/>
      <c r="DJ5" s="5"/>
      <c r="DK5" s="5"/>
      <c r="DL5" s="5"/>
      <c r="DM5" s="1"/>
      <c r="DN5" s="5"/>
      <c r="DQ5" s="5"/>
      <c r="DR5" s="6"/>
      <c r="DS5" s="1"/>
      <c r="DT5" s="1"/>
      <c r="DU5" s="1"/>
      <c r="DV5" s="1"/>
      <c r="DW5" s="5"/>
      <c r="DX5" s="1"/>
      <c r="DY5" s="5"/>
      <c r="DZ5" s="6"/>
      <c r="EA5" s="1"/>
      <c r="EB5" s="1"/>
      <c r="EC5" s="5"/>
      <c r="ED5" s="1"/>
      <c r="EE5" s="1"/>
      <c r="EF5" s="5"/>
      <c r="EG5" s="7"/>
      <c r="EI5" s="5"/>
      <c r="EJ5" s="6"/>
      <c r="EK5" s="1"/>
      <c r="EL5" s="1"/>
      <c r="EM5" s="5"/>
      <c r="EN5" s="6"/>
      <c r="EO5" s="1"/>
      <c r="EP5" s="1"/>
      <c r="EQ5" s="5"/>
      <c r="ER5" s="6"/>
      <c r="ES5" s="5"/>
      <c r="ET5" s="5"/>
      <c r="EU5" s="5"/>
      <c r="EV5" s="5"/>
      <c r="EW5" s="1"/>
      <c r="EX5" s="1"/>
      <c r="EY5" s="5"/>
      <c r="EZ5" s="5"/>
      <c r="FA5" s="5"/>
      <c r="FB5" s="5"/>
      <c r="FC5" s="6"/>
      <c r="FD5" s="5"/>
      <c r="FE5" s="5"/>
      <c r="FF5" s="5"/>
      <c r="FG5" s="5"/>
      <c r="FH5" s="1"/>
      <c r="FI5" s="1"/>
      <c r="FJ5" s="5"/>
      <c r="FK5" s="5"/>
      <c r="FL5" s="5"/>
      <c r="FM5" s="5"/>
      <c r="FO5" s="5"/>
      <c r="FP5" s="5"/>
      <c r="FQ5" s="5"/>
    </row>
    <row r="6" spans="1:173" x14ac:dyDescent="0.35">
      <c r="A6" s="5"/>
      <c r="B6" s="5">
        <v>3</v>
      </c>
      <c r="C6" t="s">
        <v>18</v>
      </c>
      <c r="D6" s="5">
        <v>17</v>
      </c>
      <c r="E6" s="5">
        <v>10</v>
      </c>
      <c r="F6">
        <v>3.5</v>
      </c>
      <c r="G6" s="5" t="e">
        <f>VLOOKUP($B6,#REF!,6,FALSE)</f>
        <v>#REF!</v>
      </c>
      <c r="H6" s="1">
        <f t="shared" ref="H6:H24" si="0">+H5+1</f>
        <v>3.5</v>
      </c>
      <c r="I6" s="5"/>
      <c r="J6" s="5"/>
      <c r="K6" s="5"/>
      <c r="L6" s="5"/>
      <c r="M6" s="5"/>
      <c r="N6" s="5"/>
      <c r="O6" s="1"/>
      <c r="P6" s="5"/>
      <c r="R6" s="1"/>
      <c r="S6" s="1"/>
      <c r="T6" s="1"/>
      <c r="U6" s="1"/>
      <c r="V6" s="1"/>
      <c r="W6" s="1"/>
      <c r="X6" s="1"/>
      <c r="Y6" s="1"/>
      <c r="Z6" s="1"/>
      <c r="AA6" s="5"/>
      <c r="AB6" s="1"/>
      <c r="AC6" s="1"/>
      <c r="AD6" s="5"/>
      <c r="AE6" s="1"/>
      <c r="AF6" s="1"/>
      <c r="AG6" s="1"/>
      <c r="AH6" s="1"/>
      <c r="AI6" s="1"/>
      <c r="AJ6" s="1"/>
      <c r="AK6" s="1"/>
      <c r="AL6" s="1"/>
      <c r="AM6" s="1"/>
      <c r="AN6" s="5"/>
      <c r="AO6" s="1"/>
      <c r="AP6" s="1"/>
      <c r="AQ6" s="5"/>
      <c r="BE6" s="5"/>
      <c r="BH6" s="5"/>
      <c r="BJ6" s="1"/>
      <c r="BK6" s="1"/>
      <c r="BL6" s="1"/>
      <c r="BM6" s="1"/>
      <c r="BN6" s="1"/>
      <c r="BO6" s="1"/>
      <c r="BP6" s="1"/>
      <c r="BQ6" s="1"/>
      <c r="BR6" s="1"/>
      <c r="BS6" s="5"/>
      <c r="BT6" s="1"/>
      <c r="BU6" s="1"/>
      <c r="BV6" s="5"/>
      <c r="BW6" s="1"/>
      <c r="BX6" s="1"/>
      <c r="BY6" s="1"/>
      <c r="BZ6" s="1"/>
      <c r="CA6" s="1"/>
      <c r="CB6" s="1"/>
      <c r="CC6" s="1"/>
      <c r="CD6" s="1"/>
      <c r="CE6" s="1"/>
      <c r="CF6" s="5"/>
      <c r="CG6" s="1"/>
      <c r="CH6" s="1"/>
      <c r="CI6" s="5"/>
      <c r="CW6" s="5"/>
      <c r="CZ6" s="5"/>
      <c r="DA6" s="5"/>
      <c r="DB6" s="5"/>
      <c r="DC6" s="5"/>
      <c r="DD6" s="5"/>
      <c r="DE6" s="1"/>
      <c r="DF6" s="5"/>
      <c r="DI6" s="5"/>
      <c r="DJ6" s="5"/>
      <c r="DK6" s="5"/>
      <c r="DL6" s="5"/>
      <c r="DM6" s="1"/>
      <c r="DN6" s="5"/>
      <c r="DQ6" s="5"/>
      <c r="DR6" s="6"/>
      <c r="DS6" s="1"/>
      <c r="DT6" s="1"/>
      <c r="DU6" s="1"/>
      <c r="DV6" s="1"/>
      <c r="DW6" s="5"/>
      <c r="DX6" s="1"/>
      <c r="DY6" s="5"/>
      <c r="DZ6" s="6"/>
      <c r="EA6" s="1"/>
      <c r="EB6" s="1"/>
      <c r="EC6" s="5"/>
      <c r="ED6" s="1"/>
      <c r="EE6" s="1"/>
      <c r="EF6" s="5"/>
      <c r="EG6" s="7"/>
      <c r="EI6" s="5"/>
      <c r="EJ6" s="6"/>
      <c r="EK6" s="1"/>
      <c r="EL6" s="1"/>
      <c r="EM6" s="5"/>
      <c r="EN6" s="6"/>
      <c r="EO6" s="1"/>
      <c r="EP6" s="1"/>
      <c r="EQ6" s="5"/>
      <c r="ER6" s="6"/>
      <c r="ES6" s="5"/>
      <c r="ET6" s="5"/>
      <c r="EU6" s="5"/>
      <c r="EV6" s="5"/>
      <c r="EW6" s="1"/>
      <c r="EX6" s="1"/>
      <c r="EY6" s="5"/>
      <c r="EZ6" s="5"/>
      <c r="FA6" s="5"/>
      <c r="FB6" s="5"/>
      <c r="FC6" s="6"/>
      <c r="FD6" s="5"/>
      <c r="FE6" s="5"/>
      <c r="FF6" s="5"/>
      <c r="FG6" s="5"/>
      <c r="FH6" s="1"/>
      <c r="FI6" s="1"/>
      <c r="FJ6" s="5"/>
      <c r="FK6" s="5"/>
      <c r="FL6" s="5"/>
      <c r="FM6" s="5"/>
      <c r="FO6" s="5"/>
      <c r="FP6" s="5"/>
      <c r="FQ6" s="5"/>
    </row>
    <row r="7" spans="1:173" x14ac:dyDescent="0.35">
      <c r="A7" s="5"/>
      <c r="B7" s="5">
        <v>4</v>
      </c>
      <c r="C7" t="s">
        <v>19</v>
      </c>
      <c r="D7" s="5">
        <v>30</v>
      </c>
      <c r="E7" s="5">
        <v>10</v>
      </c>
      <c r="F7">
        <v>4.5</v>
      </c>
      <c r="G7" s="5" t="e">
        <f>VLOOKUP($B7,#REF!,6,FALSE)</f>
        <v>#REF!</v>
      </c>
      <c r="H7" s="1">
        <f t="shared" si="0"/>
        <v>4.5</v>
      </c>
      <c r="I7" s="5"/>
      <c r="J7" s="5"/>
      <c r="K7" s="5"/>
      <c r="L7" s="5"/>
      <c r="M7" s="5"/>
      <c r="N7" s="5"/>
      <c r="O7" s="1"/>
      <c r="P7" s="5"/>
      <c r="AA7" s="5"/>
      <c r="AD7" s="5"/>
      <c r="AN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H7" s="5"/>
      <c r="BS7" s="5"/>
      <c r="BV7" s="5"/>
      <c r="CF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Z7" s="5"/>
      <c r="DA7" s="5"/>
      <c r="DB7" s="5"/>
      <c r="DC7" s="5"/>
      <c r="DD7" s="5"/>
      <c r="DE7" s="1"/>
      <c r="DF7" s="5"/>
      <c r="DI7" s="5"/>
      <c r="DJ7" s="5"/>
      <c r="DK7" s="5"/>
      <c r="DL7" s="5"/>
      <c r="DM7" s="1"/>
      <c r="DN7" s="5"/>
      <c r="DQ7" s="5"/>
      <c r="DR7" s="6"/>
      <c r="DS7" s="1"/>
      <c r="DT7" s="1"/>
      <c r="DU7" s="1"/>
      <c r="DV7" s="1"/>
      <c r="DW7" s="5"/>
      <c r="DX7" s="1"/>
      <c r="DY7" s="5"/>
      <c r="DZ7" s="6"/>
      <c r="EA7" s="1"/>
      <c r="EB7" s="1"/>
      <c r="EC7" s="5"/>
      <c r="ED7" s="1"/>
      <c r="EE7" s="1"/>
      <c r="EF7" s="5"/>
      <c r="EG7" s="7"/>
      <c r="EI7" s="5"/>
      <c r="EJ7" s="6"/>
      <c r="EK7" s="1"/>
      <c r="EL7" s="1"/>
      <c r="EM7" s="5"/>
      <c r="EN7" s="6"/>
      <c r="EO7" s="1"/>
      <c r="EP7" s="1"/>
      <c r="EQ7" s="5"/>
      <c r="ER7" s="6"/>
      <c r="ES7" s="5"/>
      <c r="ET7" s="5"/>
      <c r="EU7" s="5"/>
      <c r="EV7" s="5"/>
      <c r="EW7" s="1"/>
      <c r="EX7" s="1"/>
      <c r="EY7" s="5"/>
      <c r="EZ7" s="5"/>
      <c r="FA7" s="5"/>
      <c r="FB7" s="5"/>
      <c r="FC7" s="6"/>
      <c r="FD7" s="5"/>
      <c r="FE7" s="5"/>
      <c r="FF7" s="5"/>
      <c r="FG7" s="5"/>
      <c r="FH7" s="1"/>
      <c r="FI7" s="1"/>
      <c r="FJ7" s="5"/>
      <c r="FK7" s="5"/>
      <c r="FL7" s="5"/>
      <c r="FM7" s="5"/>
      <c r="FO7" s="5"/>
      <c r="FP7" s="5"/>
      <c r="FQ7" s="5"/>
    </row>
    <row r="8" spans="1:173" x14ac:dyDescent="0.35">
      <c r="A8" s="5"/>
      <c r="B8" s="5">
        <v>5</v>
      </c>
      <c r="C8" t="s">
        <v>20</v>
      </c>
      <c r="D8" s="5">
        <v>10</v>
      </c>
      <c r="E8" s="5">
        <v>10</v>
      </c>
      <c r="F8">
        <v>5.5</v>
      </c>
      <c r="G8" s="5" t="e">
        <f>VLOOKUP($B8,#REF!,6,FALSE)</f>
        <v>#REF!</v>
      </c>
      <c r="H8" s="1">
        <f t="shared" si="0"/>
        <v>5.5</v>
      </c>
      <c r="I8" s="5"/>
      <c r="J8" s="5"/>
      <c r="K8" s="5"/>
      <c r="L8" s="5"/>
      <c r="M8" s="5"/>
      <c r="N8" s="5"/>
      <c r="O8" s="1"/>
      <c r="P8" s="5"/>
      <c r="AA8" s="5"/>
      <c r="AD8" s="5"/>
      <c r="AN8" s="5"/>
      <c r="AQ8" s="5"/>
      <c r="AR8" s="5"/>
      <c r="AS8" s="1"/>
      <c r="AT8" s="1"/>
      <c r="AU8" s="1"/>
      <c r="AV8" s="1"/>
      <c r="AW8" s="1"/>
      <c r="AX8" s="1"/>
      <c r="AY8" s="1"/>
      <c r="AZ8" s="1"/>
      <c r="BA8" s="1"/>
      <c r="BB8" s="5"/>
      <c r="BC8" s="1"/>
      <c r="BD8" s="1"/>
      <c r="BE8" s="5"/>
      <c r="BH8" s="5"/>
      <c r="BS8" s="5"/>
      <c r="BV8" s="5"/>
      <c r="CF8" s="5"/>
      <c r="CI8" s="5"/>
      <c r="CJ8" s="5"/>
      <c r="CK8" s="1"/>
      <c r="CL8" s="1"/>
      <c r="CM8" s="1"/>
      <c r="CN8" s="1"/>
      <c r="CO8" s="1"/>
      <c r="CP8" s="1"/>
      <c r="CQ8" s="1"/>
      <c r="CR8" s="1"/>
      <c r="CS8" s="1"/>
      <c r="CT8" s="5"/>
      <c r="CU8" s="1"/>
      <c r="CV8" s="1"/>
      <c r="CW8" s="5"/>
      <c r="CZ8" s="5"/>
      <c r="DA8" s="5"/>
      <c r="DB8" s="5"/>
      <c r="DC8" s="5"/>
      <c r="DD8" s="5"/>
      <c r="DE8" s="1"/>
      <c r="DF8" s="5"/>
      <c r="DI8" s="5"/>
      <c r="DJ8" s="5"/>
      <c r="DK8" s="5"/>
      <c r="DL8" s="5"/>
      <c r="DM8" s="1"/>
      <c r="DN8" s="5"/>
      <c r="DQ8" s="5"/>
      <c r="DR8" s="6"/>
      <c r="DS8" s="1"/>
      <c r="DT8" s="1"/>
      <c r="DU8" s="1"/>
      <c r="DV8" s="1"/>
      <c r="DW8" s="5"/>
      <c r="DX8" s="1"/>
      <c r="DY8" s="5"/>
      <c r="DZ8" s="6"/>
      <c r="EA8" s="1"/>
      <c r="EB8" s="1"/>
      <c r="EC8" s="5"/>
      <c r="ED8" s="1"/>
      <c r="EE8" s="1"/>
      <c r="EF8" s="5"/>
      <c r="EG8" s="7"/>
      <c r="EI8" s="5"/>
      <c r="EJ8" s="6"/>
      <c r="EK8" s="1"/>
      <c r="EL8" s="1"/>
      <c r="EM8" s="5"/>
      <c r="EN8" s="6"/>
      <c r="EO8" s="1"/>
      <c r="EP8" s="1"/>
      <c r="EQ8" s="5"/>
      <c r="ER8" s="6"/>
      <c r="ES8" s="5"/>
      <c r="ET8" s="5"/>
      <c r="EU8" s="5"/>
      <c r="EV8" s="5"/>
      <c r="EW8" s="1"/>
      <c r="EX8" s="1"/>
      <c r="EY8" s="5"/>
      <c r="EZ8" s="5"/>
      <c r="FA8" s="5"/>
      <c r="FB8" s="5"/>
      <c r="FC8" s="6"/>
      <c r="FD8" s="5"/>
      <c r="FE8" s="5"/>
      <c r="FF8" s="5"/>
      <c r="FG8" s="5"/>
      <c r="FH8" s="1"/>
      <c r="FI8" s="1"/>
      <c r="FJ8" s="5"/>
      <c r="FK8" s="5"/>
      <c r="FL8" s="5"/>
      <c r="FM8" s="5"/>
      <c r="FO8" s="5"/>
      <c r="FP8" s="5"/>
      <c r="FQ8" s="5"/>
    </row>
    <row r="9" spans="1:173" x14ac:dyDescent="0.35">
      <c r="A9" s="5"/>
      <c r="B9" s="5">
        <v>6</v>
      </c>
      <c r="C9" t="s">
        <v>21</v>
      </c>
      <c r="D9" s="5">
        <v>10</v>
      </c>
      <c r="E9" s="5">
        <v>10</v>
      </c>
      <c r="F9">
        <v>6.5</v>
      </c>
      <c r="G9" s="5" t="e">
        <f>VLOOKUP($B9,#REF!,6,FALSE)</f>
        <v>#REF!</v>
      </c>
      <c r="H9" s="1">
        <f t="shared" si="0"/>
        <v>6.5</v>
      </c>
      <c r="I9" s="5"/>
      <c r="J9" s="5"/>
      <c r="K9" s="5"/>
      <c r="L9" s="5"/>
      <c r="M9" s="5"/>
      <c r="N9" s="5"/>
      <c r="O9" s="1"/>
      <c r="P9" s="5"/>
      <c r="AA9" s="5"/>
      <c r="AD9" s="5"/>
      <c r="AN9" s="5"/>
      <c r="AQ9" s="5"/>
      <c r="AR9" s="5"/>
      <c r="BB9" s="5"/>
      <c r="BE9" s="5"/>
      <c r="BH9" s="5"/>
      <c r="BS9" s="5"/>
      <c r="BV9" s="5"/>
      <c r="CF9" s="5"/>
      <c r="CI9" s="5"/>
      <c r="CJ9" s="5"/>
      <c r="CT9" s="5"/>
      <c r="CW9" s="5"/>
      <c r="CZ9" s="5"/>
      <c r="DA9" s="5"/>
      <c r="DB9" s="5"/>
      <c r="DC9" s="5"/>
      <c r="DD9" s="5"/>
      <c r="DE9" s="1"/>
      <c r="DF9" s="5"/>
      <c r="DI9" s="5"/>
      <c r="DJ9" s="5"/>
      <c r="DK9" s="5"/>
      <c r="DL9" s="5"/>
      <c r="DM9" s="1"/>
      <c r="DN9" s="5"/>
      <c r="DQ9" s="5"/>
      <c r="DR9" s="6"/>
      <c r="DS9" s="1"/>
      <c r="DT9" s="1"/>
      <c r="DU9" s="1"/>
      <c r="DV9" s="1"/>
      <c r="DW9" s="5"/>
      <c r="DX9" s="1"/>
      <c r="DY9" s="5"/>
      <c r="DZ9" s="6"/>
      <c r="EA9" s="1"/>
      <c r="EB9" s="1"/>
      <c r="EC9" s="5"/>
      <c r="ED9" s="1"/>
      <c r="EE9" s="1"/>
      <c r="EF9" s="5"/>
      <c r="EG9" s="7"/>
      <c r="EI9" s="5"/>
      <c r="EJ9" s="6"/>
      <c r="EK9" s="1"/>
      <c r="EL9" s="1"/>
      <c r="EM9" s="5"/>
      <c r="EN9" s="6"/>
      <c r="EO9" s="1"/>
      <c r="EP9" s="1"/>
      <c r="EQ9" s="5"/>
      <c r="ER9" s="6"/>
      <c r="ES9" s="5"/>
      <c r="ET9" s="5"/>
      <c r="EU9" s="5"/>
      <c r="EV9" s="5"/>
      <c r="EW9" s="1"/>
      <c r="EX9" s="1"/>
      <c r="EY9" s="5"/>
      <c r="EZ9" s="5"/>
      <c r="FA9" s="5"/>
      <c r="FB9" s="5"/>
      <c r="FC9" s="6"/>
      <c r="FD9" s="5"/>
      <c r="FE9" s="5"/>
      <c r="FF9" s="5"/>
      <c r="FG9" s="5"/>
      <c r="FH9" s="1"/>
      <c r="FI9" s="1"/>
      <c r="FJ9" s="5"/>
      <c r="FK9" s="5"/>
      <c r="FL9" s="5"/>
      <c r="FM9" s="5"/>
    </row>
    <row r="10" spans="1:173" x14ac:dyDescent="0.35">
      <c r="A10" s="5"/>
      <c r="B10" s="5">
        <v>7</v>
      </c>
      <c r="C10" t="s">
        <v>22</v>
      </c>
      <c r="D10" s="5">
        <v>17</v>
      </c>
      <c r="E10" s="5">
        <v>10</v>
      </c>
      <c r="F10">
        <v>7.5</v>
      </c>
      <c r="G10" s="5" t="e">
        <f>VLOOKUP($B10,#REF!,6,FALSE)</f>
        <v>#REF!</v>
      </c>
      <c r="H10" s="1">
        <f t="shared" si="0"/>
        <v>7.5</v>
      </c>
      <c r="I10" s="5"/>
      <c r="J10" s="5"/>
      <c r="K10" s="5"/>
      <c r="L10" s="5"/>
      <c r="M10" s="5"/>
      <c r="N10" s="5"/>
      <c r="O10" s="1"/>
      <c r="P10" s="5"/>
      <c r="AA10" s="5"/>
      <c r="AD10" s="5"/>
      <c r="AN10" s="5"/>
      <c r="AQ10" s="5"/>
      <c r="AR10" s="5"/>
      <c r="BB10" s="5"/>
      <c r="BE10" s="5"/>
      <c r="BH10" s="5"/>
      <c r="BS10" s="5"/>
      <c r="BV10" s="5"/>
      <c r="CF10" s="5"/>
      <c r="CI10" s="5"/>
      <c r="CJ10" s="5"/>
      <c r="CT10" s="5"/>
      <c r="CW10" s="5"/>
      <c r="CZ10" s="5"/>
      <c r="DA10" s="5"/>
      <c r="DB10" s="5"/>
      <c r="DC10" s="5"/>
      <c r="DD10" s="5"/>
      <c r="DE10" s="1"/>
      <c r="DF10" s="5"/>
      <c r="DI10" s="5"/>
      <c r="DJ10" s="5"/>
      <c r="DK10" s="5"/>
      <c r="DL10" s="5"/>
      <c r="DM10" s="1"/>
      <c r="DN10" s="5"/>
      <c r="DQ10" s="5"/>
      <c r="DR10" s="6"/>
      <c r="DS10" s="1"/>
      <c r="DT10" s="1"/>
      <c r="DU10" s="1"/>
      <c r="DV10" s="1"/>
      <c r="DW10" s="5"/>
      <c r="DX10" s="1"/>
      <c r="DY10" s="5"/>
      <c r="DZ10" s="6"/>
      <c r="EA10" s="1"/>
      <c r="EB10" s="1"/>
      <c r="EC10" s="5"/>
      <c r="ED10" s="1"/>
      <c r="EE10" s="1"/>
      <c r="EF10" s="5"/>
      <c r="EG10" s="7"/>
      <c r="EI10" s="5"/>
      <c r="EJ10" s="6"/>
      <c r="EK10" s="1"/>
      <c r="EL10" s="1"/>
      <c r="EM10" s="5"/>
      <c r="EN10" s="6"/>
      <c r="EO10" s="1"/>
      <c r="EP10" s="1"/>
      <c r="EQ10" s="5"/>
      <c r="ER10" s="6"/>
      <c r="ES10" s="5"/>
      <c r="ET10" s="5"/>
      <c r="EU10" s="5"/>
      <c r="EV10" s="5"/>
      <c r="EW10" s="1"/>
      <c r="EX10" s="1"/>
      <c r="EY10" s="5"/>
      <c r="EZ10" s="5"/>
      <c r="FA10" s="5"/>
      <c r="FB10" s="5"/>
      <c r="FC10" s="6"/>
      <c r="FD10" s="5"/>
      <c r="FE10" s="5"/>
      <c r="FF10" s="5"/>
      <c r="FG10" s="5"/>
      <c r="FH10" s="1"/>
      <c r="FI10" s="1"/>
      <c r="FJ10" s="5"/>
      <c r="FK10" s="5"/>
      <c r="FL10" s="5"/>
      <c r="FM10" s="5"/>
    </row>
    <row r="11" spans="1:173" x14ac:dyDescent="0.35">
      <c r="A11" s="5"/>
      <c r="B11" s="5">
        <v>8</v>
      </c>
      <c r="C11" t="s">
        <v>23</v>
      </c>
      <c r="D11" s="5">
        <v>32</v>
      </c>
      <c r="E11" s="5">
        <v>10</v>
      </c>
      <c r="F11">
        <v>8.5</v>
      </c>
      <c r="G11" s="5" t="e">
        <f>VLOOKUP($B11,#REF!,6,FALSE)</f>
        <v>#REF!</v>
      </c>
      <c r="H11" s="1">
        <f t="shared" si="0"/>
        <v>8.5</v>
      </c>
      <c r="I11" s="5"/>
      <c r="J11" s="5"/>
      <c r="K11" s="5"/>
      <c r="L11" s="5"/>
      <c r="M11" s="5"/>
      <c r="N11" s="5"/>
      <c r="O11" s="1"/>
      <c r="P11" s="5"/>
      <c r="AA11" s="5"/>
      <c r="AD11" s="5"/>
      <c r="AN11" s="5"/>
      <c r="AQ11" s="5"/>
      <c r="AR11" s="5"/>
      <c r="BB11" s="5"/>
      <c r="BE11" s="5"/>
      <c r="BH11" s="5"/>
      <c r="BS11" s="5"/>
      <c r="BV11" s="5"/>
      <c r="CF11" s="5"/>
      <c r="CI11" s="5"/>
      <c r="CJ11" s="5"/>
      <c r="CT11" s="5"/>
      <c r="CW11" s="5"/>
      <c r="CZ11" s="5"/>
      <c r="DA11" s="5"/>
      <c r="DB11" s="5"/>
      <c r="DC11" s="5"/>
      <c r="DD11" s="5"/>
      <c r="DE11" s="5"/>
      <c r="DF11" s="5"/>
      <c r="DI11" s="5"/>
      <c r="DJ11" s="5"/>
      <c r="DK11" s="5"/>
      <c r="DL11" s="5"/>
      <c r="DM11" s="5"/>
      <c r="DN11" s="5"/>
      <c r="DQ11" s="5"/>
      <c r="DR11" s="6"/>
      <c r="DS11" s="1"/>
      <c r="DT11" s="1"/>
      <c r="DU11" s="1"/>
      <c r="DV11" s="1"/>
      <c r="DW11" s="5"/>
      <c r="DX11" s="1"/>
      <c r="DY11" s="5"/>
      <c r="DZ11" s="6"/>
      <c r="EA11" s="1"/>
      <c r="EB11" s="1"/>
      <c r="EC11" s="5"/>
      <c r="ED11" s="1"/>
      <c r="EE11" s="1"/>
      <c r="EF11" s="5"/>
      <c r="EG11" s="7"/>
      <c r="EI11" s="5"/>
      <c r="EJ11" s="6"/>
      <c r="EK11" s="1"/>
      <c r="EL11" s="1"/>
      <c r="EM11" s="5"/>
      <c r="EN11" s="6"/>
      <c r="EO11" s="1"/>
      <c r="EP11" s="1"/>
      <c r="EQ11" s="5"/>
      <c r="ER11" s="6"/>
      <c r="ES11" s="5"/>
      <c r="ET11" s="5"/>
      <c r="EU11" s="5"/>
      <c r="EV11" s="5"/>
      <c r="EW11" s="1"/>
      <c r="EX11" s="1"/>
      <c r="EY11" s="5"/>
      <c r="EZ11" s="5"/>
      <c r="FA11" s="5"/>
      <c r="FB11" s="5"/>
      <c r="FC11" s="6"/>
      <c r="FD11" s="5"/>
      <c r="FE11" s="5"/>
      <c r="FF11" s="5"/>
      <c r="FG11" s="5"/>
      <c r="FH11" s="1"/>
      <c r="FI11" s="1"/>
      <c r="FJ11" s="5"/>
      <c r="FK11" s="5"/>
      <c r="FL11" s="5"/>
      <c r="FM11" s="5"/>
    </row>
    <row r="12" spans="1:173" x14ac:dyDescent="0.35">
      <c r="A12" s="5"/>
      <c r="B12" s="5">
        <v>9</v>
      </c>
      <c r="C12" t="s">
        <v>14</v>
      </c>
      <c r="D12" s="5">
        <v>10</v>
      </c>
      <c r="E12" s="5">
        <v>10</v>
      </c>
      <c r="F12">
        <v>9.5</v>
      </c>
      <c r="G12" s="5" t="e">
        <f>VLOOKUP($B12,#REF!,6,FALSE)</f>
        <v>#REF!</v>
      </c>
      <c r="H12" s="1">
        <f t="shared" si="0"/>
        <v>9.5</v>
      </c>
      <c r="I12" s="5"/>
      <c r="J12" s="5"/>
      <c r="K12" s="5"/>
      <c r="L12" s="5"/>
      <c r="M12" s="5"/>
      <c r="N12" s="5"/>
      <c r="O12" s="1"/>
      <c r="P12" s="5"/>
      <c r="AA12" s="5"/>
      <c r="AD12" s="5"/>
      <c r="AN12" s="5"/>
      <c r="AQ12" s="5"/>
      <c r="AR12" s="5"/>
      <c r="BB12" s="5"/>
      <c r="BE12" s="5"/>
      <c r="BH12" s="5"/>
      <c r="BS12" s="5"/>
      <c r="BV12" s="5"/>
      <c r="CF12" s="5"/>
      <c r="CI12" s="5"/>
      <c r="CJ12" s="5"/>
      <c r="CT12" s="5"/>
      <c r="CW12" s="5"/>
      <c r="CZ12" s="5"/>
      <c r="DA12" s="5"/>
      <c r="DB12" s="5"/>
      <c r="DC12" s="5"/>
      <c r="DD12" s="1"/>
      <c r="DE12" s="5"/>
      <c r="DF12" s="5"/>
      <c r="DI12" s="5"/>
      <c r="DJ12" s="5"/>
      <c r="DK12" s="5"/>
      <c r="DL12" s="1"/>
      <c r="DM12" s="5"/>
      <c r="DN12" s="5"/>
      <c r="DQ12" s="5"/>
      <c r="DR12" s="6"/>
      <c r="DS12" s="1"/>
      <c r="DT12" s="1"/>
      <c r="DU12" s="1"/>
      <c r="DV12" s="1"/>
      <c r="DW12" s="5"/>
      <c r="DX12" s="1"/>
      <c r="DY12" s="5"/>
      <c r="DZ12" s="6"/>
      <c r="EA12" s="1"/>
      <c r="EB12" s="1"/>
      <c r="EC12" s="5"/>
      <c r="ED12" s="1"/>
      <c r="EE12" s="1"/>
      <c r="EF12" s="5"/>
      <c r="EG12" s="7"/>
      <c r="EI12" s="5"/>
      <c r="EJ12" s="6"/>
      <c r="EK12" s="1"/>
      <c r="EL12" s="1"/>
      <c r="EM12" s="5"/>
      <c r="EN12" s="6"/>
      <c r="EO12" s="1"/>
      <c r="EP12" s="1"/>
      <c r="EQ12" s="5"/>
      <c r="ER12" s="6"/>
      <c r="ES12" s="5"/>
      <c r="ET12" s="5"/>
      <c r="EU12" s="5"/>
      <c r="EV12" s="5"/>
      <c r="EW12" s="1"/>
      <c r="EX12" s="1"/>
      <c r="EY12" s="5"/>
      <c r="EZ12" s="5"/>
      <c r="FA12" s="5"/>
      <c r="FB12" s="5"/>
      <c r="FC12" s="6"/>
      <c r="FD12" s="5"/>
      <c r="FE12" s="5"/>
      <c r="FF12" s="5"/>
      <c r="FG12" s="5"/>
      <c r="FH12" s="1"/>
      <c r="FI12" s="1"/>
      <c r="FJ12" s="5"/>
      <c r="FK12" s="5"/>
      <c r="FL12" s="5"/>
      <c r="FM12" s="5"/>
    </row>
    <row r="13" spans="1:173" x14ac:dyDescent="0.35">
      <c r="A13" s="5"/>
      <c r="B13" s="5">
        <v>10</v>
      </c>
      <c r="C13" t="s">
        <v>13</v>
      </c>
      <c r="D13" s="5">
        <v>10</v>
      </c>
      <c r="E13" s="5">
        <v>10</v>
      </c>
      <c r="F13">
        <v>10.5</v>
      </c>
      <c r="G13" s="5" t="e">
        <f>VLOOKUP($B13,#REF!,6,FALSE)</f>
        <v>#REF!</v>
      </c>
      <c r="H13" s="1">
        <f t="shared" si="0"/>
        <v>10.5</v>
      </c>
      <c r="I13" s="5"/>
      <c r="J13" s="5"/>
      <c r="K13" s="5"/>
      <c r="L13" s="5"/>
      <c r="M13" s="5"/>
      <c r="N13" s="5"/>
      <c r="O13" s="1"/>
      <c r="P13" s="5"/>
      <c r="AA13" s="5"/>
      <c r="AD13" s="5"/>
      <c r="AN13" s="5"/>
      <c r="AQ13" s="5"/>
      <c r="AR13" s="5"/>
      <c r="BB13" s="5"/>
      <c r="BE13" s="5"/>
      <c r="BH13" s="5"/>
      <c r="BS13" s="5"/>
      <c r="BV13" s="5"/>
      <c r="CF13" s="5"/>
      <c r="CI13" s="5"/>
      <c r="CJ13" s="5"/>
      <c r="CT13" s="5"/>
      <c r="CW13" s="5"/>
      <c r="CZ13" s="5"/>
      <c r="DA13" s="5"/>
      <c r="DB13" s="5"/>
      <c r="DC13" s="5"/>
      <c r="DD13" s="5"/>
      <c r="DE13" s="5"/>
      <c r="DF13" s="5"/>
      <c r="DI13" s="5"/>
      <c r="DJ13" s="5"/>
      <c r="DK13" s="5"/>
      <c r="DL13" s="5"/>
      <c r="DM13" s="5"/>
      <c r="DN13" s="5"/>
      <c r="DQ13" s="5"/>
      <c r="DR13" s="6"/>
      <c r="DS13" s="1"/>
      <c r="DT13" s="1"/>
      <c r="DU13" s="1"/>
      <c r="DV13" s="1"/>
      <c r="DW13" s="5"/>
      <c r="DX13" s="1"/>
      <c r="DY13" s="5"/>
      <c r="DZ13" s="6"/>
      <c r="EA13" s="1"/>
      <c r="EB13" s="1"/>
      <c r="EC13" s="5"/>
      <c r="ED13" s="1"/>
      <c r="EE13" s="1"/>
      <c r="EF13" s="5"/>
      <c r="EG13" s="7"/>
      <c r="EI13" s="5"/>
      <c r="EJ13" s="6"/>
      <c r="EK13" s="1"/>
      <c r="EL13" s="1"/>
      <c r="EM13" s="5"/>
      <c r="EN13" s="6"/>
      <c r="EO13" s="1"/>
      <c r="EP13" s="1"/>
      <c r="EQ13" s="5"/>
      <c r="ER13" s="6"/>
      <c r="ES13" s="5"/>
      <c r="ET13" s="5"/>
      <c r="EU13" s="5"/>
      <c r="EV13" s="5"/>
      <c r="EW13" s="1"/>
      <c r="EX13" s="1"/>
      <c r="EY13" s="5"/>
      <c r="EZ13" s="5"/>
      <c r="FA13" s="5"/>
      <c r="FB13" s="5"/>
      <c r="FC13" s="6"/>
      <c r="FD13" s="5"/>
      <c r="FE13" s="5"/>
      <c r="FF13" s="5"/>
      <c r="FG13" s="5"/>
      <c r="FH13" s="1"/>
      <c r="FI13" s="1"/>
      <c r="FJ13" s="5"/>
      <c r="FK13" s="5"/>
      <c r="FL13" s="5"/>
      <c r="FM13" s="5"/>
    </row>
    <row r="14" spans="1:173" x14ac:dyDescent="0.35">
      <c r="A14" s="5"/>
      <c r="B14" s="5">
        <v>11</v>
      </c>
      <c r="C14" t="s">
        <v>12</v>
      </c>
      <c r="D14" s="5">
        <v>24</v>
      </c>
      <c r="E14" s="5">
        <v>10</v>
      </c>
      <c r="F14">
        <v>11.5</v>
      </c>
      <c r="G14" s="5" t="e">
        <f>VLOOKUP($B14,#REF!,6,FALSE)</f>
        <v>#REF!</v>
      </c>
      <c r="H14" s="1">
        <f t="shared" si="0"/>
        <v>11.5</v>
      </c>
      <c r="I14" s="5"/>
      <c r="J14" s="5"/>
      <c r="K14" s="5"/>
      <c r="L14" s="5"/>
      <c r="M14" s="5"/>
      <c r="N14" s="5"/>
      <c r="O14" s="1"/>
      <c r="P14" s="5"/>
      <c r="AA14" s="5"/>
      <c r="AD14" s="5"/>
      <c r="AN14" s="5"/>
      <c r="AQ14" s="5"/>
      <c r="AR14" s="5"/>
      <c r="BB14" s="5"/>
      <c r="BE14" s="5"/>
      <c r="BH14" s="5"/>
      <c r="BS14" s="5"/>
      <c r="BV14" s="5"/>
      <c r="CF14" s="5"/>
      <c r="CI14" s="5"/>
      <c r="CJ14" s="5"/>
      <c r="CT14" s="5"/>
      <c r="CW14" s="5"/>
      <c r="CZ14" s="5"/>
      <c r="DA14" s="5"/>
      <c r="DB14" s="5"/>
      <c r="DC14" s="5"/>
      <c r="DD14" s="5"/>
      <c r="DE14" s="5"/>
      <c r="DF14" s="5"/>
      <c r="DI14" s="5"/>
      <c r="DJ14" s="5"/>
      <c r="DK14" s="5"/>
      <c r="DL14" s="5"/>
      <c r="DM14" s="5"/>
      <c r="DN14" s="5"/>
      <c r="DQ14" s="5"/>
      <c r="DR14" s="6"/>
      <c r="DS14" s="1"/>
      <c r="DT14" s="1"/>
      <c r="DU14" s="1"/>
      <c r="DV14" s="1"/>
      <c r="DW14" s="5"/>
      <c r="DX14" s="1"/>
      <c r="DY14" s="5"/>
      <c r="DZ14" s="6"/>
      <c r="EA14" s="1"/>
      <c r="EB14" s="1"/>
      <c r="EC14" s="5"/>
      <c r="ED14" s="1"/>
      <c r="EE14" s="1"/>
      <c r="EF14" s="5"/>
      <c r="EG14" s="7"/>
      <c r="EI14" s="5"/>
      <c r="EJ14" s="6"/>
      <c r="EK14" s="1"/>
      <c r="EL14" s="1"/>
      <c r="EM14" s="5"/>
      <c r="EN14" s="6"/>
      <c r="EO14" s="1"/>
      <c r="EP14" s="1"/>
      <c r="EQ14" s="5"/>
      <c r="ER14" s="6"/>
      <c r="ES14" s="5"/>
      <c r="ET14" s="5"/>
      <c r="EU14" s="5"/>
      <c r="EV14" s="5"/>
      <c r="EW14" s="1"/>
      <c r="EX14" s="1"/>
      <c r="EY14" s="5"/>
      <c r="EZ14" s="5"/>
      <c r="FA14" s="5"/>
      <c r="FB14" s="5"/>
      <c r="FC14" s="6"/>
      <c r="FD14" s="5"/>
      <c r="FE14" s="5"/>
      <c r="FF14" s="5"/>
      <c r="FG14" s="5"/>
      <c r="FH14" s="1"/>
      <c r="FI14" s="1"/>
      <c r="FJ14" s="5"/>
      <c r="FK14" s="5"/>
      <c r="FL14" s="5"/>
      <c r="FM14" s="5"/>
    </row>
    <row r="15" spans="1:173" x14ac:dyDescent="0.35">
      <c r="A15" s="5"/>
      <c r="B15" s="5">
        <v>12</v>
      </c>
      <c r="C15" t="s">
        <v>11</v>
      </c>
      <c r="D15" s="5">
        <v>36</v>
      </c>
      <c r="E15" s="5">
        <v>10</v>
      </c>
      <c r="F15">
        <v>12.5</v>
      </c>
      <c r="G15" s="5" t="e">
        <f>VLOOKUP($B15,#REF!,6,FALSE)</f>
        <v>#REF!</v>
      </c>
      <c r="H15" s="1">
        <f t="shared" si="0"/>
        <v>12.5</v>
      </c>
      <c r="I15" s="5"/>
      <c r="J15" s="5"/>
      <c r="K15" s="5"/>
      <c r="L15" s="5"/>
      <c r="M15" s="5"/>
      <c r="N15" s="5"/>
      <c r="O15" s="1"/>
      <c r="P15" s="5"/>
      <c r="AA15" s="5"/>
      <c r="AD15" s="5"/>
      <c r="AN15" s="5"/>
      <c r="AQ15" s="5"/>
      <c r="AR15" s="5"/>
      <c r="BB15" s="5"/>
      <c r="BE15" s="5"/>
      <c r="BH15" s="5"/>
      <c r="BS15" s="5"/>
      <c r="BV15" s="5"/>
      <c r="CF15" s="5"/>
      <c r="CI15" s="5"/>
      <c r="CJ15" s="5"/>
      <c r="CT15" s="5"/>
      <c r="CW15" s="5"/>
      <c r="CZ15" s="5"/>
      <c r="DA15" s="5"/>
      <c r="DB15" s="5"/>
      <c r="DC15" s="5"/>
      <c r="DD15" s="5"/>
      <c r="DE15" s="5"/>
      <c r="DF15" s="5"/>
      <c r="DI15" s="5"/>
      <c r="DJ15" s="5"/>
      <c r="DK15" s="5"/>
      <c r="DL15" s="5"/>
      <c r="DM15" s="5"/>
      <c r="DN15" s="5"/>
      <c r="DQ15" s="5"/>
      <c r="DR15" s="6"/>
      <c r="DS15" s="1"/>
      <c r="DT15" s="1"/>
      <c r="DU15" s="1"/>
      <c r="DV15" s="1"/>
      <c r="DW15" s="5"/>
      <c r="DX15" s="1"/>
      <c r="DY15" s="5"/>
      <c r="DZ15" s="6"/>
      <c r="EA15" s="1"/>
      <c r="EB15" s="1"/>
      <c r="EC15" s="5"/>
      <c r="ED15" s="1"/>
      <c r="EE15" s="1"/>
      <c r="EF15" s="5"/>
      <c r="EG15" s="7"/>
      <c r="EI15" s="5"/>
      <c r="EJ15" s="6"/>
      <c r="EK15" s="1"/>
      <c r="EL15" s="1"/>
      <c r="EM15" s="5"/>
      <c r="EN15" s="6"/>
      <c r="EO15" s="1"/>
      <c r="EP15" s="1"/>
      <c r="EQ15" s="5"/>
      <c r="ER15" s="6"/>
      <c r="ES15" s="5"/>
      <c r="ET15" s="5"/>
      <c r="EU15" s="5"/>
      <c r="EV15" s="5"/>
      <c r="EW15" s="1"/>
      <c r="EX15" s="1"/>
      <c r="EY15" s="5"/>
      <c r="EZ15" s="5"/>
      <c r="FA15" s="5"/>
      <c r="FB15" s="5"/>
      <c r="FC15" s="6"/>
      <c r="FD15" s="5"/>
      <c r="FE15" s="5"/>
      <c r="FF15" s="5"/>
      <c r="FG15" s="5"/>
      <c r="FH15" s="1"/>
      <c r="FI15" s="1"/>
      <c r="FJ15" s="5"/>
      <c r="FK15" s="5"/>
      <c r="FL15" s="5"/>
      <c r="FM15" s="5"/>
    </row>
    <row r="16" spans="1:173" x14ac:dyDescent="0.35">
      <c r="A16" s="5"/>
      <c r="B16" s="5">
        <v>13</v>
      </c>
      <c r="C16" t="s">
        <v>10</v>
      </c>
      <c r="D16" s="5">
        <v>31</v>
      </c>
      <c r="E16" s="5">
        <v>10</v>
      </c>
      <c r="F16">
        <v>13.5</v>
      </c>
      <c r="G16" s="5" t="e">
        <f>VLOOKUP($B16,#REF!,6,FALSE)</f>
        <v>#REF!</v>
      </c>
      <c r="H16" s="1">
        <f t="shared" si="0"/>
        <v>13.5</v>
      </c>
      <c r="I16" s="5"/>
      <c r="J16" s="5"/>
      <c r="K16" s="5"/>
      <c r="L16" s="5"/>
      <c r="M16" s="5"/>
      <c r="N16" s="5"/>
      <c r="O16" s="1"/>
      <c r="P16" s="5"/>
      <c r="AA16" s="5"/>
      <c r="AD16" s="5"/>
      <c r="AN16" s="5"/>
      <c r="AQ16" s="5"/>
      <c r="AR16" s="5"/>
      <c r="BB16" s="5"/>
      <c r="BE16" s="5"/>
      <c r="BH16" s="5"/>
      <c r="BS16" s="5"/>
      <c r="BV16" s="5"/>
      <c r="CF16" s="5"/>
      <c r="CI16" s="5"/>
      <c r="CJ16" s="5"/>
      <c r="CT16" s="5"/>
      <c r="CW16" s="5"/>
      <c r="CZ16" s="5"/>
      <c r="DA16" s="5"/>
      <c r="DB16" s="5"/>
      <c r="DC16" s="5"/>
      <c r="DD16" s="5"/>
      <c r="DE16" s="5"/>
      <c r="DF16" s="5"/>
      <c r="DI16" s="5"/>
      <c r="DJ16" s="5"/>
      <c r="DK16" s="5"/>
      <c r="DL16" s="5"/>
      <c r="DM16" s="5"/>
      <c r="DN16" s="5"/>
      <c r="DQ16" s="5"/>
      <c r="DR16" s="6"/>
      <c r="DS16" s="1"/>
      <c r="DT16" s="1"/>
      <c r="DU16" s="1"/>
      <c r="DV16" s="1"/>
      <c r="DW16" s="5"/>
      <c r="DX16" s="1"/>
      <c r="DY16" s="5"/>
      <c r="DZ16" s="6"/>
      <c r="EA16" s="1"/>
      <c r="EB16" s="1"/>
      <c r="EC16" s="5"/>
      <c r="ED16" s="1"/>
      <c r="EE16" s="1"/>
      <c r="EF16" s="5"/>
      <c r="EG16" s="7"/>
      <c r="EI16" s="5"/>
      <c r="EJ16" s="6"/>
      <c r="EK16" s="1"/>
      <c r="EL16" s="1"/>
      <c r="EM16" s="5"/>
      <c r="EN16" s="6"/>
      <c r="EO16" s="1"/>
      <c r="EP16" s="1"/>
      <c r="EQ16" s="5"/>
      <c r="ER16" s="6"/>
      <c r="ES16" s="5"/>
      <c r="ET16" s="5"/>
      <c r="EU16" s="5"/>
      <c r="EV16" s="5"/>
      <c r="EW16" s="1"/>
      <c r="EX16" s="1"/>
      <c r="EY16" s="5"/>
      <c r="EZ16" s="5"/>
      <c r="FA16" s="5"/>
      <c r="FB16" s="5"/>
      <c r="FC16" s="6"/>
      <c r="FD16" s="5"/>
      <c r="FE16" s="5"/>
      <c r="FF16" s="5"/>
      <c r="FG16" s="5"/>
      <c r="FH16" s="1"/>
      <c r="FI16" s="1"/>
      <c r="FJ16" s="5"/>
      <c r="FK16" s="5"/>
      <c r="FL16" s="5"/>
      <c r="FM16" s="5"/>
    </row>
    <row r="17" spans="1:169" x14ac:dyDescent="0.35">
      <c r="A17" s="5"/>
      <c r="B17" s="5">
        <v>14</v>
      </c>
      <c r="C17" t="s">
        <v>0</v>
      </c>
      <c r="D17" s="5">
        <v>10</v>
      </c>
      <c r="E17" s="5">
        <v>10</v>
      </c>
      <c r="F17">
        <v>14.5</v>
      </c>
      <c r="G17" s="5" t="e">
        <f>VLOOKUP($B17,#REF!,6,FALSE)</f>
        <v>#REF!</v>
      </c>
      <c r="H17" s="1">
        <f t="shared" si="0"/>
        <v>14.5</v>
      </c>
      <c r="I17" s="5"/>
      <c r="J17" s="5"/>
      <c r="K17" s="5"/>
      <c r="L17" s="5"/>
      <c r="M17" s="5"/>
      <c r="N17" s="5"/>
      <c r="O17" s="1"/>
      <c r="P17" s="5"/>
      <c r="AA17" s="5"/>
      <c r="AD17" s="5"/>
      <c r="AN17" s="5"/>
      <c r="AQ17" s="5"/>
      <c r="AR17" s="5"/>
      <c r="BB17" s="5"/>
      <c r="BE17" s="5"/>
      <c r="BH17" s="5"/>
      <c r="BS17" s="5"/>
      <c r="BV17" s="5"/>
      <c r="CF17" s="5"/>
      <c r="CI17" s="5"/>
      <c r="CJ17" s="5"/>
      <c r="CT17" s="5"/>
      <c r="CW17" s="5"/>
      <c r="CZ17" s="5"/>
      <c r="DA17" s="5"/>
      <c r="DB17" s="5"/>
      <c r="DC17" s="5"/>
      <c r="DD17" s="5"/>
      <c r="DE17" s="5"/>
      <c r="DF17" s="5"/>
      <c r="DI17" s="5"/>
      <c r="DJ17" s="5"/>
      <c r="DK17" s="5"/>
      <c r="DL17" s="5"/>
      <c r="DM17" s="5"/>
      <c r="DN17" s="5"/>
      <c r="DQ17" s="5"/>
      <c r="DR17" s="6"/>
      <c r="DS17" s="1"/>
      <c r="DT17" s="1"/>
      <c r="DU17" s="1"/>
      <c r="DV17" s="1"/>
      <c r="DW17" s="5"/>
      <c r="DX17" s="1"/>
      <c r="DY17" s="5"/>
      <c r="DZ17" s="6"/>
      <c r="EA17" s="1"/>
      <c r="EB17" s="1"/>
      <c r="EC17" s="5"/>
      <c r="ED17" s="1"/>
      <c r="EE17" s="1"/>
      <c r="EF17" s="5"/>
      <c r="EG17" s="7"/>
      <c r="EI17" s="5"/>
      <c r="EJ17" s="6"/>
      <c r="EK17" s="1"/>
      <c r="EL17" s="1"/>
      <c r="EM17" s="5"/>
      <c r="EN17" s="6"/>
      <c r="EO17" s="1"/>
      <c r="EP17" s="1"/>
      <c r="EQ17" s="5"/>
      <c r="ER17" s="6"/>
      <c r="ES17" s="5"/>
      <c r="ET17" s="5"/>
      <c r="EU17" s="5"/>
      <c r="EV17" s="5"/>
      <c r="EW17" s="1"/>
      <c r="EX17" s="1"/>
      <c r="EY17" s="5"/>
      <c r="EZ17" s="5"/>
      <c r="FA17" s="5"/>
      <c r="FB17" s="5"/>
      <c r="FC17" s="6"/>
      <c r="FD17" s="5"/>
      <c r="FE17" s="5"/>
      <c r="FF17" s="5"/>
      <c r="FG17" s="5"/>
      <c r="FH17" s="1"/>
      <c r="FI17" s="1"/>
      <c r="FJ17" s="5"/>
      <c r="FK17" s="5"/>
      <c r="FL17" s="5"/>
      <c r="FM17" s="5"/>
    </row>
    <row r="18" spans="1:169" x14ac:dyDescent="0.35">
      <c r="A18" s="5"/>
      <c r="B18" s="5">
        <v>15</v>
      </c>
      <c r="C18" t="s">
        <v>9</v>
      </c>
      <c r="D18" s="5">
        <v>26</v>
      </c>
      <c r="E18" s="5">
        <v>10</v>
      </c>
      <c r="F18">
        <v>15.5</v>
      </c>
      <c r="G18" s="5" t="e">
        <f>VLOOKUP($B18,#REF!,6,FALSE)</f>
        <v>#REF!</v>
      </c>
      <c r="H18" s="1">
        <f t="shared" si="0"/>
        <v>15.5</v>
      </c>
      <c r="I18" s="5"/>
      <c r="J18" s="5"/>
      <c r="K18" s="5"/>
      <c r="L18" s="5"/>
      <c r="M18" s="5"/>
      <c r="N18" s="5"/>
      <c r="O18" s="1"/>
      <c r="P18" s="5"/>
      <c r="AA18" s="5"/>
      <c r="AD18" s="5"/>
      <c r="AN18" s="5"/>
      <c r="AQ18" s="5"/>
      <c r="AR18" s="5"/>
      <c r="BB18" s="5"/>
      <c r="BE18" s="5"/>
      <c r="BH18" s="5"/>
      <c r="BS18" s="5"/>
      <c r="BV18" s="5"/>
      <c r="CF18" s="5"/>
      <c r="CI18" s="5"/>
      <c r="CJ18" s="5"/>
      <c r="CT18" s="5"/>
      <c r="CW18" s="5"/>
      <c r="CZ18" s="5"/>
      <c r="DA18" s="5"/>
      <c r="DB18" s="5"/>
      <c r="DC18" s="5"/>
      <c r="DD18" s="5"/>
      <c r="DE18" s="5"/>
      <c r="DF18" s="5"/>
      <c r="DI18" s="5"/>
      <c r="DJ18" s="5"/>
      <c r="DK18" s="5"/>
      <c r="DL18" s="5"/>
      <c r="DM18" s="5"/>
      <c r="DN18" s="5"/>
      <c r="DQ18" s="5"/>
      <c r="DR18" s="6"/>
      <c r="DS18" s="1"/>
      <c r="DT18" s="1"/>
      <c r="DU18" s="1"/>
      <c r="DV18" s="1"/>
      <c r="DW18" s="5"/>
      <c r="DX18" s="1"/>
      <c r="DY18" s="5"/>
      <c r="DZ18" s="6"/>
      <c r="EA18" s="1"/>
      <c r="EB18" s="1"/>
      <c r="EC18" s="5"/>
      <c r="ED18" s="1"/>
      <c r="EE18" s="1"/>
      <c r="EF18" s="5"/>
      <c r="EG18" s="7"/>
      <c r="EI18" s="5"/>
      <c r="EJ18" s="6"/>
      <c r="EK18" s="1"/>
      <c r="EL18" s="1"/>
      <c r="EM18" s="5"/>
      <c r="EN18" s="6"/>
      <c r="EO18" s="1"/>
      <c r="EP18" s="1"/>
      <c r="EQ18" s="5"/>
      <c r="ER18" s="6"/>
      <c r="ES18" s="5"/>
      <c r="ET18" s="5"/>
      <c r="EU18" s="5"/>
      <c r="EV18" s="5"/>
      <c r="EW18" s="1"/>
      <c r="EX18" s="1"/>
      <c r="EY18" s="5"/>
      <c r="EZ18" s="5"/>
      <c r="FA18" s="5"/>
      <c r="FB18" s="5"/>
      <c r="FC18" s="6"/>
      <c r="FD18" s="5"/>
      <c r="FE18" s="5"/>
      <c r="FF18" s="5"/>
      <c r="FG18" s="5"/>
      <c r="FH18" s="1"/>
      <c r="FI18" s="1"/>
      <c r="FJ18" s="5"/>
      <c r="FK18" s="5"/>
      <c r="FL18" s="5"/>
      <c r="FM18" s="5"/>
    </row>
    <row r="19" spans="1:169" x14ac:dyDescent="0.35">
      <c r="A19" s="5"/>
      <c r="B19" s="5">
        <v>16</v>
      </c>
      <c r="C19" t="s">
        <v>8</v>
      </c>
      <c r="D19" s="5">
        <v>32</v>
      </c>
      <c r="E19" s="5">
        <v>10</v>
      </c>
      <c r="F19">
        <v>16.5</v>
      </c>
      <c r="G19" s="5" t="e">
        <f>VLOOKUP($B19,#REF!,6,FALSE)</f>
        <v>#REF!</v>
      </c>
      <c r="H19" s="1">
        <f t="shared" si="0"/>
        <v>16.5</v>
      </c>
      <c r="I19" s="5"/>
      <c r="J19" s="5"/>
      <c r="K19" s="5"/>
      <c r="L19" s="5"/>
      <c r="M19" s="5"/>
      <c r="N19" s="5"/>
      <c r="O19" s="1"/>
      <c r="P19" s="5"/>
      <c r="AA19" s="5"/>
      <c r="AD19" s="5"/>
      <c r="AN19" s="5"/>
      <c r="AQ19" s="5"/>
      <c r="AR19" s="5"/>
      <c r="BB19" s="5"/>
      <c r="BE19" s="5"/>
      <c r="BH19" s="5"/>
      <c r="BS19" s="5"/>
      <c r="BV19" s="5"/>
      <c r="CF19" s="5"/>
      <c r="CI19" s="5"/>
      <c r="CJ19" s="5"/>
      <c r="CT19" s="5"/>
      <c r="CW19" s="5"/>
      <c r="CZ19" s="5"/>
      <c r="DA19" s="5"/>
      <c r="DB19" s="5"/>
      <c r="DC19" s="5"/>
      <c r="DD19" s="5"/>
      <c r="DE19" s="5"/>
      <c r="DF19" s="5"/>
      <c r="DI19" s="5"/>
      <c r="DJ19" s="5"/>
      <c r="DK19" s="5"/>
      <c r="DL19" s="5"/>
      <c r="DM19" s="5"/>
      <c r="DN19" s="5"/>
      <c r="DQ19" s="5"/>
      <c r="DR19" s="6"/>
      <c r="DS19" s="1"/>
      <c r="DT19" s="1"/>
      <c r="DU19" s="1"/>
      <c r="DV19" s="1"/>
      <c r="DW19" s="5"/>
      <c r="DX19" s="1"/>
      <c r="DY19" s="5"/>
      <c r="DZ19" s="6"/>
      <c r="EA19" s="1"/>
      <c r="EB19" s="1"/>
      <c r="EC19" s="5"/>
      <c r="ED19" s="1"/>
      <c r="EE19" s="1"/>
      <c r="EF19" s="5"/>
      <c r="EG19" s="7"/>
      <c r="EI19" s="5"/>
      <c r="EJ19" s="6"/>
      <c r="EK19" s="1"/>
      <c r="EL19" s="1"/>
      <c r="EM19" s="5"/>
      <c r="EN19" s="6"/>
      <c r="EO19" s="1"/>
      <c r="EP19" s="1"/>
      <c r="EQ19" s="5"/>
      <c r="ER19" s="6"/>
      <c r="ES19" s="5"/>
      <c r="ET19" s="5"/>
      <c r="EU19" s="5"/>
      <c r="EV19" s="5"/>
      <c r="EW19" s="1"/>
      <c r="EX19" s="1"/>
      <c r="EY19" s="5"/>
      <c r="EZ19" s="5"/>
      <c r="FA19" s="5"/>
      <c r="FB19" s="5"/>
      <c r="FC19" s="6"/>
      <c r="FD19" s="5"/>
      <c r="FE19" s="5"/>
      <c r="FF19" s="5"/>
      <c r="FG19" s="5"/>
      <c r="FH19" s="1"/>
      <c r="FI19" s="1"/>
      <c r="FJ19" s="5"/>
      <c r="FK19" s="5"/>
      <c r="FL19" s="5"/>
      <c r="FM19" s="5"/>
    </row>
    <row r="20" spans="1:169" x14ac:dyDescent="0.35">
      <c r="A20" s="5"/>
      <c r="B20" s="5">
        <v>17</v>
      </c>
      <c r="C20" t="s">
        <v>7</v>
      </c>
      <c r="D20" s="5">
        <v>25</v>
      </c>
      <c r="E20" s="5">
        <v>10</v>
      </c>
      <c r="F20">
        <v>17.5</v>
      </c>
      <c r="G20" s="5" t="e">
        <f>VLOOKUP($B20,#REF!,6,FALSE)</f>
        <v>#REF!</v>
      </c>
      <c r="H20" s="1">
        <f t="shared" si="0"/>
        <v>17.5</v>
      </c>
      <c r="I20" s="5"/>
      <c r="J20" s="5"/>
      <c r="K20" s="5"/>
      <c r="L20" s="5"/>
      <c r="M20" s="5"/>
      <c r="N20" s="5"/>
      <c r="O20" s="1"/>
      <c r="P20" s="5"/>
      <c r="AA20" s="5"/>
      <c r="AD20" s="5"/>
      <c r="AN20" s="5"/>
      <c r="AQ20" s="5"/>
      <c r="AR20" s="5"/>
      <c r="BB20" s="5"/>
      <c r="BE20" s="5"/>
      <c r="BH20" s="5"/>
      <c r="BS20" s="5"/>
      <c r="BV20" s="5"/>
      <c r="CF20" s="5"/>
      <c r="CI20" s="5"/>
      <c r="CJ20" s="5"/>
      <c r="CT20" s="5"/>
      <c r="CW20" s="5"/>
      <c r="CZ20" s="5"/>
      <c r="DA20" s="5"/>
      <c r="DB20" s="5"/>
      <c r="DC20" s="5"/>
      <c r="DD20" s="5"/>
      <c r="DE20" s="5"/>
      <c r="DF20" s="5"/>
      <c r="DI20" s="5"/>
      <c r="DJ20" s="5"/>
      <c r="DK20" s="5"/>
      <c r="DL20" s="5"/>
      <c r="DM20" s="5"/>
      <c r="DN20" s="5"/>
      <c r="DQ20" s="5"/>
      <c r="DR20" s="6"/>
      <c r="DS20" s="1"/>
      <c r="DT20" s="1"/>
      <c r="DU20" s="1"/>
      <c r="DV20" s="1"/>
      <c r="DW20" s="5"/>
      <c r="DX20" s="1"/>
      <c r="DY20" s="5"/>
      <c r="DZ20" s="6"/>
      <c r="EA20" s="1"/>
      <c r="EB20" s="1"/>
      <c r="EC20" s="5"/>
      <c r="ED20" s="1"/>
      <c r="EE20" s="1"/>
      <c r="EF20" s="5"/>
      <c r="EG20" s="7"/>
      <c r="EI20" s="5"/>
      <c r="EJ20" s="6"/>
      <c r="EK20" s="1"/>
      <c r="EL20" s="1"/>
      <c r="EM20" s="5"/>
      <c r="EN20" s="6"/>
      <c r="EO20" s="1"/>
      <c r="EP20" s="1"/>
      <c r="EQ20" s="5"/>
      <c r="EV20" s="5"/>
      <c r="EY20" s="5"/>
      <c r="FB20" s="5"/>
      <c r="FG20" s="5"/>
      <c r="FJ20" s="5"/>
      <c r="FM20" s="5"/>
    </row>
    <row r="21" spans="1:169" x14ac:dyDescent="0.35">
      <c r="A21" s="5"/>
      <c r="B21" s="5">
        <v>18</v>
      </c>
      <c r="C21" t="s">
        <v>6</v>
      </c>
      <c r="D21" s="5">
        <v>46</v>
      </c>
      <c r="E21" s="5">
        <v>10</v>
      </c>
      <c r="F21">
        <v>18.5</v>
      </c>
      <c r="G21" s="5" t="e">
        <f>VLOOKUP($B21,#REF!,6,FALSE)</f>
        <v>#REF!</v>
      </c>
      <c r="H21" s="1">
        <f t="shared" si="0"/>
        <v>18.5</v>
      </c>
      <c r="I21" s="5"/>
      <c r="J21" s="5"/>
      <c r="K21" s="5"/>
      <c r="L21" s="5"/>
      <c r="M21" s="5"/>
      <c r="N21" s="5"/>
      <c r="O21" s="1"/>
      <c r="P21" s="5"/>
      <c r="AA21" s="5"/>
      <c r="AD21" s="5"/>
      <c r="AN21" s="5"/>
      <c r="AQ21" s="5"/>
      <c r="AR21" s="5"/>
      <c r="BB21" s="5"/>
      <c r="BE21" s="5"/>
      <c r="BH21" s="5"/>
      <c r="BS21" s="5"/>
      <c r="BV21" s="5"/>
      <c r="CF21" s="5"/>
      <c r="CI21" s="5"/>
      <c r="CJ21" s="5"/>
      <c r="CT21" s="5"/>
      <c r="CW21" s="5"/>
      <c r="CZ21" s="5"/>
      <c r="DA21" s="5"/>
      <c r="DB21" s="5"/>
      <c r="DC21" s="5"/>
      <c r="DD21" s="5"/>
      <c r="DE21" s="5"/>
      <c r="DF21" s="5"/>
      <c r="DI21" s="5"/>
      <c r="DJ21" s="5"/>
      <c r="DK21" s="5"/>
      <c r="DL21" s="5"/>
      <c r="DM21" s="5"/>
      <c r="DN21" s="5"/>
      <c r="DQ21" s="5"/>
      <c r="DR21" s="6"/>
      <c r="DS21" s="1"/>
      <c r="DT21" s="1"/>
      <c r="DU21" s="1"/>
      <c r="DV21" s="1"/>
      <c r="DW21" s="5"/>
      <c r="DX21" s="1"/>
      <c r="DY21" s="5"/>
      <c r="DZ21" s="6"/>
      <c r="EA21" s="1"/>
      <c r="EB21" s="1"/>
      <c r="EC21" s="5"/>
      <c r="ED21" s="1"/>
      <c r="EE21" s="1"/>
      <c r="EF21" s="5"/>
      <c r="EG21" s="7"/>
      <c r="EI21" s="5"/>
      <c r="EJ21" s="6"/>
      <c r="EK21" s="1"/>
      <c r="EL21" s="1"/>
      <c r="EM21" s="5"/>
      <c r="EN21" s="6"/>
      <c r="EO21" s="1"/>
      <c r="EP21" s="1"/>
      <c r="EQ21" s="5"/>
      <c r="EV21" s="5"/>
      <c r="EY21" s="5"/>
      <c r="FB21" s="5"/>
      <c r="FG21" s="5"/>
      <c r="FJ21" s="5"/>
      <c r="FM21" s="5"/>
    </row>
    <row r="22" spans="1:169" x14ac:dyDescent="0.35">
      <c r="A22" s="5"/>
      <c r="B22" s="5">
        <v>19</v>
      </c>
      <c r="C22" t="s">
        <v>5</v>
      </c>
      <c r="D22" s="5">
        <v>24</v>
      </c>
      <c r="E22" s="5">
        <v>10</v>
      </c>
      <c r="F22">
        <v>19.5</v>
      </c>
      <c r="G22" s="5" t="e">
        <f>VLOOKUP($B22,#REF!,6,FALSE)</f>
        <v>#REF!</v>
      </c>
      <c r="H22" s="1">
        <f t="shared" si="0"/>
        <v>19.5</v>
      </c>
      <c r="I22" s="5"/>
      <c r="J22" s="5"/>
      <c r="K22" s="5"/>
      <c r="L22" s="5"/>
      <c r="M22" s="5"/>
      <c r="N22" s="5"/>
      <c r="O22" s="1"/>
      <c r="P22" s="5"/>
      <c r="AA22" s="5"/>
      <c r="AD22" s="5"/>
      <c r="AN22" s="5"/>
      <c r="AQ22" s="5"/>
      <c r="AR22" s="5"/>
      <c r="BB22" s="5"/>
      <c r="BE22" s="5"/>
      <c r="BH22" s="5"/>
      <c r="BS22" s="5"/>
      <c r="BV22" s="5"/>
      <c r="CF22" s="5"/>
      <c r="CI22" s="5"/>
      <c r="CJ22" s="5"/>
      <c r="CT22" s="5"/>
      <c r="CW22" s="5"/>
      <c r="CZ22" s="5"/>
      <c r="DA22" s="5"/>
      <c r="DB22" s="5"/>
      <c r="DC22" s="5"/>
      <c r="DD22" s="5"/>
      <c r="DE22" s="5"/>
      <c r="DF22" s="5"/>
      <c r="DI22" s="5"/>
      <c r="DJ22" s="5"/>
      <c r="DK22" s="5"/>
      <c r="DL22" s="5"/>
      <c r="DM22" s="5"/>
      <c r="DN22" s="5"/>
      <c r="DQ22" s="5"/>
      <c r="DR22" s="6"/>
      <c r="DS22" s="1"/>
      <c r="DT22" s="1"/>
      <c r="DU22" s="1"/>
      <c r="DV22" s="1"/>
      <c r="DW22" s="5"/>
      <c r="DX22" s="1"/>
      <c r="DY22" s="5"/>
      <c r="DZ22" s="6"/>
      <c r="EA22" s="1"/>
      <c r="EB22" s="1"/>
      <c r="EC22" s="5"/>
      <c r="ED22" s="1"/>
      <c r="EE22" s="1"/>
      <c r="EF22" s="5"/>
      <c r="EG22" s="7"/>
      <c r="EI22" s="5"/>
      <c r="EJ22" s="6"/>
      <c r="EK22" s="1"/>
      <c r="EL22" s="1"/>
      <c r="EM22" s="5"/>
      <c r="EN22" s="6"/>
      <c r="EO22" s="1"/>
      <c r="EP22" s="1"/>
      <c r="EQ22" s="5"/>
      <c r="EV22" s="5"/>
      <c r="EY22" s="5"/>
      <c r="FB22" s="5"/>
      <c r="FG22" s="5"/>
      <c r="FJ22" s="5"/>
      <c r="FM22" s="5"/>
    </row>
    <row r="23" spans="1:169" x14ac:dyDescent="0.35">
      <c r="A23" s="5"/>
      <c r="B23" s="5"/>
      <c r="C23" t="s">
        <v>4</v>
      </c>
      <c r="D23" s="5">
        <v>34</v>
      </c>
      <c r="E23" s="5">
        <v>145</v>
      </c>
      <c r="F23">
        <v>20.5</v>
      </c>
      <c r="G23" s="5"/>
      <c r="H23" s="1">
        <f t="shared" si="0"/>
        <v>20.5</v>
      </c>
      <c r="I23" s="5"/>
      <c r="J23" s="5"/>
      <c r="K23" s="5"/>
      <c r="L23" s="5"/>
      <c r="M23" s="5"/>
      <c r="N23" s="5"/>
      <c r="O23" s="1"/>
      <c r="P23" s="5"/>
      <c r="AA23" s="5"/>
      <c r="AD23" s="5"/>
      <c r="AN23" s="5"/>
      <c r="AQ23" s="5"/>
      <c r="AR23" s="5"/>
      <c r="BB23" s="5"/>
      <c r="BE23" s="5"/>
      <c r="BH23" s="5"/>
      <c r="BS23" s="5"/>
      <c r="BV23" s="5"/>
      <c r="CF23" s="5"/>
      <c r="CI23" s="5"/>
      <c r="CJ23" s="5"/>
      <c r="CT23" s="5"/>
      <c r="CW23" s="5"/>
      <c r="CZ23" s="5"/>
      <c r="DA23" s="5"/>
      <c r="DB23" s="5"/>
      <c r="DC23" s="5"/>
      <c r="DD23" s="5"/>
      <c r="DE23" s="5"/>
      <c r="DF23" s="5"/>
      <c r="DI23" s="5"/>
      <c r="DJ23" s="5"/>
      <c r="DK23" s="5"/>
      <c r="DL23" s="5"/>
      <c r="DM23" s="5"/>
      <c r="DN23" s="5"/>
      <c r="DQ23" s="5"/>
      <c r="DR23" s="6"/>
      <c r="DS23" s="1"/>
      <c r="DT23" s="1"/>
      <c r="DU23" s="1"/>
      <c r="DV23" s="1"/>
      <c r="DW23" s="5"/>
      <c r="DX23" s="1"/>
      <c r="DY23" s="5"/>
      <c r="DZ23" s="6"/>
      <c r="EA23" s="1"/>
      <c r="EB23" s="1"/>
      <c r="EC23" s="5"/>
      <c r="ED23" s="1"/>
      <c r="EE23" s="1"/>
      <c r="EF23" s="5"/>
      <c r="EG23" s="7"/>
      <c r="EI23" s="5"/>
      <c r="EJ23" s="6"/>
      <c r="EK23" s="1"/>
      <c r="EL23" s="1"/>
      <c r="EM23" s="5"/>
      <c r="EN23" s="6"/>
      <c r="EO23" s="1"/>
      <c r="EP23" s="1"/>
      <c r="EQ23" s="5"/>
      <c r="EV23" s="5"/>
      <c r="EY23" s="5"/>
      <c r="FB23" s="5"/>
      <c r="FG23" s="5"/>
      <c r="FJ23" s="5"/>
      <c r="FM23" s="5"/>
    </row>
    <row r="24" spans="1:169" x14ac:dyDescent="0.35">
      <c r="B24" s="5"/>
      <c r="C24" t="s">
        <v>3</v>
      </c>
      <c r="D24" s="5">
        <v>20</v>
      </c>
      <c r="E24" s="5">
        <v>10</v>
      </c>
      <c r="F24">
        <v>21.5</v>
      </c>
      <c r="G24" s="5" t="e">
        <f>#REF!</f>
        <v>#REF!</v>
      </c>
      <c r="H24" s="1">
        <f t="shared" si="0"/>
        <v>21.5</v>
      </c>
      <c r="J24" s="5"/>
      <c r="K24" s="5"/>
      <c r="L24" s="5"/>
      <c r="M24" s="5"/>
      <c r="N24" s="5"/>
      <c r="O24" s="1"/>
      <c r="DR24" s="6"/>
      <c r="DS24" s="1"/>
      <c r="DT24" s="1"/>
      <c r="DU24" s="1"/>
      <c r="DV24" s="1"/>
      <c r="DX24" s="1"/>
      <c r="DZ24" s="6"/>
      <c r="EA24" s="1"/>
      <c r="EB24" s="1"/>
      <c r="ED24" s="1"/>
      <c r="EE24" s="1"/>
      <c r="EG24" s="7"/>
      <c r="EJ24" s="6"/>
      <c r="EK24" s="1"/>
      <c r="EL24" s="1"/>
      <c r="EN24" s="6"/>
      <c r="EO24" s="1"/>
      <c r="EP24" s="1"/>
    </row>
    <row r="25" spans="1:169" x14ac:dyDescent="0.35">
      <c r="DR25" s="6"/>
      <c r="DS25" s="1"/>
      <c r="DT25" s="1"/>
      <c r="DU25" s="1"/>
      <c r="DV25" s="1"/>
      <c r="DX25" s="1"/>
      <c r="DZ25" s="6"/>
      <c r="EA25" s="1"/>
      <c r="EB25" s="1"/>
      <c r="ED25" s="1"/>
      <c r="EE25" s="1"/>
      <c r="EG25" s="7"/>
      <c r="EJ25" s="6"/>
      <c r="EK25" s="1"/>
      <c r="EL25" s="1"/>
      <c r="EN25" s="6"/>
      <c r="EO25" s="1"/>
      <c r="EP25" s="1"/>
    </row>
    <row r="26" spans="1:169" x14ac:dyDescent="0.35">
      <c r="DR26" s="6"/>
      <c r="DS26" s="1"/>
      <c r="DT26" s="1"/>
      <c r="DU26" s="1"/>
      <c r="DV26" s="1"/>
      <c r="DX26" s="1"/>
      <c r="DZ26" s="6"/>
      <c r="EA26" s="1"/>
      <c r="EB26" s="1"/>
      <c r="ED26" s="1"/>
      <c r="EE26" s="1"/>
      <c r="EG26" s="7"/>
      <c r="EJ26" s="6"/>
      <c r="EK26" s="1"/>
      <c r="EL26" s="1"/>
      <c r="EN26" s="6"/>
      <c r="EO26" s="1"/>
      <c r="EP26" s="1"/>
    </row>
    <row r="27" spans="1:169" x14ac:dyDescent="0.35">
      <c r="DR27" s="6"/>
      <c r="DS27" s="1"/>
      <c r="DT27" s="1"/>
      <c r="DU27" s="1"/>
      <c r="DV27" s="1"/>
      <c r="DX27" s="1"/>
      <c r="DZ27" s="6"/>
      <c r="EA27" s="1"/>
      <c r="EB27" s="1"/>
      <c r="ED27" s="1"/>
      <c r="EE27" s="1"/>
      <c r="EG27" s="7"/>
      <c r="EJ27" s="6"/>
      <c r="EK27" s="1"/>
      <c r="EL27" s="1"/>
      <c r="EN27" s="6"/>
      <c r="EO27" s="1"/>
      <c r="EP27" s="1"/>
    </row>
    <row r="28" spans="1:169" x14ac:dyDescent="0.35">
      <c r="DR28" s="6"/>
      <c r="DS28" s="1"/>
      <c r="DT28" s="1"/>
      <c r="DU28" s="1"/>
      <c r="DV28" s="1"/>
      <c r="DX28" s="1"/>
      <c r="DZ28" s="6"/>
      <c r="EA28" s="1"/>
      <c r="EB28" s="1"/>
      <c r="ED28" s="1"/>
      <c r="EE28" s="1"/>
      <c r="EG28" s="7"/>
      <c r="EJ28" s="6"/>
      <c r="EK28" s="1"/>
      <c r="EL28" s="1"/>
      <c r="EN28" s="6"/>
      <c r="EO28" s="1"/>
      <c r="EP28" s="1"/>
    </row>
    <row r="29" spans="1:169" x14ac:dyDescent="0.35">
      <c r="D29">
        <f>D4*100</f>
        <v>4900</v>
      </c>
      <c r="E29">
        <f>E4*100</f>
        <v>1000</v>
      </c>
      <c r="DR29" s="6"/>
      <c r="DS29" s="1"/>
      <c r="DT29" s="1"/>
      <c r="DU29" s="1"/>
      <c r="DV29" s="1"/>
      <c r="DX29" s="1"/>
      <c r="DZ29" s="6"/>
      <c r="EA29" s="1"/>
      <c r="EB29" s="1"/>
      <c r="ED29" s="1"/>
      <c r="EE29" s="1"/>
      <c r="EG29" s="7"/>
      <c r="EJ29" s="6"/>
      <c r="EK29" s="1"/>
      <c r="EL29" s="1"/>
      <c r="EN29" s="6"/>
      <c r="EO29" s="1"/>
      <c r="EP29" s="1"/>
    </row>
    <row r="30" spans="1:169" x14ac:dyDescent="0.35">
      <c r="D30">
        <f>D5*100</f>
        <v>1000</v>
      </c>
      <c r="E30">
        <f>E5*100</f>
        <v>1000</v>
      </c>
      <c r="DR30" s="6"/>
      <c r="DS30" s="1"/>
      <c r="DT30" s="1"/>
      <c r="DU30" s="1"/>
      <c r="DV30" s="1"/>
      <c r="DX30" s="1"/>
      <c r="DZ30" s="6"/>
      <c r="EA30" s="1"/>
      <c r="EB30" s="1"/>
      <c r="ED30" s="1"/>
      <c r="EE30" s="1"/>
      <c r="EG30" s="7"/>
      <c r="EJ30" s="6"/>
      <c r="EK30" s="1"/>
      <c r="EL30" s="1"/>
      <c r="EN30" s="6"/>
      <c r="EO30" s="1"/>
      <c r="EP30" s="1"/>
    </row>
    <row r="31" spans="1:169" x14ac:dyDescent="0.35">
      <c r="D31">
        <f t="shared" ref="D31:E31" si="1">D6*100</f>
        <v>1700</v>
      </c>
      <c r="E31">
        <f t="shared" si="1"/>
        <v>1000</v>
      </c>
      <c r="DR31" s="6"/>
      <c r="DS31" s="1"/>
      <c r="DT31" s="1"/>
      <c r="DU31" s="1"/>
      <c r="DV31" s="1"/>
      <c r="DX31" s="1"/>
      <c r="DZ31" s="6"/>
      <c r="EA31" s="1"/>
      <c r="EB31" s="1"/>
      <c r="ED31" s="1"/>
      <c r="EE31" s="1"/>
      <c r="EG31" s="7"/>
      <c r="EJ31" s="6"/>
      <c r="EK31" s="1"/>
      <c r="EL31" s="1"/>
      <c r="EN31" s="6"/>
      <c r="EO31" s="1"/>
      <c r="EP31" s="1"/>
    </row>
    <row r="32" spans="1:169" x14ac:dyDescent="0.35">
      <c r="D32">
        <f t="shared" ref="D32:E32" si="2">D7*100</f>
        <v>3000</v>
      </c>
      <c r="E32">
        <f t="shared" si="2"/>
        <v>1000</v>
      </c>
      <c r="DR32" s="6"/>
      <c r="DS32" s="1"/>
      <c r="DT32" s="1"/>
      <c r="DU32" s="1"/>
      <c r="DV32" s="1"/>
      <c r="DX32" s="1"/>
      <c r="DZ32" s="6"/>
      <c r="EA32" s="1"/>
      <c r="EB32" s="1"/>
      <c r="ED32" s="1"/>
      <c r="EE32" s="1"/>
      <c r="EG32" s="7"/>
      <c r="EJ32" s="6"/>
      <c r="EK32" s="1"/>
      <c r="EL32" s="1"/>
      <c r="EN32" s="6"/>
      <c r="EO32" s="1"/>
      <c r="EP32" s="1"/>
    </row>
    <row r="33" spans="4:146" x14ac:dyDescent="0.35">
      <c r="D33">
        <f t="shared" ref="D33:E33" si="3">D8*100</f>
        <v>1000</v>
      </c>
      <c r="E33">
        <f t="shared" si="3"/>
        <v>1000</v>
      </c>
      <c r="DR33" s="6"/>
      <c r="DS33" s="1"/>
      <c r="DT33" s="1"/>
      <c r="DU33" s="1"/>
      <c r="DV33" s="1"/>
      <c r="DX33" s="1"/>
      <c r="DZ33" s="6"/>
      <c r="EA33" s="1"/>
      <c r="EB33" s="1"/>
      <c r="ED33" s="1"/>
      <c r="EE33" s="1"/>
      <c r="EG33" s="7"/>
      <c r="EJ33" s="6"/>
      <c r="EK33" s="1"/>
      <c r="EL33" s="1"/>
      <c r="EN33" s="6"/>
      <c r="EO33" s="1"/>
      <c r="EP33" s="1"/>
    </row>
    <row r="34" spans="4:146" x14ac:dyDescent="0.35">
      <c r="D34">
        <f t="shared" ref="D34:E34" si="4">D9*100</f>
        <v>1000</v>
      </c>
      <c r="E34">
        <f t="shared" si="4"/>
        <v>1000</v>
      </c>
      <c r="DR34" s="6"/>
      <c r="DS34" s="1"/>
      <c r="DT34" s="1"/>
      <c r="DU34" s="1"/>
      <c r="DV34" s="1"/>
      <c r="DX34" s="1"/>
      <c r="DZ34" s="6"/>
      <c r="EA34" s="1"/>
      <c r="EB34" s="1"/>
      <c r="ED34" s="1"/>
      <c r="EE34" s="1"/>
      <c r="EG34" s="7"/>
      <c r="EJ34" s="6"/>
      <c r="EK34" s="1"/>
      <c r="EL34" s="1"/>
      <c r="EN34" s="6"/>
      <c r="EO34" s="1"/>
      <c r="EP34" s="1"/>
    </row>
    <row r="35" spans="4:146" x14ac:dyDescent="0.35">
      <c r="D35">
        <f t="shared" ref="D35:E35" si="5">D10*100</f>
        <v>1700</v>
      </c>
      <c r="E35">
        <f t="shared" si="5"/>
        <v>1000</v>
      </c>
      <c r="DR35" s="6"/>
      <c r="DS35" s="1"/>
      <c r="DT35" s="1"/>
      <c r="DU35" s="1"/>
      <c r="DV35" s="1"/>
      <c r="DX35" s="1"/>
      <c r="DZ35" s="6"/>
      <c r="EA35" s="1"/>
      <c r="EB35" s="1"/>
      <c r="ED35" s="1"/>
      <c r="EE35" s="1"/>
      <c r="EG35" s="7"/>
      <c r="EJ35" s="6"/>
      <c r="EK35" s="1"/>
      <c r="EL35" s="1"/>
      <c r="EN35" s="6"/>
      <c r="EO35" s="1"/>
      <c r="EP35" s="1"/>
    </row>
    <row r="36" spans="4:146" x14ac:dyDescent="0.35">
      <c r="D36">
        <f t="shared" ref="D36:E36" si="6">D11*100</f>
        <v>3200</v>
      </c>
      <c r="E36">
        <f t="shared" si="6"/>
        <v>1000</v>
      </c>
      <c r="DR36" s="6"/>
      <c r="DS36" s="1"/>
      <c r="DT36" s="1"/>
      <c r="DU36" s="1"/>
      <c r="DV36" s="1"/>
      <c r="DX36" s="1"/>
      <c r="DZ36" s="6"/>
      <c r="EA36" s="1"/>
      <c r="EB36" s="1"/>
      <c r="ED36" s="1"/>
      <c r="EE36" s="1"/>
      <c r="EG36" s="7"/>
      <c r="EJ36" s="6"/>
      <c r="EK36" s="1"/>
      <c r="EL36" s="1"/>
      <c r="EN36" s="6"/>
      <c r="EO36" s="1"/>
      <c r="EP36" s="1"/>
    </row>
    <row r="37" spans="4:146" x14ac:dyDescent="0.35">
      <c r="D37">
        <f t="shared" ref="D37:E37" si="7">D12*100</f>
        <v>1000</v>
      </c>
      <c r="E37">
        <f t="shared" si="7"/>
        <v>1000</v>
      </c>
      <c r="DR37" s="6"/>
      <c r="DS37" s="1"/>
      <c r="DT37" s="1"/>
      <c r="DU37" s="1"/>
      <c r="DV37" s="1"/>
      <c r="DX37" s="1"/>
      <c r="DZ37" s="6"/>
      <c r="EA37" s="1"/>
      <c r="EB37" s="1"/>
      <c r="ED37" s="1"/>
      <c r="EE37" s="1"/>
      <c r="EG37" s="7"/>
      <c r="EJ37" s="6"/>
      <c r="EK37" s="1"/>
      <c r="EL37" s="1"/>
      <c r="EN37" s="6"/>
      <c r="EO37" s="1"/>
      <c r="EP37" s="1"/>
    </row>
    <row r="38" spans="4:146" x14ac:dyDescent="0.35">
      <c r="D38">
        <f t="shared" ref="D38:E38" si="8">D13*100</f>
        <v>1000</v>
      </c>
      <c r="E38">
        <f t="shared" si="8"/>
        <v>1000</v>
      </c>
      <c r="DR38" s="6"/>
      <c r="DS38" s="1"/>
      <c r="DT38" s="1"/>
      <c r="DU38" s="1"/>
      <c r="DV38" s="1"/>
      <c r="DX38" s="1"/>
      <c r="DZ38" s="6"/>
      <c r="EA38" s="1"/>
      <c r="EB38" s="1"/>
      <c r="ED38" s="1"/>
      <c r="EE38" s="1"/>
      <c r="EG38" s="7"/>
      <c r="EJ38" s="6"/>
      <c r="EK38" s="1"/>
      <c r="EL38" s="1"/>
      <c r="EN38" s="6"/>
      <c r="EO38" s="1"/>
      <c r="EP38" s="1"/>
    </row>
    <row r="39" spans="4:146" x14ac:dyDescent="0.35">
      <c r="D39">
        <f t="shared" ref="D39:E39" si="9">D14*100</f>
        <v>2400</v>
      </c>
      <c r="E39">
        <f t="shared" si="9"/>
        <v>1000</v>
      </c>
      <c r="DR39" s="6"/>
      <c r="DS39" s="1"/>
      <c r="DT39" s="1"/>
      <c r="DU39" s="1"/>
      <c r="DV39" s="1"/>
      <c r="DX39" s="1"/>
      <c r="DZ39" s="6"/>
      <c r="EA39" s="1"/>
      <c r="EB39" s="1"/>
      <c r="ED39" s="1"/>
      <c r="EE39" s="1"/>
      <c r="EG39" s="7"/>
      <c r="EJ39" s="6"/>
      <c r="EK39" s="1"/>
      <c r="EL39" s="1"/>
      <c r="EN39" s="6"/>
      <c r="EO39" s="1"/>
      <c r="EP39" s="1"/>
    </row>
    <row r="40" spans="4:146" x14ac:dyDescent="0.35">
      <c r="D40">
        <f t="shared" ref="D40:E40" si="10">D15*100</f>
        <v>3600</v>
      </c>
      <c r="E40">
        <f t="shared" si="10"/>
        <v>1000</v>
      </c>
      <c r="DR40" s="6"/>
      <c r="DS40" s="1"/>
      <c r="DT40" s="1"/>
      <c r="DU40" s="1"/>
      <c r="DV40" s="1"/>
      <c r="DX40" s="1"/>
      <c r="DZ40" s="6"/>
      <c r="EA40" s="1"/>
      <c r="EB40" s="1"/>
      <c r="ED40" s="1"/>
      <c r="EE40" s="1"/>
      <c r="EG40" s="7"/>
      <c r="EJ40" s="6"/>
      <c r="EK40" s="1"/>
      <c r="EL40" s="1"/>
      <c r="EN40" s="6"/>
      <c r="EO40" s="1"/>
      <c r="EP40" s="1"/>
    </row>
    <row r="41" spans="4:146" x14ac:dyDescent="0.35">
      <c r="D41">
        <f t="shared" ref="D41:E41" si="11">D16*100</f>
        <v>3100</v>
      </c>
      <c r="E41">
        <f t="shared" si="11"/>
        <v>1000</v>
      </c>
      <c r="DR41" s="6"/>
      <c r="DS41" s="1"/>
      <c r="DT41" s="1"/>
      <c r="DU41" s="1"/>
      <c r="DV41" s="1"/>
      <c r="DX41" s="1"/>
      <c r="DZ41" s="6"/>
      <c r="EA41" s="1"/>
      <c r="EB41" s="1"/>
      <c r="ED41" s="1"/>
      <c r="EE41" s="1"/>
      <c r="EG41" s="7"/>
      <c r="EJ41" s="6"/>
      <c r="EK41" s="1"/>
      <c r="EL41" s="1"/>
      <c r="EN41" s="6"/>
      <c r="EO41" s="1"/>
      <c r="EP41" s="1"/>
    </row>
    <row r="42" spans="4:146" x14ac:dyDescent="0.35">
      <c r="D42">
        <f t="shared" ref="D42:E42" si="12">D17*100</f>
        <v>1000</v>
      </c>
      <c r="E42">
        <f t="shared" si="12"/>
        <v>1000</v>
      </c>
      <c r="DR42" s="6"/>
      <c r="DS42" s="1"/>
      <c r="DT42" s="1"/>
      <c r="DU42" s="1"/>
      <c r="DV42" s="1"/>
      <c r="DX42" s="1"/>
      <c r="DZ42" s="6"/>
      <c r="EA42" s="1"/>
      <c r="EB42" s="1"/>
      <c r="ED42" s="1"/>
      <c r="EE42" s="1"/>
      <c r="EG42" s="7"/>
      <c r="EJ42" s="6"/>
      <c r="EK42" s="1"/>
      <c r="EL42" s="1"/>
      <c r="EN42" s="6"/>
      <c r="EO42" s="1"/>
      <c r="EP42" s="1"/>
    </row>
    <row r="43" spans="4:146" x14ac:dyDescent="0.35">
      <c r="D43">
        <f t="shared" ref="D43:E43" si="13">D18*100</f>
        <v>2600</v>
      </c>
      <c r="E43">
        <f t="shared" si="13"/>
        <v>1000</v>
      </c>
      <c r="DR43" s="6"/>
      <c r="DS43" s="1"/>
      <c r="DT43" s="1"/>
      <c r="DU43" s="1"/>
      <c r="DV43" s="1"/>
      <c r="DX43" s="1"/>
      <c r="DZ43" s="6"/>
      <c r="EA43" s="1"/>
      <c r="EB43" s="1"/>
      <c r="ED43" s="1"/>
      <c r="EE43" s="1"/>
      <c r="EG43" s="7"/>
      <c r="EJ43" s="6"/>
      <c r="EK43" s="1"/>
      <c r="EL43" s="1"/>
      <c r="EN43" s="6"/>
      <c r="EO43" s="1"/>
      <c r="EP43" s="1"/>
    </row>
    <row r="44" spans="4:146" x14ac:dyDescent="0.35">
      <c r="D44">
        <f t="shared" ref="D44:E44" si="14">D19*100</f>
        <v>3200</v>
      </c>
      <c r="E44">
        <f t="shared" si="14"/>
        <v>1000</v>
      </c>
      <c r="DR44" s="6"/>
      <c r="DS44" s="1"/>
      <c r="DT44" s="1"/>
      <c r="DU44" s="1"/>
      <c r="DV44" s="1"/>
      <c r="DX44" s="1"/>
      <c r="DZ44" s="6"/>
      <c r="EA44" s="1"/>
      <c r="EB44" s="1"/>
      <c r="ED44" s="1"/>
      <c r="EE44" s="1"/>
      <c r="EG44" s="7"/>
      <c r="EJ44" s="6"/>
      <c r="EK44" s="1"/>
      <c r="EL44" s="1"/>
      <c r="EN44" s="6"/>
      <c r="EO44" s="1"/>
      <c r="EP44" s="1"/>
    </row>
    <row r="45" spans="4:146" x14ac:dyDescent="0.35">
      <c r="D45">
        <f t="shared" ref="D45:E45" si="15">D20*100</f>
        <v>2500</v>
      </c>
      <c r="E45">
        <f t="shared" si="15"/>
        <v>1000</v>
      </c>
      <c r="DR45" s="6"/>
      <c r="DS45" s="1"/>
      <c r="DT45" s="1"/>
      <c r="DU45" s="1"/>
      <c r="DV45" s="1"/>
      <c r="DX45" s="1"/>
      <c r="DZ45" s="6"/>
      <c r="EA45" s="1"/>
      <c r="EB45" s="1"/>
      <c r="ED45" s="1"/>
      <c r="EE45" s="1"/>
      <c r="EG45" s="7"/>
      <c r="EJ45" s="6"/>
      <c r="EK45" s="1"/>
      <c r="EL45" s="1"/>
      <c r="EN45" s="6"/>
      <c r="EO45" s="1"/>
      <c r="EP45" s="1"/>
    </row>
    <row r="46" spans="4:146" x14ac:dyDescent="0.35">
      <c r="D46">
        <f t="shared" ref="D46:E46" si="16">D21*100</f>
        <v>4600</v>
      </c>
      <c r="E46">
        <f t="shared" si="16"/>
        <v>1000</v>
      </c>
      <c r="DR46" s="6"/>
      <c r="DS46" s="1"/>
      <c r="DT46" s="1"/>
      <c r="DU46" s="1"/>
      <c r="DV46" s="1"/>
      <c r="DX46" s="1"/>
      <c r="DZ46" s="6"/>
      <c r="EA46" s="1"/>
      <c r="EB46" s="1"/>
      <c r="ED46" s="1"/>
      <c r="EE46" s="1"/>
      <c r="EG46" s="7"/>
      <c r="EJ46" s="6"/>
      <c r="EK46" s="1"/>
      <c r="EL46" s="1"/>
      <c r="EN46" s="6"/>
      <c r="EO46" s="1"/>
      <c r="EP46" s="1"/>
    </row>
    <row r="47" spans="4:146" x14ac:dyDescent="0.35">
      <c r="D47">
        <f t="shared" ref="D47:E47" si="17">D22*100</f>
        <v>2400</v>
      </c>
      <c r="E47">
        <f t="shared" si="17"/>
        <v>1000</v>
      </c>
      <c r="DR47" s="6"/>
      <c r="DS47" s="1"/>
      <c r="DT47" s="1"/>
      <c r="DU47" s="1"/>
      <c r="DV47" s="1"/>
      <c r="DX47" s="1"/>
      <c r="DZ47" s="6"/>
      <c r="EA47" s="1"/>
      <c r="EB47" s="1"/>
      <c r="ED47" s="1"/>
      <c r="EE47" s="1"/>
      <c r="EG47" s="7"/>
      <c r="EJ47" s="6"/>
      <c r="EK47" s="1"/>
      <c r="EL47" s="1"/>
      <c r="EN47" s="6"/>
      <c r="EO47" s="1"/>
      <c r="EP47" s="1"/>
    </row>
    <row r="48" spans="4:146" x14ac:dyDescent="0.35">
      <c r="D48">
        <f t="shared" ref="D48:E48" si="18">D23*100</f>
        <v>3400</v>
      </c>
      <c r="E48">
        <f t="shared" si="18"/>
        <v>14500</v>
      </c>
      <c r="DR48" s="6"/>
      <c r="DS48" s="1"/>
      <c r="DT48" s="1"/>
      <c r="DU48" s="1"/>
      <c r="DV48" s="1"/>
      <c r="DX48" s="1"/>
      <c r="DZ48" s="6"/>
      <c r="EA48" s="1"/>
      <c r="EB48" s="1"/>
      <c r="ED48" s="1"/>
      <c r="EE48" s="1"/>
      <c r="EG48" s="7"/>
      <c r="EJ48" s="6"/>
      <c r="EK48" s="1"/>
      <c r="EL48" s="1"/>
      <c r="EN48" s="6"/>
      <c r="EO48" s="1"/>
      <c r="EP48" s="1"/>
    </row>
    <row r="49" spans="4:146" x14ac:dyDescent="0.35">
      <c r="D49">
        <f t="shared" ref="D49:E49" si="19">D24*100</f>
        <v>2000</v>
      </c>
      <c r="E49">
        <f t="shared" si="19"/>
        <v>1000</v>
      </c>
      <c r="DR49" s="6"/>
      <c r="DS49" s="1"/>
      <c r="DT49" s="1"/>
      <c r="DU49" s="1"/>
      <c r="DV49" s="1"/>
      <c r="DX49" s="1"/>
      <c r="DZ49" s="6"/>
      <c r="EA49" s="1"/>
      <c r="EB49" s="1"/>
      <c r="ED49" s="1"/>
      <c r="EE49" s="1"/>
      <c r="EG49" s="7"/>
      <c r="EJ49" s="6"/>
      <c r="EK49" s="1"/>
      <c r="EL49" s="1"/>
      <c r="EN49" s="6"/>
      <c r="EO49" s="1"/>
      <c r="EP49" s="1"/>
    </row>
    <row r="50" spans="4:146" x14ac:dyDescent="0.35">
      <c r="DR50" s="6"/>
      <c r="DS50" s="1"/>
      <c r="DT50" s="1"/>
      <c r="DU50" s="1"/>
      <c r="DV50" s="1"/>
      <c r="DX50" s="1"/>
      <c r="DZ50" s="6"/>
      <c r="EA50" s="1"/>
      <c r="EB50" s="1"/>
      <c r="ED50" s="1"/>
      <c r="EE50" s="1"/>
      <c r="EG50" s="7"/>
      <c r="EJ50" s="6"/>
      <c r="EK50" s="1"/>
      <c r="EL50" s="1"/>
      <c r="EN50" s="6"/>
      <c r="EO50" s="1"/>
      <c r="EP50" s="1"/>
    </row>
    <row r="51" spans="4:146" x14ac:dyDescent="0.35">
      <c r="DR51" s="6"/>
      <c r="DS51" s="1"/>
      <c r="DT51" s="1"/>
      <c r="DU51" s="1"/>
      <c r="DV51" s="1"/>
      <c r="DX51" s="1"/>
      <c r="DZ51" s="6"/>
      <c r="EA51" s="1"/>
      <c r="EB51" s="1"/>
      <c r="ED51" s="1"/>
      <c r="EE51" s="1"/>
      <c r="EG51" s="7"/>
      <c r="EJ51" s="6"/>
      <c r="EK51" s="1"/>
      <c r="EL51" s="1"/>
      <c r="EN51" s="6"/>
      <c r="EO51" s="1"/>
      <c r="EP51" s="1"/>
    </row>
    <row r="52" spans="4:146" x14ac:dyDescent="0.35">
      <c r="DR52" s="6"/>
      <c r="DS52" s="1"/>
      <c r="DT52" s="1"/>
      <c r="DU52" s="1"/>
      <c r="DV52" s="1"/>
      <c r="DX52" s="1"/>
      <c r="DZ52" s="6"/>
      <c r="EA52" s="1"/>
      <c r="EB52" s="1"/>
      <c r="ED52" s="1"/>
      <c r="EE52" s="1"/>
      <c r="EG52" s="7"/>
      <c r="EJ52" s="6"/>
      <c r="EK52" s="1"/>
      <c r="EL52" s="1"/>
      <c r="EN52" s="6"/>
      <c r="EO52" s="1"/>
      <c r="EP52" s="1"/>
    </row>
    <row r="53" spans="4:146" x14ac:dyDescent="0.35">
      <c r="DR53" s="6"/>
      <c r="DS53" s="1"/>
      <c r="DT53" s="1"/>
      <c r="DU53" s="1"/>
      <c r="DV53" s="1"/>
      <c r="DX53" s="1"/>
      <c r="DZ53" s="6"/>
      <c r="EA53" s="1"/>
      <c r="EB53" s="1"/>
      <c r="ED53" s="1"/>
      <c r="EE53" s="1"/>
      <c r="EG53" s="7"/>
      <c r="EJ53" s="6"/>
      <c r="EK53" s="1"/>
      <c r="EL53" s="1"/>
      <c r="EN53" s="6"/>
      <c r="EO53" s="1"/>
      <c r="EP53" s="1"/>
    </row>
    <row r="54" spans="4:146" x14ac:dyDescent="0.35">
      <c r="DR54" s="6"/>
      <c r="DS54" s="1"/>
      <c r="DT54" s="1"/>
      <c r="DU54" s="1"/>
      <c r="DV54" s="1"/>
      <c r="DX54" s="1"/>
      <c r="DZ54" s="6"/>
      <c r="EA54" s="1"/>
      <c r="EB54" s="1"/>
      <c r="ED54" s="1"/>
      <c r="EE54" s="1"/>
      <c r="EG54" s="7"/>
      <c r="EJ54" s="6"/>
      <c r="EK54" s="1"/>
      <c r="EL54" s="1"/>
      <c r="EN54" s="6"/>
      <c r="EO54" s="1"/>
      <c r="EP54" s="1"/>
    </row>
    <row r="55" spans="4:146" x14ac:dyDescent="0.35">
      <c r="DR55" s="6"/>
      <c r="DS55" s="1"/>
      <c r="DT55" s="1"/>
      <c r="DU55" s="1"/>
      <c r="DV55" s="1"/>
      <c r="DX55" s="1"/>
      <c r="DZ55" s="6"/>
      <c r="EA55" s="1"/>
      <c r="EB55" s="1"/>
      <c r="ED55" s="1"/>
      <c r="EE55" s="1"/>
      <c r="EG55" s="7"/>
      <c r="EJ55" s="6"/>
      <c r="EK55" s="1"/>
      <c r="EL55" s="1"/>
      <c r="EN55" s="6"/>
      <c r="EO55" s="1"/>
      <c r="EP55" s="1"/>
    </row>
    <row r="56" spans="4:146" x14ac:dyDescent="0.35">
      <c r="DR56" s="6"/>
      <c r="DS56" s="1"/>
      <c r="DT56" s="1"/>
      <c r="DU56" s="1"/>
      <c r="DV56" s="1"/>
      <c r="DX56" s="1"/>
      <c r="DZ56" s="6"/>
      <c r="EA56" s="1"/>
      <c r="EB56" s="1"/>
      <c r="ED56" s="1"/>
      <c r="EE56" s="1"/>
      <c r="EG56" s="7"/>
      <c r="EJ56" s="6"/>
      <c r="EK56" s="1"/>
      <c r="EL56" s="1"/>
      <c r="EN56" s="6"/>
      <c r="EO56" s="1"/>
      <c r="EP56" s="1"/>
    </row>
    <row r="57" spans="4:146" x14ac:dyDescent="0.35">
      <c r="DR57" s="6"/>
      <c r="DS57" s="1"/>
      <c r="DT57" s="1"/>
      <c r="DU57" s="1"/>
      <c r="DV57" s="1"/>
      <c r="DX57" s="1"/>
      <c r="DZ57" s="6"/>
      <c r="EA57" s="1"/>
      <c r="EB57" s="1"/>
      <c r="ED57" s="1"/>
      <c r="EE57" s="1"/>
      <c r="EG57" s="7"/>
      <c r="EJ57" s="6"/>
      <c r="EK57" s="1"/>
      <c r="EL57" s="1"/>
      <c r="EN57" s="6"/>
      <c r="EO57" s="1"/>
      <c r="EP57" s="1"/>
    </row>
    <row r="58" spans="4:146" x14ac:dyDescent="0.35">
      <c r="DR58" s="6"/>
      <c r="DS58" s="1"/>
      <c r="DT58" s="1"/>
      <c r="DU58" s="1"/>
      <c r="DV58" s="1"/>
      <c r="DX58" s="1"/>
      <c r="DZ58" s="6"/>
      <c r="EA58" s="1"/>
      <c r="EB58" s="1"/>
      <c r="ED58" s="1"/>
      <c r="EE58" s="1"/>
      <c r="EG58" s="7"/>
      <c r="EJ58" s="6"/>
      <c r="EK58" s="1"/>
      <c r="EL58" s="1"/>
      <c r="EN58" s="6"/>
      <c r="EO58" s="1"/>
      <c r="EP58" s="1"/>
    </row>
    <row r="59" spans="4:146" x14ac:dyDescent="0.35">
      <c r="DR59" s="6"/>
      <c r="DS59" s="1"/>
      <c r="DT59" s="1"/>
      <c r="DU59" s="1"/>
      <c r="DV59" s="1"/>
      <c r="DX59" s="1"/>
      <c r="DZ59" s="6"/>
      <c r="EA59" s="1"/>
      <c r="EB59" s="1"/>
      <c r="ED59" s="1"/>
      <c r="EE59" s="1"/>
      <c r="EG59" s="7"/>
      <c r="EJ59" s="6"/>
      <c r="EK59" s="1"/>
      <c r="EL59" s="1"/>
      <c r="EN59" s="6"/>
      <c r="EO59" s="1"/>
      <c r="EP59" s="1"/>
    </row>
    <row r="60" spans="4:146" x14ac:dyDescent="0.35">
      <c r="DR60" s="6"/>
      <c r="DS60" s="1"/>
      <c r="DT60" s="1"/>
      <c r="DU60" s="1"/>
      <c r="DV60" s="1"/>
      <c r="DX60" s="1"/>
      <c r="DZ60" s="6"/>
      <c r="EA60" s="1"/>
      <c r="EB60" s="1"/>
      <c r="ED60" s="1"/>
      <c r="EE60" s="1"/>
      <c r="EG60" s="7"/>
      <c r="EJ60" s="6"/>
      <c r="EK60" s="1"/>
      <c r="EL60" s="1"/>
      <c r="EN60" s="6"/>
      <c r="EO60" s="1"/>
      <c r="EP60" s="1"/>
    </row>
    <row r="61" spans="4:146" x14ac:dyDescent="0.35">
      <c r="DR61" s="6"/>
      <c r="DS61" s="1"/>
      <c r="DT61" s="1"/>
      <c r="DU61" s="1"/>
      <c r="DV61" s="1"/>
      <c r="DX61" s="1"/>
      <c r="DZ61" s="6"/>
      <c r="EA61" s="1"/>
      <c r="EB61" s="1"/>
      <c r="ED61" s="1"/>
      <c r="EE61" s="1"/>
      <c r="EG61" s="7"/>
      <c r="EJ61" s="6"/>
      <c r="EK61" s="1"/>
      <c r="EL61" s="1"/>
      <c r="EN61" s="6"/>
      <c r="EO61" s="1"/>
      <c r="EP61" s="1"/>
    </row>
    <row r="62" spans="4:146" x14ac:dyDescent="0.35">
      <c r="DR62" s="6"/>
      <c r="DS62" s="1"/>
      <c r="DT62" s="1"/>
      <c r="DU62" s="1"/>
      <c r="DV62" s="1"/>
      <c r="DX62" s="1"/>
      <c r="DZ62" s="6"/>
      <c r="EA62" s="1"/>
      <c r="EB62" s="1"/>
      <c r="ED62" s="1"/>
      <c r="EE62" s="1"/>
      <c r="EG62" s="7"/>
      <c r="EJ62" s="6"/>
      <c r="EK62" s="1"/>
      <c r="EL62" s="1"/>
      <c r="EN62" s="6"/>
      <c r="EO62" s="1"/>
      <c r="EP62" s="1"/>
    </row>
    <row r="63" spans="4:146" x14ac:dyDescent="0.35">
      <c r="DR63" s="6"/>
      <c r="DS63" s="1"/>
      <c r="DT63" s="1"/>
      <c r="DU63" s="1"/>
      <c r="DV63" s="1"/>
      <c r="DX63" s="1"/>
      <c r="DZ63" s="6"/>
      <c r="EA63" s="1"/>
      <c r="EB63" s="1"/>
      <c r="ED63" s="1"/>
      <c r="EE63" s="1"/>
      <c r="EG63" s="7"/>
      <c r="EJ63" s="6"/>
      <c r="EK63" s="1"/>
      <c r="EL63" s="1"/>
      <c r="EN63" s="6"/>
      <c r="EO63" s="1"/>
      <c r="EP63" s="1"/>
    </row>
    <row r="64" spans="4:146" x14ac:dyDescent="0.35">
      <c r="DR64" s="6"/>
      <c r="DS64" s="1"/>
      <c r="DT64" s="1"/>
      <c r="DU64" s="1"/>
      <c r="DV64" s="1"/>
      <c r="DX64" s="1"/>
      <c r="DZ64" s="6"/>
      <c r="EA64" s="1"/>
      <c r="EB64" s="1"/>
      <c r="ED64" s="1"/>
      <c r="EE64" s="1"/>
      <c r="EG64" s="7"/>
      <c r="EJ64" s="6"/>
      <c r="EK64" s="1"/>
      <c r="EL64" s="1"/>
      <c r="EN64" s="6"/>
      <c r="EO64" s="1"/>
      <c r="EP64" s="1"/>
    </row>
    <row r="65" spans="122:146" x14ac:dyDescent="0.35">
      <c r="DR65" s="6"/>
      <c r="DS65" s="1"/>
      <c r="DT65" s="1"/>
      <c r="DU65" s="1"/>
      <c r="DV65" s="1"/>
      <c r="DX65" s="1"/>
      <c r="DZ65" s="6"/>
      <c r="EA65" s="1"/>
      <c r="EB65" s="1"/>
      <c r="ED65" s="1"/>
      <c r="EE65" s="1"/>
      <c r="EG65" s="7"/>
      <c r="EJ65" s="6"/>
      <c r="EK65" s="1"/>
      <c r="EL65" s="1"/>
      <c r="EN65" s="6"/>
      <c r="EO65" s="1"/>
      <c r="EP65" s="1"/>
    </row>
    <row r="66" spans="122:146" x14ac:dyDescent="0.35">
      <c r="DR66" s="6"/>
      <c r="DS66" s="1"/>
      <c r="DT66" s="1"/>
      <c r="DU66" s="1"/>
      <c r="DV66" s="1"/>
      <c r="DX66" s="1"/>
      <c r="DZ66" s="6"/>
      <c r="EA66" s="1"/>
      <c r="EB66" s="1"/>
      <c r="ED66" s="1"/>
      <c r="EE66" s="1"/>
      <c r="EG66" s="7"/>
      <c r="EJ66" s="6"/>
      <c r="EK66" s="1"/>
      <c r="EL66" s="1"/>
      <c r="EN66" s="6"/>
      <c r="EO66" s="1"/>
      <c r="EP66" s="1"/>
    </row>
    <row r="67" spans="122:146" x14ac:dyDescent="0.35">
      <c r="DR67" s="6"/>
      <c r="DS67" s="1"/>
      <c r="DT67" s="1"/>
      <c r="DU67" s="1"/>
      <c r="DV67" s="1"/>
      <c r="DX67" s="1"/>
      <c r="DZ67" s="6"/>
      <c r="EA67" s="1"/>
      <c r="EB67" s="1"/>
      <c r="ED67" s="1"/>
      <c r="EE67" s="1"/>
      <c r="EG67" s="7"/>
      <c r="EJ67" s="6"/>
      <c r="EK67" s="1"/>
      <c r="EL67" s="1"/>
      <c r="EN67" s="6"/>
      <c r="EO67" s="1"/>
      <c r="EP67" s="1"/>
    </row>
    <row r="68" spans="122:146" x14ac:dyDescent="0.35">
      <c r="DR68" s="6"/>
      <c r="DS68" s="1"/>
      <c r="DT68" s="1"/>
      <c r="DU68" s="1"/>
      <c r="DV68" s="1"/>
      <c r="DX68" s="1"/>
      <c r="DZ68" s="6"/>
      <c r="EA68" s="1"/>
      <c r="EB68" s="1"/>
      <c r="ED68" s="1"/>
      <c r="EE68" s="1"/>
      <c r="EG68" s="7"/>
      <c r="EJ68" s="6"/>
      <c r="EK68" s="1"/>
      <c r="EL68" s="1"/>
      <c r="EN68" s="6"/>
      <c r="EO68" s="1"/>
      <c r="EP68" s="1"/>
    </row>
    <row r="69" spans="122:146" x14ac:dyDescent="0.35">
      <c r="DR69" s="6"/>
      <c r="DS69" s="1"/>
      <c r="DT69" s="1"/>
      <c r="DU69" s="1"/>
      <c r="DV69" s="1"/>
      <c r="DX69" s="1"/>
      <c r="DZ69" s="6"/>
      <c r="EA69" s="1"/>
      <c r="EB69" s="1"/>
      <c r="ED69" s="1"/>
      <c r="EE69" s="1"/>
      <c r="EG69" s="7"/>
      <c r="EJ69" s="6"/>
      <c r="EK69" s="1"/>
      <c r="EL69" s="1"/>
      <c r="EN69" s="6"/>
      <c r="EO69" s="1"/>
      <c r="EP69" s="1"/>
    </row>
    <row r="70" spans="122:146" x14ac:dyDescent="0.35">
      <c r="DR70" s="6"/>
      <c r="DS70" s="1"/>
      <c r="DT70" s="1"/>
      <c r="DU70" s="1"/>
      <c r="DV70" s="1"/>
      <c r="DX70" s="1"/>
      <c r="DZ70" s="6"/>
      <c r="EA70" s="1"/>
      <c r="EB70" s="1"/>
      <c r="ED70" s="1"/>
      <c r="EE70" s="1"/>
      <c r="EG70" s="7"/>
      <c r="EH70" s="1"/>
      <c r="EJ70" s="6"/>
      <c r="EK70" s="1"/>
      <c r="EL70" s="1"/>
      <c r="EN70" s="6"/>
      <c r="EO70" s="1"/>
      <c r="EP70" s="1"/>
    </row>
    <row r="71" spans="122:146" x14ac:dyDescent="0.35">
      <c r="DR71" s="6"/>
      <c r="DS71" s="1"/>
      <c r="DT71" s="1"/>
      <c r="DU71" s="1"/>
      <c r="DV71" s="1"/>
      <c r="DX71" s="1"/>
      <c r="DZ71" s="6"/>
      <c r="EA71" s="1"/>
      <c r="EB71" s="1"/>
      <c r="ED71" s="1"/>
      <c r="EE71" s="1"/>
      <c r="EG71" s="1"/>
      <c r="EH71" s="1"/>
      <c r="EJ71" s="6"/>
      <c r="EK71" s="1"/>
      <c r="EL71" s="1"/>
      <c r="EN71" s="6"/>
      <c r="EO71" s="1"/>
      <c r="EP71" s="1"/>
    </row>
    <row r="72" spans="122:146" x14ac:dyDescent="0.35">
      <c r="DR72" s="6"/>
      <c r="DS72" s="1"/>
      <c r="DT72" s="1"/>
      <c r="DU72" s="1"/>
      <c r="DV72" s="1"/>
      <c r="DX72" s="1"/>
      <c r="DZ72" s="6"/>
      <c r="EA72" s="1"/>
      <c r="EB72" s="1"/>
      <c r="ED72" s="1"/>
      <c r="EE72" s="1"/>
      <c r="EG72" s="1"/>
      <c r="EH72" s="1"/>
      <c r="EJ72" s="6"/>
      <c r="EK72" s="1"/>
      <c r="EL72" s="1"/>
      <c r="EN72" s="6"/>
      <c r="EO72" s="1"/>
      <c r="EP72" s="1"/>
    </row>
    <row r="73" spans="122:146" x14ac:dyDescent="0.35">
      <c r="DR73" s="6"/>
      <c r="DS73" s="1"/>
      <c r="DT73" s="1"/>
      <c r="DU73" s="1"/>
      <c r="DV73" s="1"/>
      <c r="DX73" s="1"/>
      <c r="DZ73" s="6"/>
      <c r="EA73" s="1"/>
      <c r="EB73" s="1"/>
      <c r="ED73" s="1"/>
      <c r="EE73" s="1"/>
      <c r="EG73" s="1"/>
      <c r="EH73" s="1"/>
      <c r="EJ73" s="6"/>
      <c r="EK73" s="1"/>
      <c r="EL73" s="1"/>
      <c r="EN73" s="6"/>
      <c r="EO73" s="1"/>
      <c r="EP73" s="1"/>
    </row>
    <row r="74" spans="122:146" x14ac:dyDescent="0.35">
      <c r="DR74" s="6"/>
      <c r="DS74" s="1"/>
      <c r="DT74" s="1"/>
      <c r="DU74" s="1"/>
      <c r="DV74" s="1"/>
      <c r="DX74" s="1"/>
      <c r="DZ74" s="6"/>
      <c r="EA74" s="1"/>
      <c r="EB74" s="1"/>
      <c r="ED74" s="1"/>
      <c r="EE74" s="1"/>
      <c r="EG74" s="1"/>
      <c r="EH74" s="1"/>
      <c r="EJ74" s="6"/>
      <c r="EK74" s="1"/>
      <c r="EL74" s="1"/>
      <c r="EN74" s="6"/>
      <c r="EO74" s="1"/>
      <c r="EP74" s="1"/>
    </row>
    <row r="75" spans="122:146" x14ac:dyDescent="0.35">
      <c r="DR75" s="6"/>
      <c r="DS75" s="1"/>
      <c r="DT75" s="1"/>
      <c r="DU75" s="1"/>
      <c r="DV75" s="1"/>
      <c r="DX75" s="1"/>
      <c r="DZ75" s="6"/>
      <c r="EA75" s="1"/>
      <c r="EB75" s="1"/>
      <c r="ED75" s="1"/>
      <c r="EE75" s="1"/>
      <c r="EG75" s="1"/>
      <c r="EH75" s="1"/>
      <c r="EJ75" s="6"/>
      <c r="EK75" s="1"/>
      <c r="EL75" s="1"/>
      <c r="EN75" s="6"/>
      <c r="EO75" s="1"/>
      <c r="EP75" s="1"/>
    </row>
    <row r="76" spans="122:146" x14ac:dyDescent="0.35">
      <c r="DR76" s="6"/>
      <c r="DS76" s="1"/>
      <c r="DT76" s="1"/>
      <c r="DU76" s="1"/>
      <c r="DV76" s="1"/>
      <c r="DX76" s="1"/>
      <c r="DZ76" s="6"/>
      <c r="EA76" s="1"/>
      <c r="EB76" s="1"/>
      <c r="ED76" s="1"/>
      <c r="EE76" s="1"/>
      <c r="EG76" s="1"/>
      <c r="EH76" s="1"/>
      <c r="EJ76" s="6"/>
      <c r="EK76" s="1"/>
      <c r="EL76" s="1"/>
      <c r="EN76" s="6"/>
      <c r="EO76" s="1"/>
      <c r="EP76" s="1"/>
    </row>
    <row r="77" spans="122:146" x14ac:dyDescent="0.35">
      <c r="DR77" s="6"/>
      <c r="DS77" s="1"/>
      <c r="DT77" s="1"/>
      <c r="DU77" s="1"/>
      <c r="DV77" s="1"/>
      <c r="DX77" s="1"/>
      <c r="DZ77" s="6"/>
      <c r="EA77" s="1"/>
      <c r="EB77" s="1"/>
      <c r="ED77" s="1"/>
      <c r="EE77" s="1"/>
      <c r="EG77" s="1"/>
      <c r="EH77" s="1"/>
      <c r="EJ77" s="6"/>
      <c r="EK77" s="1"/>
      <c r="EL77" s="1"/>
      <c r="EN77" s="6"/>
      <c r="EO77" s="1"/>
      <c r="EP77" s="1"/>
    </row>
    <row r="78" spans="122:146" x14ac:dyDescent="0.35">
      <c r="DR78" s="6"/>
      <c r="DS78" s="1"/>
      <c r="DT78" s="1"/>
      <c r="DU78" s="1"/>
      <c r="DV78" s="1"/>
      <c r="DX78" s="1"/>
      <c r="DZ78" s="6"/>
      <c r="EA78" s="1"/>
      <c r="EB78" s="1"/>
      <c r="ED78" s="1"/>
      <c r="EE78" s="1"/>
      <c r="EG78" s="1"/>
      <c r="EH78" s="1"/>
      <c r="EJ78" s="6"/>
      <c r="EK78" s="1"/>
      <c r="EL78" s="1"/>
      <c r="EN78" s="6"/>
      <c r="EO78" s="1"/>
      <c r="EP78" s="1"/>
    </row>
    <row r="79" spans="122:146" x14ac:dyDescent="0.35">
      <c r="DR79" s="6"/>
      <c r="DS79" s="1"/>
      <c r="DT79" s="1"/>
      <c r="DU79" s="1"/>
      <c r="DV79" s="1"/>
      <c r="DX79" s="1"/>
      <c r="DZ79" s="6"/>
      <c r="EA79" s="1"/>
      <c r="EB79" s="1"/>
      <c r="ED79" s="1"/>
      <c r="EE79" s="1"/>
      <c r="EG79" s="1"/>
      <c r="EH79" s="1"/>
      <c r="EJ79" s="6"/>
      <c r="EK79" s="1"/>
      <c r="EL79" s="1"/>
      <c r="EN79" s="6"/>
      <c r="EO79" s="1"/>
      <c r="EP79" s="1"/>
    </row>
    <row r="80" spans="122:146" x14ac:dyDescent="0.35">
      <c r="DR80" s="6"/>
      <c r="DS80" s="1"/>
      <c r="DT80" s="1"/>
      <c r="DU80" s="1"/>
      <c r="DV80" s="1"/>
      <c r="DX80" s="1"/>
      <c r="DZ80" s="6"/>
      <c r="EA80" s="1"/>
      <c r="EB80" s="1"/>
      <c r="ED80" s="1"/>
      <c r="EE80" s="1"/>
      <c r="EG80" s="1"/>
      <c r="EH80" s="1"/>
      <c r="EJ80" s="6"/>
      <c r="EK80" s="1"/>
      <c r="EL80" s="1"/>
      <c r="EN80" s="6"/>
      <c r="EO80" s="1"/>
      <c r="EP80" s="1"/>
    </row>
    <row r="81" spans="122:146" x14ac:dyDescent="0.35">
      <c r="DR81" s="6"/>
      <c r="DS81" s="1"/>
      <c r="DT81" s="1"/>
      <c r="DU81" s="1"/>
      <c r="DV81" s="1"/>
      <c r="DX81" s="1"/>
      <c r="DZ81" s="6"/>
      <c r="EA81" s="1"/>
      <c r="EB81" s="1"/>
      <c r="ED81" s="1"/>
      <c r="EE81" s="1"/>
      <c r="EG81" s="1"/>
      <c r="EH81" s="1"/>
      <c r="EJ81" s="6"/>
      <c r="EK81" s="1"/>
      <c r="EL81" s="1"/>
      <c r="EN81" s="6"/>
      <c r="EO81" s="1"/>
      <c r="EP81" s="1"/>
    </row>
    <row r="82" spans="122:146" x14ac:dyDescent="0.35">
      <c r="DR82" s="6"/>
      <c r="DS82" s="1"/>
      <c r="DT82" s="1"/>
      <c r="DU82" s="1"/>
      <c r="DV82" s="1"/>
      <c r="DX82" s="1"/>
      <c r="DZ82" s="6"/>
      <c r="EA82" s="1"/>
      <c r="EB82" s="1"/>
      <c r="ED82" s="1"/>
      <c r="EE82" s="1"/>
      <c r="EG82" s="1"/>
      <c r="EH82" s="1"/>
      <c r="EJ82" s="6"/>
      <c r="EK82" s="1"/>
      <c r="EL82" s="1"/>
      <c r="EN82" s="6"/>
      <c r="EO82" s="1"/>
      <c r="EP82" s="1"/>
    </row>
    <row r="83" spans="122:146" x14ac:dyDescent="0.35">
      <c r="DR83" s="6"/>
      <c r="DS83" s="1"/>
      <c r="DT83" s="1"/>
      <c r="DU83" s="1"/>
      <c r="DV83" s="1"/>
      <c r="DX83" s="1"/>
      <c r="DZ83" s="6"/>
      <c r="EA83" s="1"/>
      <c r="EB83" s="1"/>
      <c r="ED83" s="1"/>
      <c r="EE83" s="1"/>
      <c r="EG83" s="1"/>
      <c r="EH83" s="1"/>
      <c r="EJ83" s="6"/>
      <c r="EK83" s="1"/>
      <c r="EL83" s="1"/>
      <c r="EN83" s="6"/>
      <c r="EO83" s="1"/>
      <c r="EP83" s="1"/>
    </row>
    <row r="84" spans="122:146" x14ac:dyDescent="0.35">
      <c r="DR84" s="6"/>
      <c r="DS84" s="1"/>
      <c r="DT84" s="1"/>
      <c r="DU84" s="1"/>
      <c r="DV84" s="1"/>
      <c r="DX84" s="1"/>
      <c r="DZ84" s="6"/>
      <c r="EA84" s="1"/>
      <c r="EB84" s="1"/>
      <c r="ED84" s="1"/>
      <c r="EE84" s="1"/>
      <c r="EG84" s="1"/>
      <c r="EH84" s="1"/>
      <c r="EJ84" s="6"/>
      <c r="EK84" s="1"/>
      <c r="EL84" s="1"/>
      <c r="EN84" s="6"/>
      <c r="EO84" s="1"/>
      <c r="EP84" s="1"/>
    </row>
    <row r="85" spans="122:146" x14ac:dyDescent="0.35">
      <c r="DR85" s="6"/>
      <c r="DS85" s="1"/>
      <c r="DT85" s="1"/>
      <c r="DU85" s="1"/>
      <c r="DV85" s="1"/>
      <c r="DX85" s="1"/>
      <c r="DZ85" s="6"/>
      <c r="EA85" s="1"/>
      <c r="EB85" s="1"/>
      <c r="ED85" s="1"/>
      <c r="EE85" s="1"/>
      <c r="EG85" s="1"/>
      <c r="EH85" s="1"/>
      <c r="EJ85" s="6"/>
      <c r="EK85" s="1"/>
      <c r="EL85" s="1"/>
      <c r="EN85" s="6"/>
      <c r="EO85" s="1"/>
      <c r="EP85" s="1"/>
    </row>
    <row r="86" spans="122:146" x14ac:dyDescent="0.35">
      <c r="DR86" s="6"/>
      <c r="DS86" s="1"/>
      <c r="DT86" s="1"/>
      <c r="DU86" s="1"/>
      <c r="DV86" s="1"/>
      <c r="DX86" s="1"/>
      <c r="DZ86" s="6"/>
      <c r="EA86" s="1"/>
      <c r="EB86" s="1"/>
      <c r="ED86" s="1"/>
      <c r="EE86" s="1"/>
      <c r="EG86" s="1"/>
      <c r="EH86" s="1"/>
      <c r="EJ86" s="6"/>
      <c r="EK86" s="1"/>
      <c r="EL86" s="1"/>
      <c r="EN86" s="6"/>
      <c r="EO86" s="1"/>
      <c r="EP86" s="1"/>
    </row>
    <row r="87" spans="122:146" x14ac:dyDescent="0.35">
      <c r="DR87" s="6"/>
      <c r="DS87" s="1"/>
      <c r="DT87" s="1"/>
      <c r="DU87" s="1"/>
      <c r="DV87" s="1"/>
      <c r="DX87" s="1"/>
      <c r="DZ87" s="6"/>
      <c r="EA87" s="1"/>
      <c r="EB87" s="1"/>
      <c r="ED87" s="1"/>
      <c r="EE87" s="1"/>
      <c r="EG87" s="1"/>
      <c r="EH87" s="1"/>
      <c r="EJ87" s="6"/>
      <c r="EK87" s="1"/>
      <c r="EL87" s="1"/>
      <c r="EN87" s="6"/>
      <c r="EO87" s="1"/>
      <c r="EP87" s="1"/>
    </row>
    <row r="88" spans="122:146" x14ac:dyDescent="0.35">
      <c r="DR88" s="6"/>
      <c r="DS88" s="1"/>
      <c r="DT88" s="1"/>
      <c r="DU88" s="1"/>
      <c r="DV88" s="1"/>
      <c r="DX88" s="1"/>
      <c r="DZ88" s="6"/>
      <c r="EA88" s="1"/>
      <c r="EB88" s="1"/>
      <c r="ED88" s="1"/>
      <c r="EE88" s="1"/>
      <c r="EG88" s="1"/>
      <c r="EH88" s="1"/>
      <c r="EJ88" s="6"/>
      <c r="EK88" s="1"/>
      <c r="EL88" s="1"/>
      <c r="EN88" s="6"/>
      <c r="EO88" s="1"/>
      <c r="EP88" s="1"/>
    </row>
    <row r="89" spans="122:146" x14ac:dyDescent="0.35">
      <c r="DR89" s="6"/>
      <c r="DS89" s="1"/>
      <c r="DT89" s="1"/>
      <c r="DU89" s="1"/>
      <c r="DV89" s="1"/>
      <c r="DX89" s="1"/>
      <c r="DZ89" s="6"/>
      <c r="EA89" s="1"/>
      <c r="EB89" s="1"/>
      <c r="ED89" s="1"/>
      <c r="EE89" s="1"/>
      <c r="EG89" s="1"/>
      <c r="EH89" s="1"/>
      <c r="EJ89" s="6"/>
      <c r="EK89" s="1"/>
      <c r="EL89" s="1"/>
      <c r="EN89" s="6"/>
      <c r="EO89" s="1"/>
      <c r="EP89" s="1"/>
    </row>
    <row r="90" spans="122:146" x14ac:dyDescent="0.35">
      <c r="DR90" s="6"/>
      <c r="DS90" s="1"/>
      <c r="DT90" s="1"/>
      <c r="DU90" s="1"/>
      <c r="DV90" s="1"/>
      <c r="DX90" s="1"/>
      <c r="DZ90" s="6"/>
      <c r="EA90" s="1"/>
      <c r="EB90" s="1"/>
      <c r="ED90" s="1"/>
      <c r="EE90" s="1"/>
      <c r="EG90" s="1"/>
      <c r="EH90" s="1"/>
      <c r="EJ90" s="6"/>
      <c r="EK90" s="1"/>
      <c r="EL90" s="1"/>
      <c r="EN90" s="6"/>
      <c r="EO90" s="1"/>
      <c r="EP90" s="1"/>
    </row>
    <row r="91" spans="122:146" x14ac:dyDescent="0.35">
      <c r="DR91" s="6"/>
      <c r="DS91" s="1"/>
      <c r="DT91" s="1"/>
      <c r="DU91" s="1"/>
      <c r="DV91" s="1"/>
      <c r="DX91" s="1"/>
      <c r="DZ91" s="6"/>
      <c r="EA91" s="1"/>
      <c r="EB91" s="1"/>
      <c r="ED91" s="1"/>
      <c r="EE91" s="1"/>
      <c r="EG91" s="1"/>
      <c r="EH91" s="1"/>
      <c r="EJ91" s="6"/>
      <c r="EK91" s="1"/>
      <c r="EL91" s="1"/>
      <c r="EN91" s="6"/>
      <c r="EO91" s="1"/>
      <c r="EP91" s="1"/>
    </row>
    <row r="92" spans="122:146" x14ac:dyDescent="0.35">
      <c r="DR92" s="6"/>
      <c r="DS92" s="1"/>
      <c r="DT92" s="1"/>
      <c r="DU92" s="1"/>
      <c r="DV92" s="1"/>
      <c r="DX92" s="1"/>
      <c r="DZ92" s="6"/>
      <c r="EA92" s="1"/>
      <c r="EB92" s="1"/>
      <c r="ED92" s="1"/>
      <c r="EE92" s="1"/>
      <c r="EG92" s="1"/>
      <c r="EH92" s="1"/>
      <c r="EJ92" s="6"/>
      <c r="EK92" s="1"/>
      <c r="EL92" s="1"/>
      <c r="EN92" s="6"/>
      <c r="EO92" s="1"/>
      <c r="EP92" s="1"/>
    </row>
    <row r="93" spans="122:146" x14ac:dyDescent="0.35">
      <c r="DR93" s="6"/>
      <c r="DS93" s="1"/>
      <c r="DT93" s="1"/>
      <c r="DU93" s="1"/>
      <c r="DV93" s="1"/>
      <c r="DX93" s="1"/>
      <c r="DZ93" s="6"/>
      <c r="EA93" s="1"/>
      <c r="EB93" s="1"/>
      <c r="ED93" s="1"/>
      <c r="EE93" s="1"/>
      <c r="EG93" s="1"/>
      <c r="EH93" s="1"/>
      <c r="EJ93" s="6"/>
      <c r="EK93" s="1"/>
      <c r="EL93" s="1"/>
      <c r="EN93" s="6"/>
      <c r="EO93" s="1"/>
      <c r="EP93" s="1"/>
    </row>
    <row r="94" spans="122:146" x14ac:dyDescent="0.35">
      <c r="DR94" s="6"/>
      <c r="DS94" s="1"/>
      <c r="DT94" s="1"/>
      <c r="DU94" s="1"/>
      <c r="DV94" s="1"/>
      <c r="DX94" s="1"/>
      <c r="DZ94" s="6"/>
      <c r="EA94" s="1"/>
      <c r="EB94" s="1"/>
      <c r="ED94" s="1"/>
      <c r="EE94" s="1"/>
      <c r="EG94" s="1"/>
      <c r="EH94" s="1"/>
      <c r="EJ94" s="6"/>
      <c r="EK94" s="1"/>
      <c r="EL94" s="1"/>
      <c r="EN94" s="6"/>
      <c r="EO94" s="1"/>
      <c r="EP94" s="1"/>
    </row>
    <row r="95" spans="122:146" x14ac:dyDescent="0.35">
      <c r="DR95" s="6"/>
      <c r="DS95" s="1"/>
      <c r="DT95" s="1"/>
      <c r="DU95" s="1"/>
      <c r="DV95" s="1"/>
      <c r="DX95" s="1"/>
      <c r="DZ95" s="6"/>
      <c r="EA95" s="1"/>
      <c r="EB95" s="1"/>
      <c r="ED95" s="1"/>
      <c r="EE95" s="1"/>
      <c r="EG95" s="1"/>
      <c r="EH95" s="1"/>
      <c r="EJ95" s="6"/>
      <c r="EK95" s="1"/>
      <c r="EL95" s="1"/>
      <c r="EN95" s="6"/>
      <c r="EO95" s="1"/>
      <c r="EP95" s="1"/>
    </row>
    <row r="96" spans="122:146" x14ac:dyDescent="0.35">
      <c r="DR96" s="6"/>
      <c r="DS96" s="1"/>
      <c r="DT96" s="1"/>
      <c r="DU96" s="1"/>
      <c r="DV96" s="1"/>
      <c r="DX96" s="1"/>
      <c r="DZ96" s="6"/>
      <c r="EA96" s="1"/>
      <c r="EB96" s="1"/>
      <c r="ED96" s="1"/>
      <c r="EE96" s="1"/>
      <c r="EG96" s="1"/>
      <c r="EH96" s="1"/>
      <c r="EJ96" s="6"/>
      <c r="EK96" s="1"/>
      <c r="EL96" s="1"/>
      <c r="EN96" s="6"/>
      <c r="EO96" s="1"/>
      <c r="EP96" s="1"/>
    </row>
    <row r="97" spans="122:146" x14ac:dyDescent="0.35">
      <c r="DR97" s="6"/>
      <c r="DS97" s="1"/>
      <c r="DT97" s="1"/>
      <c r="DU97" s="1"/>
      <c r="DV97" s="1"/>
      <c r="DX97" s="1"/>
      <c r="DZ97" s="6"/>
      <c r="EA97" s="1"/>
      <c r="EB97" s="1"/>
      <c r="ED97" s="1"/>
      <c r="EE97" s="1"/>
      <c r="EG97" s="1"/>
      <c r="EH97" s="1"/>
      <c r="EJ97" s="6"/>
      <c r="EK97" s="1"/>
      <c r="EL97" s="1"/>
      <c r="EN97" s="6"/>
      <c r="EO97" s="1"/>
      <c r="EP97" s="1"/>
    </row>
    <row r="98" spans="122:146" x14ac:dyDescent="0.35">
      <c r="DR98" s="6"/>
      <c r="DS98" s="1"/>
      <c r="DT98" s="1"/>
      <c r="DU98" s="1"/>
      <c r="DV98" s="1"/>
      <c r="DX98" s="1"/>
      <c r="DZ98" s="6"/>
      <c r="EA98" s="1"/>
      <c r="EB98" s="1"/>
      <c r="ED98" s="1"/>
      <c r="EE98" s="1"/>
      <c r="EG98" s="1"/>
      <c r="EH98" s="1"/>
      <c r="EJ98" s="6"/>
      <c r="EK98" s="1"/>
      <c r="EL98" s="1"/>
      <c r="EN98" s="6"/>
      <c r="EO98" s="1"/>
      <c r="EP98" s="1"/>
    </row>
    <row r="99" spans="122:146" x14ac:dyDescent="0.35">
      <c r="DR99" s="6"/>
      <c r="DS99" s="1"/>
      <c r="DT99" s="1"/>
      <c r="DU99" s="1"/>
      <c r="DV99" s="1"/>
      <c r="DX99" s="1"/>
      <c r="DZ99" s="6"/>
      <c r="EA99" s="1"/>
      <c r="EB99" s="1"/>
      <c r="ED99" s="1"/>
      <c r="EE99" s="1"/>
      <c r="EG99" s="1"/>
      <c r="EH99" s="1"/>
      <c r="EJ99" s="6"/>
      <c r="EK99" s="1"/>
      <c r="EL99" s="1"/>
      <c r="EN99" s="6"/>
      <c r="EO99" s="1"/>
      <c r="EP99" s="1"/>
    </row>
    <row r="100" spans="122:146" x14ac:dyDescent="0.35">
      <c r="DR100" s="6"/>
      <c r="DS100" s="1"/>
      <c r="DT100" s="1"/>
      <c r="DU100" s="1"/>
      <c r="DV100" s="1"/>
      <c r="DX100" s="1"/>
      <c r="DZ100" s="6"/>
      <c r="EA100" s="1"/>
      <c r="EB100" s="1"/>
      <c r="ED100" s="1"/>
      <c r="EE100" s="1"/>
      <c r="EG100" s="1"/>
      <c r="EH100" s="1"/>
      <c r="EJ100" s="6"/>
      <c r="EK100" s="1"/>
      <c r="EL100" s="1"/>
      <c r="EN100" s="6"/>
      <c r="EO100" s="1"/>
      <c r="EP100" s="1"/>
    </row>
    <row r="101" spans="122:146" x14ac:dyDescent="0.35">
      <c r="DR101" s="6"/>
      <c r="DS101" s="1"/>
      <c r="DT101" s="1"/>
      <c r="DU101" s="1"/>
      <c r="DV101" s="1"/>
      <c r="DX101" s="1"/>
      <c r="DZ101" s="6"/>
      <c r="EA101" s="1"/>
      <c r="EB101" s="1"/>
      <c r="ED101" s="1"/>
      <c r="EE101" s="1"/>
      <c r="EG101" s="1"/>
      <c r="EH101" s="1"/>
      <c r="EJ101" s="6"/>
      <c r="EK101" s="1"/>
      <c r="EL101" s="1"/>
      <c r="EN101" s="6"/>
      <c r="EO101" s="1"/>
      <c r="EP101" s="1"/>
    </row>
    <row r="102" spans="122:146" x14ac:dyDescent="0.35">
      <c r="DR102" s="6"/>
      <c r="DS102" s="1"/>
      <c r="DT102" s="1"/>
      <c r="DU102" s="1"/>
      <c r="DV102" s="1"/>
      <c r="DX102" s="1"/>
      <c r="DZ102" s="6"/>
      <c r="EA102" s="1"/>
      <c r="EB102" s="1"/>
      <c r="ED102" s="1"/>
      <c r="EE102" s="1"/>
      <c r="EG102" s="1"/>
      <c r="EH102" s="1"/>
      <c r="EJ102" s="6"/>
      <c r="EK102" s="1"/>
      <c r="EL102" s="1"/>
      <c r="EN102" s="6"/>
      <c r="EO102" s="1"/>
      <c r="EP102" s="1"/>
    </row>
    <row r="103" spans="122:146" x14ac:dyDescent="0.35">
      <c r="DR103" s="6"/>
      <c r="DS103" s="1"/>
      <c r="DT103" s="1"/>
      <c r="DU103" s="1"/>
      <c r="DV103" s="1"/>
      <c r="DX103" s="1"/>
      <c r="DZ103" s="6"/>
      <c r="EA103" s="1"/>
      <c r="EB103" s="1"/>
      <c r="ED103" s="1"/>
      <c r="EE103" s="1"/>
      <c r="EG103" s="1"/>
      <c r="EJ103" s="6"/>
      <c r="EK103" s="1"/>
      <c r="EL103" s="1"/>
      <c r="EN103" s="6"/>
      <c r="EO103" s="1"/>
      <c r="EP103" s="1"/>
    </row>
    <row r="104" spans="122:146" x14ac:dyDescent="0.35">
      <c r="DR104" s="6"/>
      <c r="DS104" s="1"/>
      <c r="DT104" s="1"/>
      <c r="DU104" s="1"/>
      <c r="DV104" s="1"/>
      <c r="DX104" s="1"/>
    </row>
  </sheetData>
  <phoneticPr fontId="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CHARTS&gt;&gt;</vt:lpstr>
      <vt:lpstr>DATA&gt;&gt;</vt:lpstr>
      <vt:lpstr>Chart Data</vt:lpstr>
      <vt:lpstr>Chart - US goods tariffs</vt:lpstr>
      <vt:lpstr>Chart - US goods tariffs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2025-01-02T08:44:20Z</dcterms:created>
  <dcterms:modified xsi:type="dcterms:W3CDTF">2025-04-11T11:29:51Z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2025-01-02T08:44:55Z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039b5b5a-9900-4aaa-aa3d-dde2ef8ca14b</vt:lpwstr>
  </property>
  <property fmtid="{D5CDD505-2E9C-101B-9397-08002B2CF9AE}" pid="8" name="MSIP_Label_3b83b38b-8e91-4f17-8371-95d3d41e26c0_ContentBits">
    <vt:lpwstr>0</vt:lpwstr>
  </property>
</Properties>
</file>