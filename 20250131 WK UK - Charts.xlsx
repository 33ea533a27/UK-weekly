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1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1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FB4D0C57-F79C-480E-A703-0365562C912C}" xr6:coauthVersionLast="47" xr6:coauthVersionMax="47" xr10:uidLastSave="{00000000-0000-0000-0000-000000000000}"/>
  <bookViews>
    <workbookView xWindow="-120" yWindow="-120" windowWidth="29040" windowHeight="15840" firstSheet="7" activeTab="10" xr2:uid="{110BB2D4-AC6F-456A-940E-ADCF5B898F67}"/>
  </bookViews>
  <sheets>
    <sheet name="Chart - POP" sheetId="8" r:id="rId1"/>
    <sheet name="Chart - Migration" sheetId="9" r:id="rId2"/>
    <sheet name="Chart - Natural change" sheetId="10" r:id="rId3"/>
    <sheet name="Chart - ONS population" sheetId="14" r:id="rId4"/>
    <sheet name="Chart - ONS migration" sheetId="15" r:id="rId5"/>
    <sheet name="Chart - ONS natural change" sheetId="16" r:id="rId6"/>
    <sheet name="Chart - ONS mig &amp; nat cha" sheetId="18" r:id="rId7"/>
    <sheet name="Chart - ONS births" sheetId="17" r:id="rId8"/>
    <sheet name="Chart Data" sheetId="13" r:id="rId9"/>
    <sheet name="Chart - Population OE &amp; ONS" sheetId="24" r:id="rId10"/>
    <sheet name="Chart - POPW OE &amp; ONS" sheetId="25" r:id="rId11"/>
    <sheet name="Calculations" sheetId="3" r:id="rId12"/>
    <sheet name="Migration variants" sheetId="2" r:id="rId13"/>
    <sheet name="2022-based principal" sheetId="1" r:id="rId14"/>
    <sheet name="2022-based low" sheetId="4" r:id="rId15"/>
    <sheet name="2021-based principal" sheetId="11" r:id="rId16"/>
    <sheet name="2020-based principal" sheetId="12" r:id="rId17"/>
  </sheets>
  <externalReferences>
    <externalReference r:id="rId18"/>
  </externalReferences>
  <definedNames>
    <definedName name="Astartpg" localSheetId="16">#REF!</definedName>
    <definedName name="Astartpg">#REF!</definedName>
    <definedName name="Row_A" localSheetId="16">#REF!</definedName>
    <definedName name="Row_A">#REF!</definedName>
    <definedName name="Row_B" localSheetId="16">#REF!</definedName>
    <definedName name="Row_B">#REF!</definedName>
    <definedName name="Row_C" localSheetId="16">#REF!</definedName>
    <definedName name="Row_C">#REF!</definedName>
    <definedName name="Row_D" localSheetId="16">#REF!</definedName>
    <definedName name="Row_D">#REF!</definedName>
    <definedName name="Row_E" localSheetId="16">#REF!</definedName>
    <definedName name="Row_E">#REF!</definedName>
    <definedName name="Row_F" localSheetId="16">#REF!</definedName>
    <definedName name="Row_F">#REF!</definedName>
    <definedName name="Row_G" localSheetId="16">#REF!</definedName>
    <definedName name="Row_G">#REF!</definedName>
    <definedName name="toolong" localSheetId="16">#REF!</definedName>
    <definedName name="toolo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3" l="1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3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5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3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" i="3"/>
  <c r="AC3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" i="3"/>
  <c r="AB3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3" i="3"/>
  <c r="AA5" i="3"/>
  <c r="M4" i="13" l="1"/>
  <c r="M3" i="13"/>
  <c r="Q5" i="13" l="1" a="1"/>
  <c r="Q5" i="13" s="1"/>
  <c r="R6" i="13" a="1"/>
  <c r="R6" i="13" s="1"/>
  <c r="S6" i="13" a="1"/>
  <c r="S6" i="13" s="1"/>
  <c r="N6" i="13" a="1"/>
  <c r="N6" i="13" s="1"/>
  <c r="M6" i="13" a="1"/>
  <c r="M6" i="13" s="1"/>
  <c r="L5" i="13" a="1"/>
  <c r="L5" i="13" s="1"/>
  <c r="G5" i="13" a="1"/>
  <c r="G5" i="13" s="1"/>
  <c r="H6" i="13" a="1"/>
  <c r="H6" i="13" s="1"/>
  <c r="I6" i="13" a="1"/>
  <c r="I6" i="13" s="1"/>
  <c r="B4" i="13" a="1"/>
  <c r="B4" i="13" s="1"/>
  <c r="C6" i="13" a="1"/>
  <c r="C6" i="13" s="1"/>
  <c r="D5" i="13" a="1"/>
  <c r="D5" i="13" s="1"/>
  <c r="L7" i="3" l="1"/>
  <c r="L8" i="3"/>
  <c r="L9" i="3"/>
  <c r="L10" i="3"/>
  <c r="L11" i="3"/>
  <c r="L12" i="3"/>
  <c r="L13" i="3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6" i="3"/>
  <c r="T2" i="3"/>
  <c r="L2" i="3"/>
  <c r="S2" i="3"/>
  <c r="U2" i="3"/>
  <c r="V2" i="3"/>
  <c r="W2" i="3"/>
  <c r="R2" i="3"/>
  <c r="K2" i="3"/>
  <c r="M2" i="3"/>
  <c r="N2" i="3"/>
  <c r="O2" i="3"/>
  <c r="J2" i="3"/>
  <c r="U6" i="3" a="1"/>
  <c r="U6" i="3" s="1"/>
  <c r="S6" i="3" a="1"/>
  <c r="S6" i="3" s="1"/>
  <c r="V6" i="3" s="1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8" i="3"/>
  <c r="M6" i="3" a="1"/>
  <c r="M6" i="3" s="1"/>
  <c r="K6" i="3" a="1"/>
  <c r="K6" i="3" s="1"/>
  <c r="N6" i="3" s="1"/>
  <c r="E5" i="3" a="1"/>
  <c r="E5" i="3" s="1"/>
  <c r="F5" i="3" s="1"/>
  <c r="G5" i="3" s="1"/>
  <c r="C5" i="3" a="1"/>
  <c r="C5" i="3" s="1"/>
  <c r="D5" i="3" s="1"/>
  <c r="T25" i="3" l="1"/>
  <c r="T38" i="3"/>
  <c r="T30" i="3"/>
  <c r="T22" i="3"/>
  <c r="T14" i="3"/>
  <c r="T37" i="3"/>
  <c r="T29" i="3"/>
  <c r="T21" i="3"/>
  <c r="T13" i="3"/>
  <c r="T6" i="3"/>
  <c r="D6" i="3" s="1"/>
  <c r="T36" i="3"/>
  <c r="T28" i="3"/>
  <c r="T20" i="3"/>
  <c r="T12" i="3"/>
  <c r="T43" i="3"/>
  <c r="T35" i="3"/>
  <c r="T27" i="3"/>
  <c r="T19" i="3"/>
  <c r="T11" i="3"/>
  <c r="T42" i="3"/>
  <c r="T34" i="3"/>
  <c r="T26" i="3"/>
  <c r="T18" i="3"/>
  <c r="T10" i="3"/>
  <c r="T41" i="3"/>
  <c r="T17" i="3"/>
  <c r="T40" i="3"/>
  <c r="T32" i="3"/>
  <c r="T24" i="3"/>
  <c r="T16" i="3"/>
  <c r="T8" i="3"/>
  <c r="T33" i="3"/>
  <c r="T9" i="3"/>
  <c r="T39" i="3"/>
  <c r="T31" i="3"/>
  <c r="T23" i="3"/>
  <c r="T15" i="3"/>
  <c r="T7" i="3"/>
  <c r="O9" i="3"/>
  <c r="O36" i="3"/>
  <c r="O28" i="3"/>
  <c r="O20" i="3"/>
  <c r="O12" i="3"/>
  <c r="W39" i="3"/>
  <c r="W31" i="3"/>
  <c r="W23" i="3"/>
  <c r="W15" i="3"/>
  <c r="W7" i="3"/>
  <c r="O43" i="3"/>
  <c r="O35" i="3"/>
  <c r="O27" i="3"/>
  <c r="O19" i="3"/>
  <c r="O11" i="3"/>
  <c r="W38" i="3"/>
  <c r="W30" i="3"/>
  <c r="W22" i="3"/>
  <c r="W14" i="3"/>
  <c r="O42" i="3"/>
  <c r="O34" i="3"/>
  <c r="O26" i="3"/>
  <c r="O18" i="3"/>
  <c r="O10" i="3"/>
  <c r="W37" i="3"/>
  <c r="W29" i="3"/>
  <c r="W21" i="3"/>
  <c r="W13" i="3"/>
  <c r="O41" i="3"/>
  <c r="O33" i="3"/>
  <c r="O25" i="3"/>
  <c r="O17" i="3"/>
  <c r="W6" i="3"/>
  <c r="W36" i="3"/>
  <c r="W28" i="3"/>
  <c r="W20" i="3"/>
  <c r="W12" i="3"/>
  <c r="V7" i="3"/>
  <c r="O40" i="3"/>
  <c r="O32" i="3"/>
  <c r="O24" i="3"/>
  <c r="O16" i="3"/>
  <c r="W43" i="3"/>
  <c r="W35" i="3"/>
  <c r="W27" i="3"/>
  <c r="W19" i="3"/>
  <c r="W11" i="3"/>
  <c r="O6" i="3"/>
  <c r="O39" i="3"/>
  <c r="O31" i="3"/>
  <c r="O23" i="3"/>
  <c r="O15" i="3"/>
  <c r="W42" i="3"/>
  <c r="W34" i="3"/>
  <c r="W26" i="3"/>
  <c r="W18" i="3"/>
  <c r="W10" i="3"/>
  <c r="O7" i="3"/>
  <c r="O38" i="3"/>
  <c r="O30" i="3"/>
  <c r="O22" i="3"/>
  <c r="O14" i="3"/>
  <c r="W41" i="3"/>
  <c r="W33" i="3"/>
  <c r="W25" i="3"/>
  <c r="W17" i="3"/>
  <c r="W9" i="3"/>
  <c r="O8" i="3"/>
  <c r="O37" i="3"/>
  <c r="O29" i="3"/>
  <c r="O21" i="3"/>
  <c r="O13" i="3"/>
  <c r="W40" i="3"/>
  <c r="W32" i="3"/>
  <c r="W24" i="3"/>
  <c r="W16" i="3"/>
  <c r="W8" i="3"/>
  <c r="V39" i="3"/>
  <c r="V31" i="3"/>
  <c r="V23" i="3"/>
  <c r="V15" i="3"/>
  <c r="V21" i="3"/>
  <c r="V13" i="3"/>
  <c r="V37" i="3"/>
  <c r="V29" i="3"/>
  <c r="V36" i="3"/>
  <c r="V28" i="3"/>
  <c r="V20" i="3"/>
  <c r="V12" i="3"/>
  <c r="N7" i="3"/>
  <c r="V43" i="3"/>
  <c r="V35" i="3"/>
  <c r="V27" i="3"/>
  <c r="V19" i="3"/>
  <c r="V11" i="3"/>
  <c r="V42" i="3"/>
  <c r="V34" i="3"/>
  <c r="V26" i="3"/>
  <c r="V18" i="3"/>
  <c r="V10" i="3"/>
  <c r="V38" i="3"/>
  <c r="V14" i="3"/>
  <c r="V41" i="3"/>
  <c r="V33" i="3"/>
  <c r="V25" i="3"/>
  <c r="V17" i="3"/>
  <c r="V9" i="3"/>
  <c r="V30" i="3"/>
  <c r="V22" i="3"/>
  <c r="V40" i="3"/>
  <c r="V32" i="3"/>
  <c r="V24" i="3"/>
  <c r="V16" i="3"/>
  <c r="V8" i="3"/>
  <c r="F6" i="3"/>
  <c r="D7" i="3" l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<sst xmlns="http://schemas.openxmlformats.org/spreadsheetml/2006/main" count="5197" uniqueCount="333">
  <si>
    <t xml:space="preserve">Persons, thousands - population by broad age group, components of change and summary statistics [note 1] </t>
  </si>
  <si>
    <t>United Kingdom (UK)</t>
  </si>
  <si>
    <t>Principal projection</t>
  </si>
  <si>
    <t>This worksheet contains three tables presented vertically with one blank row between each table. Some cells refer to notes which can be found on the notes worksheet.</t>
  </si>
  <si>
    <t>Shorthand is used, z = not applicable</t>
  </si>
  <si>
    <t>Table 1: Projected population, components of change (to mid-year ending), Total Fertility Rate (TFR) and Expectation Of Life At Birth (EOLB) based on the mortality rates for the year</t>
  </si>
  <si>
    <t>Components</t>
  </si>
  <si>
    <t>2022 [note 2]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</si>
  <si>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</si>
  <si>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</si>
  <si>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</si>
  <si>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</si>
  <si>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</si>
  <si>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</si>
  <si>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</si>
  <si>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</si>
  <si>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</si>
  <si>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</si>
  <si>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</si>
  <si>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</si>
  <si>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</si>
  <si>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</si>
  <si>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</si>
  <si>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</si>
  <si>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</si>
  <si>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</si>
  <si>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</si>
  <si>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</si>
  <si>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</si>
  <si>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</si>
  <si>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</si>
  <si>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</si>
  <si>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</si>
  <si>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</si>
  <si>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</si>
  <si>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</si>
  <si>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</si>
  <si>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</si>
  <si>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</si>
  <si>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</si>
  <si>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</si>
  <si>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</si>
  <si>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</si>
  <si>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</si>
  <si>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</si>
  <si>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</si>
  <si>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</si>
  <si>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</si>
  <si>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</si>
  <si>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</si>
  <si>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</si>
  <si>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</si>
  <si>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</si>
  <si>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</si>
  <si>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</si>
  <si>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</si>
  <si>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</si>
  <si>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</si>
  <si>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</si>
  <si>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</si>
  <si>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</si>
  <si>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</si>
  <si>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</si>
  <si>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</si>
  <si>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</si>
  <si>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</si>
  <si>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</si>
  <si>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</si>
  <si>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</si>
  <si>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</si>
  <si>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</si>
  <si>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</si>
  <si>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</si>
  <si>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</si>
  <si>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</si>
  <si>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</si>
  <si>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</si>
  <si>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</si>
  <si>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</si>
  <si>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</si>
  <si>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</si>
  <si>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</si>
  <si>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</si>
  <si>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</si>
  <si>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</si>
  <si>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</si>
  <si>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</si>
  <si>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</si>
  <si>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</si>
  <si>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</si>
  <si>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</si>
  <si>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</si>
  <si>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</si>
  <si>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</si>
  <si>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</si>
  <si>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</si>
  <si>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</si>
  <si>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</si>
  <si>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</si>
  <si>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</si>
  <si>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</si>
  <si>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</si>
  <si>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</si>
  <si>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</si>
  <si>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</si>
  <si>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</si>
  <si>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</si>
  <si>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</si>
  <si>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Population at start</t>
  </si>
  <si>
    <t>[z]</t>
  </si>
  <si>
    <t>Births</t>
  </si>
  <si>
    <t>Deaths</t>
  </si>
  <si>
    <t>Natural Change</t>
  </si>
  <si>
    <t>International migration inflows</t>
  </si>
  <si>
    <t>Cross border migration inflows [note 3]</t>
  </si>
  <si>
    <t>International migration outflows</t>
  </si>
  <si>
    <t>Cross border migration outflows [note 3]</t>
  </si>
  <si>
    <t>Net international migration</t>
  </si>
  <si>
    <t>Net cross border migration [note 3]</t>
  </si>
  <si>
    <t>Net migration</t>
  </si>
  <si>
    <t>Total change</t>
  </si>
  <si>
    <t>Population at end</t>
  </si>
  <si>
    <t>Annual growth value</t>
  </si>
  <si>
    <t>Total Fertility Rate (TFR)</t>
  </si>
  <si>
    <t>EOLB males</t>
  </si>
  <si>
    <t>EOLB females</t>
  </si>
  <si>
    <t>Table 2: Projected populations at mid-years by age last birthday</t>
  </si>
  <si>
    <t>Ages</t>
  </si>
  <si>
    <t>2022</t>
  </si>
  <si>
    <t>Ages 0 to 14</t>
  </si>
  <si>
    <t>Ages 15 to 29</t>
  </si>
  <si>
    <t>Ages 30 to 44</t>
  </si>
  <si>
    <t>Ages 45 to 59</t>
  </si>
  <si>
    <t>Ages 60 to 74</t>
  </si>
  <si>
    <t>Ages 75 and over</t>
  </si>
  <si>
    <t>All ages</t>
  </si>
  <si>
    <t>Mean age</t>
  </si>
  <si>
    <t>Median age</t>
  </si>
  <si>
    <t>Table 3: Children, working age population, pensionable age population and dependency ratios [note 4]</t>
  </si>
  <si>
    <t>Age groups</t>
  </si>
  <si>
    <t>Children</t>
  </si>
  <si>
    <t>Working age</t>
  </si>
  <si>
    <t>Pension age</t>
  </si>
  <si>
    <t>16 to 64 [note 5]</t>
  </si>
  <si>
    <t>65 and over [note 5]</t>
  </si>
  <si>
    <t>Children per 1,000 persons of working age</t>
  </si>
  <si>
    <t>Pension age per 1,000 persons of working age</t>
  </si>
  <si>
    <t>Total children and pension age per 1,000 persons of working age</t>
  </si>
  <si>
    <t>Figure 2: The variant international migration assumptions provide a range of alternative migration scenarios</t>
  </si>
  <si>
    <t/>
  </si>
  <si>
    <t>Net international migration estimates, principal and variant migration assumptions, UK, year ending (YE) mid-2014 to YE mid-2030</t>
  </si>
  <si>
    <t>Notes</t>
  </si>
  <si>
    <t>1.	Long-term assumptions are rounded to the nearest 5,000 (UK) and 500 (UK countries).
2.	Our international migration statistics are [official statistics in development](https://osr.statisticsauthority.gov.uk/policies/official-statistics-policies/official-statistics-in-development/). This means estimates may be updated as improvements are introduced.</t>
  </si>
  <si>
    <t>Unit</t>
  </si>
  <si>
    <t>Persons, thousands</t>
  </si>
  <si>
    <t xml:space="preserve">Year ending mid- </t>
  </si>
  <si>
    <t>Estimated Net Migration</t>
  </si>
  <si>
    <t>Principal Projection: Projected Net Migration</t>
  </si>
  <si>
    <t>High Variant Projection: Projected Net Migration</t>
  </si>
  <si>
    <t>Low Variant Projection: Projected Net Migration</t>
  </si>
  <si>
    <t>Migration Category Variant Projection: Projected Net Migration</t>
  </si>
  <si>
    <t>Zero net migration Variant Projection: Projected Net Migration</t>
  </si>
  <si>
    <t>2014</t>
  </si>
  <si>
    <t>248.1</t>
  </si>
  <si>
    <t>2015</t>
  </si>
  <si>
    <t>2016</t>
  </si>
  <si>
    <t>2017</t>
  </si>
  <si>
    <t>2018</t>
  </si>
  <si>
    <t>2019</t>
  </si>
  <si>
    <t>2020</t>
  </si>
  <si>
    <t>2021</t>
  </si>
  <si>
    <t>Population</t>
  </si>
  <si>
    <t>OE current</t>
  </si>
  <si>
    <t>ONS 2022-based principal</t>
  </si>
  <si>
    <t>ONS 2022-based low migration</t>
  </si>
  <si>
    <t>Low migration</t>
  </si>
  <si>
    <t>OE old low variant + new natural change</t>
  </si>
  <si>
    <t>Migration</t>
  </si>
  <si>
    <t>Natural change</t>
  </si>
  <si>
    <t>OE 80% of new migration + new natural change</t>
  </si>
  <si>
    <t>ONS 2022-based migration category variant</t>
  </si>
  <si>
    <t>Population projections by the Office for National Statistics</t>
  </si>
  <si>
    <t>2021-based</t>
  </si>
  <si>
    <t xml:space="preserve">PERSONS, thousands </t>
  </si>
  <si>
    <t>Components of change (mid-year to mid-year), total fertility rate</t>
  </si>
  <si>
    <t>and expectation of life at birth (EOLB) based on the mortality rates for the year</t>
  </si>
  <si>
    <t>-2022</t>
  </si>
  <si>
    <t>-2023</t>
  </si>
  <si>
    <t>-2024</t>
  </si>
  <si>
    <t>-2025</t>
  </si>
  <si>
    <t>-2026</t>
  </si>
  <si>
    <t>-2027</t>
  </si>
  <si>
    <t>-2028</t>
  </si>
  <si>
    <t>-2029</t>
  </si>
  <si>
    <t>-2030</t>
  </si>
  <si>
    <t>-2031</t>
  </si>
  <si>
    <t>-2032</t>
  </si>
  <si>
    <t>-2033</t>
  </si>
  <si>
    <t>-2034</t>
  </si>
  <si>
    <t>-2035</t>
  </si>
  <si>
    <t>-2036</t>
  </si>
  <si>
    <t>-2037</t>
  </si>
  <si>
    <t>-2038</t>
  </si>
  <si>
    <t>-2039</t>
  </si>
  <si>
    <t>-2040</t>
  </si>
  <si>
    <t>-2041</t>
  </si>
  <si>
    <t>-2042</t>
  </si>
  <si>
    <t>-2043</t>
  </si>
  <si>
    <t>-2044</t>
  </si>
  <si>
    <t>-2045</t>
  </si>
  <si>
    <t>-2046</t>
  </si>
  <si>
    <t>-2047</t>
  </si>
  <si>
    <t>-2048</t>
  </si>
  <si>
    <t>-2049</t>
  </si>
  <si>
    <t>-2050</t>
  </si>
  <si>
    <t>-2051</t>
  </si>
  <si>
    <t>-2052</t>
  </si>
  <si>
    <t>-2053</t>
  </si>
  <si>
    <t>-2054</t>
  </si>
  <si>
    <t>-2055</t>
  </si>
  <si>
    <t>-2056</t>
  </si>
  <si>
    <t>-2057</t>
  </si>
  <si>
    <t>-2058</t>
  </si>
  <si>
    <t>-2059</t>
  </si>
  <si>
    <t>-2060</t>
  </si>
  <si>
    <t>-2061</t>
  </si>
  <si>
    <t>-2062</t>
  </si>
  <si>
    <t>-2063</t>
  </si>
  <si>
    <t>-2064</t>
  </si>
  <si>
    <t>-2065</t>
  </si>
  <si>
    <t>-2066</t>
  </si>
  <si>
    <t>-2067</t>
  </si>
  <si>
    <t>-2068</t>
  </si>
  <si>
    <t>-2069</t>
  </si>
  <si>
    <t>-2070</t>
  </si>
  <si>
    <t>-2071</t>
  </si>
  <si>
    <t>-2072</t>
  </si>
  <si>
    <t>-2073</t>
  </si>
  <si>
    <t>-2074</t>
  </si>
  <si>
    <t>-2075</t>
  </si>
  <si>
    <t>-2076</t>
  </si>
  <si>
    <t>-2077</t>
  </si>
  <si>
    <t>-2078</t>
  </si>
  <si>
    <t>-2079</t>
  </si>
  <si>
    <t>-2080</t>
  </si>
  <si>
    <t>-2081</t>
  </si>
  <si>
    <t>-2082</t>
  </si>
  <si>
    <t>-2083</t>
  </si>
  <si>
    <t>-2084</t>
  </si>
  <si>
    <t>-2085</t>
  </si>
  <si>
    <t>-2086</t>
  </si>
  <si>
    <t>-2087</t>
  </si>
  <si>
    <t>-2088</t>
  </si>
  <si>
    <t>-2089</t>
  </si>
  <si>
    <t>-2090</t>
  </si>
  <si>
    <t>-2091</t>
  </si>
  <si>
    <t>-2092</t>
  </si>
  <si>
    <t>-2093</t>
  </si>
  <si>
    <t>-2094</t>
  </si>
  <si>
    <t>-2095</t>
  </si>
  <si>
    <t>-2096</t>
  </si>
  <si>
    <t>-2097</t>
  </si>
  <si>
    <t>-2098</t>
  </si>
  <si>
    <t>-2099</t>
  </si>
  <si>
    <t>-2100</t>
  </si>
  <si>
    <t>-2101</t>
  </si>
  <si>
    <t>-2102</t>
  </si>
  <si>
    <t>-2103</t>
  </si>
  <si>
    <t>-2104</t>
  </si>
  <si>
    <t>-2105</t>
  </si>
  <si>
    <t>-2106</t>
  </si>
  <si>
    <t>-2107</t>
  </si>
  <si>
    <t>-2108</t>
  </si>
  <si>
    <t>-2109</t>
  </si>
  <si>
    <t>-2110</t>
  </si>
  <si>
    <t>-2111</t>
  </si>
  <si>
    <t>-2112</t>
  </si>
  <si>
    <t>-2113</t>
  </si>
  <si>
    <t>-2114</t>
  </si>
  <si>
    <t>-2115</t>
  </si>
  <si>
    <t>-2116</t>
  </si>
  <si>
    <t>-2117</t>
  </si>
  <si>
    <t>-2118</t>
  </si>
  <si>
    <t>-2119</t>
  </si>
  <si>
    <t>-2120</t>
  </si>
  <si>
    <t>-2121</t>
  </si>
  <si>
    <t>————</t>
  </si>
  <si>
    <t xml:space="preserve">  Births</t>
  </si>
  <si>
    <t xml:space="preserve">  Deaths</t>
  </si>
  <si>
    <t xml:space="preserve">  Natural change</t>
  </si>
  <si>
    <t xml:space="preserve">  International migration inflows</t>
  </si>
  <si>
    <t xml:space="preserve">  Cross border migration inflows</t>
  </si>
  <si>
    <t>-</t>
  </si>
  <si>
    <t xml:space="preserve">  International migration outflows</t>
  </si>
  <si>
    <t xml:space="preserve">  Cross border migration outflows</t>
  </si>
  <si>
    <t xml:space="preserve">  Net international migration</t>
  </si>
  <si>
    <t xml:space="preserve">  Net cross border migration</t>
  </si>
  <si>
    <t xml:space="preserve">  Net migration</t>
  </si>
  <si>
    <t xml:space="preserve">  Total change</t>
  </si>
  <si>
    <t>Annual growth rate</t>
  </si>
  <si>
    <t>Total fertility rate (TFR)</t>
  </si>
  <si>
    <t>EOLB  Males</t>
  </si>
  <si>
    <t xml:space="preserve">           Females</t>
  </si>
  <si>
    <t>Projected populations at mid-years by age last birthday</t>
  </si>
  <si>
    <t>Thousands</t>
  </si>
  <si>
    <t>0-14</t>
  </si>
  <si>
    <t>15-29</t>
  </si>
  <si>
    <t>30-44</t>
  </si>
  <si>
    <t>45-59</t>
  </si>
  <si>
    <t>60-74</t>
  </si>
  <si>
    <t>75 &amp; over</t>
  </si>
  <si>
    <t>Percentages</t>
  </si>
  <si>
    <t>Children, working age population, pensionable age population* and dependency ratios</t>
  </si>
  <si>
    <t>16-64**</t>
  </si>
  <si>
    <t>65 &amp; over**</t>
  </si>
  <si>
    <t>Dependants per 1,000 persons of working age</t>
  </si>
  <si>
    <t>Total</t>
  </si>
  <si>
    <t>Note: Figures may not add exactly due to rounding.</t>
  </si>
  <si>
    <t>United Kingdom</t>
  </si>
  <si>
    <t>2020-based</t>
  </si>
  <si>
    <t>-2021</t>
  </si>
  <si>
    <t>Children, working age population, pensionable age population [note 1] and dependency ratios</t>
  </si>
  <si>
    <t>16-64 [note 2]</t>
  </si>
  <si>
    <t>65 &amp; over [note 2]</t>
  </si>
  <si>
    <t>Total population</t>
  </si>
  <si>
    <t>2020-based (published Jan 2022)</t>
  </si>
  <si>
    <t>2021-based (published Jan 2024)</t>
  </si>
  <si>
    <t>2022-based (published Jan 2025)</t>
  </si>
  <si>
    <t>Working age population</t>
  </si>
  <si>
    <t>OE (new)</t>
  </si>
  <si>
    <t>ONS (new)</t>
  </si>
  <si>
    <t>OE (old)</t>
  </si>
  <si>
    <t>ONS (old)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</si>
</sst>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_)"/>
    <numFmt numFmtId="165" formatCode="0.0"/>
    <numFmt numFmtId="166" formatCode="_-* #,##0_-;\-* #,##0_-;_-* &quot;-&quot;??_-;_-@_-"/>
    <numFmt numFmtId="167" formatCode="0.0%"/>
    <numFmt numFmtId="168" formatCode=";;;"/>
    <numFmt numFmtId="169" formatCode="#,##0_);\-#,##0_)"/>
    <numFmt numFmtId="170" formatCode="0.00_)"/>
    <numFmt numFmtId="171" formatCode="0.0_)"/>
    <numFmt numFmtId="172" formatCode="#,##0_);\(#,##0\)"/>
  </numFmts>
  <fonts count="16" x14ac:knownFonts="1"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6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color theme="3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name val="MS Sans Serif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i/>
      <sz val="11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6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43" fontId="3" fillId="0" borderId="0"/>
    <xf numFmtId="9" fontId="3" fillId="0" borderId="0"/>
    <xf numFmtId="0" fontId="1" fillId="0" borderId="1"/>
    <xf numFmtId="0" fontId="6" fillId="0" borderId="0"/>
    <xf numFmtId="164" fontId="9" fillId="0" borderId="0"/>
    <xf numFmtId="0" fontId="12" fillId="0" borderId="0"/>
    <xf numFmtId="164" fontId="9" fillId="0" borderId="0"/>
    <xf numFmtId="164" fontId="9" fillId="0" borderId="0"/>
  </cellStyleXfs>
  <cellXfs count="89">
    <xf numFmtId="0" fontId="0" fillId="0" borderId="0" xfId="0"/>
    <xf numFmtId="0" fontId="2" fillId="0" borderId="0" xfId="3" applyFont="1" applyBorder="1" applyAlignment="1">
      <alignment horizontal="left"/>
    </xf>
    <xf numFmtId="0" fontId="4" fillId="0" borderId="0" xfId="0" applyFont="1"/>
    <xf numFmtId="0" fontId="5" fillId="0" borderId="0" xfId="3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4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0" fontId="4" fillId="2" borderId="0" xfId="0" applyFont="1" applyFill="1" applyAlignment="1">
      <alignment horizontal="left" vertical="top" wrapText="1"/>
    </xf>
    <xf numFmtId="3" fontId="4" fillId="0" borderId="0" xfId="5" applyNumberFormat="1" applyFont="1" applyAlignment="1" applyProtection="1">
      <alignment horizontal="right"/>
      <protection locked="0"/>
    </xf>
    <xf numFmtId="3" fontId="4" fillId="0" borderId="0" xfId="1" applyNumberFormat="1" applyFont="1" applyAlignment="1" applyProtection="1">
      <alignment horizontal="right"/>
      <protection locked="0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horizontal="left" vertical="top" wrapText="1"/>
    </xf>
    <xf numFmtId="10" fontId="4" fillId="0" borderId="0" xfId="2" applyNumberFormat="1" applyFont="1" applyAlignment="1" applyProtection="1">
      <alignment horizontal="right"/>
      <protection locked="0"/>
    </xf>
    <xf numFmtId="2" fontId="4" fillId="0" borderId="0" xfId="5" applyNumberFormat="1" applyFont="1" applyAlignment="1" applyProtection="1">
      <alignment horizontal="right"/>
      <protection locked="0"/>
    </xf>
    <xf numFmtId="165" fontId="4" fillId="0" borderId="0" xfId="5" applyNumberFormat="1" applyFont="1" applyAlignment="1" applyProtection="1">
      <alignment horizontal="right"/>
      <protection locked="0"/>
    </xf>
    <xf numFmtId="0" fontId="4" fillId="2" borderId="2" xfId="0" applyFont="1" applyFill="1" applyBorder="1" applyAlignment="1">
      <alignment horizontal="left" vertical="top" wrapText="1"/>
    </xf>
    <xf numFmtId="0" fontId="10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66" fontId="4" fillId="0" borderId="0" xfId="1" applyNumberFormat="1" applyFont="1"/>
    <xf numFmtId="0" fontId="11" fillId="0" borderId="0" xfId="0" applyFont="1"/>
    <xf numFmtId="167" fontId="4" fillId="0" borderId="0" xfId="2" applyNumberFormat="1" applyFont="1"/>
    <xf numFmtId="165" fontId="4" fillId="0" borderId="0" xfId="0" applyNumberFormat="1" applyFont="1"/>
    <xf numFmtId="0" fontId="10" fillId="0" borderId="0" xfId="0" applyFont="1" applyAlignment="1">
      <alignment horizontal="right"/>
    </xf>
    <xf numFmtId="166" fontId="4" fillId="0" borderId="0" xfId="1" applyNumberFormat="1" applyFont="1" applyAlignment="1" applyProtection="1">
      <alignment horizontal="right"/>
      <protection locked="0"/>
    </xf>
    <xf numFmtId="1" fontId="4" fillId="0" borderId="0" xfId="0" applyNumberFormat="1" applyFont="1"/>
    <xf numFmtId="0" fontId="4" fillId="0" borderId="0" xfId="0" applyFont="1" applyAlignment="1">
      <alignment wrapText="1"/>
    </xf>
    <xf numFmtId="0" fontId="12" fillId="0" borderId="0" xfId="6"/>
    <xf numFmtId="165" fontId="12" fillId="0" borderId="0" xfId="6" applyNumberFormat="1"/>
    <xf numFmtId="1" fontId="0" fillId="0" borderId="0" xfId="0" applyNumberFormat="1"/>
    <xf numFmtId="0" fontId="13" fillId="0" borderId="0" xfId="0" applyFont="1"/>
    <xf numFmtId="164" fontId="8" fillId="0" borderId="0" xfId="5" applyFont="1" applyAlignment="1" applyProtection="1">
      <alignment horizontal="left"/>
      <protection locked="0"/>
    </xf>
    <xf numFmtId="164" fontId="4" fillId="0" borderId="0" xfId="5" applyFont="1" applyProtection="1">
      <protection locked="0"/>
    </xf>
    <xf numFmtId="1" fontId="4" fillId="0" borderId="0" xfId="5" applyNumberFormat="1" applyFont="1" applyAlignment="1" applyProtection="1">
      <alignment horizontal="right"/>
      <protection locked="0"/>
    </xf>
    <xf numFmtId="164" fontId="8" fillId="0" borderId="0" xfId="7" applyFont="1" applyAlignment="1" applyProtection="1">
      <alignment horizontal="left"/>
      <protection locked="0"/>
    </xf>
    <xf numFmtId="164" fontId="8" fillId="0" borderId="0" xfId="5" applyFont="1" applyProtection="1">
      <protection locked="0"/>
    </xf>
    <xf numFmtId="168" fontId="8" fillId="0" borderId="0" xfId="5" quotePrefix="1" applyNumberFormat="1" applyFont="1" applyAlignment="1" applyProtection="1">
      <alignment horizontal="left"/>
      <protection locked="0"/>
    </xf>
    <xf numFmtId="164" fontId="8" fillId="0" borderId="0" xfId="5" applyFont="1" applyAlignment="1" applyProtection="1">
      <alignment horizontal="right"/>
      <protection locked="0"/>
    </xf>
    <xf numFmtId="168" fontId="8" fillId="0" borderId="0" xfId="5" applyNumberFormat="1" applyFont="1" applyProtection="1">
      <protection locked="0"/>
    </xf>
    <xf numFmtId="1" fontId="8" fillId="0" borderId="0" xfId="5" applyNumberFormat="1" applyFont="1" applyAlignment="1" applyProtection="1">
      <alignment horizontal="right"/>
      <protection locked="0"/>
    </xf>
    <xf numFmtId="164" fontId="8" fillId="0" borderId="0" xfId="8" applyFont="1" applyAlignment="1" applyProtection="1">
      <alignment horizontal="right"/>
      <protection locked="0"/>
    </xf>
    <xf numFmtId="164" fontId="8" fillId="0" borderId="0" xfId="5" applyFont="1" applyAlignment="1" applyProtection="1">
      <alignment horizontal="centerContinuous"/>
      <protection locked="0"/>
    </xf>
    <xf numFmtId="164" fontId="4" fillId="0" borderId="0" xfId="5" applyFont="1" applyAlignment="1" applyProtection="1">
      <alignment horizontal="centerContinuous"/>
      <protection locked="0"/>
    </xf>
    <xf numFmtId="168" fontId="4" fillId="0" borderId="0" xfId="5" applyNumberFormat="1" applyFont="1" applyAlignment="1" applyProtection="1">
      <alignment horizontal="centerContinuous"/>
      <protection locked="0"/>
    </xf>
    <xf numFmtId="168" fontId="4" fillId="0" borderId="0" xfId="5" applyNumberFormat="1" applyFont="1" applyProtection="1">
      <protection locked="0"/>
    </xf>
    <xf numFmtId="164" fontId="8" fillId="0" borderId="3" xfId="5" applyFont="1" applyBorder="1" applyAlignment="1" applyProtection="1">
      <alignment horizontal="centerContinuous"/>
      <protection locked="0"/>
    </xf>
    <xf numFmtId="164" fontId="4" fillId="0" borderId="3" xfId="5" applyFont="1" applyBorder="1" applyAlignment="1" applyProtection="1">
      <alignment horizontal="centerContinuous"/>
      <protection locked="0"/>
    </xf>
    <xf numFmtId="164" fontId="8" fillId="0" borderId="3" xfId="5" applyFont="1" applyBorder="1" applyAlignment="1" applyProtection="1">
      <alignment horizontal="left"/>
      <protection locked="0"/>
    </xf>
    <xf numFmtId="164" fontId="4" fillId="0" borderId="3" xfId="5" applyFont="1" applyBorder="1" applyProtection="1">
      <protection locked="0"/>
    </xf>
    <xf numFmtId="164" fontId="8" fillId="0" borderId="3" xfId="5" applyFont="1" applyBorder="1" applyProtection="1">
      <protection locked="0"/>
    </xf>
    <xf numFmtId="49" fontId="4" fillId="0" borderId="0" xfId="5" applyNumberFormat="1" applyFont="1" applyAlignment="1" applyProtection="1">
      <alignment horizontal="right"/>
      <protection locked="0"/>
    </xf>
    <xf numFmtId="164" fontId="4" fillId="0" borderId="0" xfId="5" applyFont="1" applyAlignment="1" applyProtection="1">
      <alignment horizontal="right"/>
      <protection locked="0"/>
    </xf>
    <xf numFmtId="164" fontId="4" fillId="0" borderId="0" xfId="5" applyFont="1" applyAlignment="1" applyProtection="1">
      <alignment horizontal="left"/>
      <protection locked="0"/>
    </xf>
    <xf numFmtId="169" fontId="4" fillId="0" borderId="0" xfId="5" applyNumberFormat="1" applyFont="1" applyAlignment="1" applyProtection="1">
      <alignment horizontal="right"/>
      <protection locked="0"/>
    </xf>
    <xf numFmtId="164" fontId="4" fillId="0" borderId="3" xfId="5" applyFont="1" applyBorder="1" applyAlignment="1" applyProtection="1">
      <alignment horizontal="fill"/>
      <protection locked="0"/>
    </xf>
    <xf numFmtId="170" fontId="4" fillId="0" borderId="3" xfId="5" applyNumberFormat="1" applyFont="1" applyBorder="1" applyAlignment="1" applyProtection="1">
      <alignment horizontal="right"/>
      <protection locked="0"/>
    </xf>
    <xf numFmtId="170" fontId="4" fillId="0" borderId="3" xfId="5" applyNumberFormat="1" applyFont="1" applyBorder="1" applyAlignment="1" applyProtection="1">
      <alignment horizontal="left"/>
      <protection locked="0"/>
    </xf>
    <xf numFmtId="164" fontId="9" fillId="0" borderId="0" xfId="5" applyProtection="1">
      <protection locked="0"/>
    </xf>
    <xf numFmtId="10" fontId="4" fillId="0" borderId="0" xfId="5" applyNumberFormat="1" applyFont="1" applyAlignment="1" applyProtection="1">
      <alignment horizontal="right"/>
      <protection locked="0"/>
    </xf>
    <xf numFmtId="171" fontId="4" fillId="0" borderId="0" xfId="5" applyNumberFormat="1" applyFont="1" applyProtection="1">
      <protection locked="0"/>
    </xf>
    <xf numFmtId="164" fontId="4" fillId="0" borderId="0" xfId="5" applyFont="1" applyAlignment="1" applyProtection="1">
      <alignment horizontal="center"/>
      <protection locked="0"/>
    </xf>
    <xf numFmtId="164" fontId="14" fillId="0" borderId="0" xfId="5" applyFont="1" applyAlignment="1" applyProtection="1">
      <alignment horizontal="right"/>
      <protection locked="0"/>
    </xf>
    <xf numFmtId="164" fontId="14" fillId="0" borderId="0" xfId="5" applyFont="1" applyProtection="1">
      <protection locked="0"/>
    </xf>
    <xf numFmtId="164" fontId="4" fillId="0" borderId="0" xfId="5" applyFont="1" applyAlignment="1" applyProtection="1">
      <alignment horizontal="right" vertical="top"/>
      <protection locked="0"/>
    </xf>
    <xf numFmtId="164" fontId="4" fillId="0" borderId="3" xfId="5" applyFont="1" applyBorder="1" applyAlignment="1" applyProtection="1">
      <alignment horizontal="right" vertical="top"/>
      <protection locked="0"/>
    </xf>
    <xf numFmtId="171" fontId="4" fillId="0" borderId="3" xfId="5" applyNumberFormat="1" applyFont="1" applyBorder="1" applyAlignment="1" applyProtection="1">
      <alignment vertical="top"/>
      <protection locked="0"/>
    </xf>
    <xf numFmtId="164" fontId="4" fillId="0" borderId="0" xfId="5" applyFont="1" applyAlignment="1" applyProtection="1">
      <alignment horizontal="left" vertical="top"/>
      <protection locked="0"/>
    </xf>
    <xf numFmtId="37" fontId="8" fillId="0" borderId="3" xfId="5" applyNumberFormat="1" applyFont="1" applyBorder="1" applyAlignment="1" applyProtection="1">
      <alignment horizontal="centerContinuous"/>
      <protection locked="0"/>
    </xf>
    <xf numFmtId="37" fontId="4" fillId="0" borderId="3" xfId="5" applyNumberFormat="1" applyFont="1" applyBorder="1" applyAlignment="1" applyProtection="1">
      <alignment horizontal="centerContinuous"/>
      <protection locked="0"/>
    </xf>
    <xf numFmtId="37" fontId="8" fillId="0" borderId="3" xfId="5" applyNumberFormat="1" applyFont="1" applyBorder="1" applyProtection="1">
      <protection locked="0"/>
    </xf>
    <xf numFmtId="37" fontId="4" fillId="0" borderId="3" xfId="5" applyNumberFormat="1" applyFont="1" applyBorder="1" applyProtection="1">
      <protection locked="0"/>
    </xf>
    <xf numFmtId="37" fontId="4" fillId="0" borderId="0" xfId="5" applyNumberFormat="1" applyFont="1" applyProtection="1">
      <protection locked="0"/>
    </xf>
    <xf numFmtId="164" fontId="4" fillId="0" borderId="0" xfId="5" applyFont="1" applyAlignment="1" applyProtection="1">
      <alignment horizontal="right" vertical="center"/>
      <protection locked="0"/>
    </xf>
    <xf numFmtId="164" fontId="14" fillId="0" borderId="0" xfId="5" applyFont="1" applyAlignment="1" applyProtection="1">
      <alignment horizontal="left"/>
      <protection locked="0"/>
    </xf>
    <xf numFmtId="164" fontId="14" fillId="0" borderId="0" xfId="5" quotePrefix="1" applyFont="1" applyAlignment="1" applyProtection="1">
      <alignment horizontal="left"/>
      <protection locked="0"/>
    </xf>
    <xf numFmtId="0" fontId="4" fillId="0" borderId="0" xfId="6" applyFont="1"/>
    <xf numFmtId="164" fontId="4" fillId="0" borderId="0" xfId="5" applyFont="1" applyAlignment="1" applyProtection="1">
      <alignment horizontal="fill"/>
      <protection locked="0"/>
    </xf>
    <xf numFmtId="0" fontId="4" fillId="0" borderId="0" xfId="5" applyNumberFormat="1" applyFont="1" applyProtection="1">
      <protection locked="0"/>
    </xf>
    <xf numFmtId="11" fontId="4" fillId="0" borderId="0" xfId="5" applyNumberFormat="1" applyFont="1" applyAlignment="1" applyProtection="1">
      <alignment horizontal="right"/>
      <protection locked="0"/>
    </xf>
    <xf numFmtId="172" fontId="8" fillId="0" borderId="3" xfId="5" applyNumberFormat="1" applyFont="1" applyBorder="1" applyAlignment="1" applyProtection="1">
      <alignment horizontal="centerContinuous"/>
      <protection locked="0"/>
    </xf>
    <xf numFmtId="172" fontId="4" fillId="0" borderId="3" xfId="5" applyNumberFormat="1" applyFont="1" applyBorder="1" applyAlignment="1" applyProtection="1">
      <alignment horizontal="centerContinuous"/>
      <protection locked="0"/>
    </xf>
    <xf numFmtId="172" fontId="8" fillId="0" borderId="3" xfId="5" applyNumberFormat="1" applyFont="1" applyBorder="1" applyProtection="1">
      <protection locked="0"/>
    </xf>
    <xf numFmtId="172" fontId="4" fillId="0" borderId="3" xfId="5" applyNumberFormat="1" applyFont="1" applyBorder="1" applyProtection="1">
      <protection locked="0"/>
    </xf>
    <xf numFmtId="172" fontId="4" fillId="0" borderId="0" xfId="5" applyNumberFormat="1" applyFont="1" applyProtection="1">
      <protection locked="0"/>
    </xf>
    <xf numFmtId="1" fontId="15" fillId="0" borderId="0" xfId="0" applyNumberFormat="1" applyFont="1"/>
  </cellXfs>
  <cellStyles count="9">
    <cellStyle name="Comma" xfId="1" builtinId="3"/>
    <cellStyle name="Heading 1" xfId="3" builtinId="16"/>
    <cellStyle name="Heading 4" xfId="4" builtinId="19"/>
    <cellStyle name="Normal" xfId="0" builtinId="0"/>
    <cellStyle name="Normal 2" xfId="6" xr:uid="{8CF17562-5A73-4C4F-87AE-35C82AC7FCDC}"/>
    <cellStyle name="Normal_WebframesCC" xfId="5" xr:uid="{3D740D06-D96B-4CE9-B744-90894CA6D3AB}"/>
    <cellStyle name="Normal_WebframesMigr" xfId="7" xr:uid="{8B35A59B-EFAB-4E59-B3E0-CCE4FE12394A}"/>
    <cellStyle name="Normal_WebframesSingYear" xfId="8" xr:uid="{4D3E9278-B483-4BBC-9155-46068E9AD96C}"/>
    <cellStyle name="Percent" xfId="2" builtinId="5"/>
  </cellStyles>
  <dxfs count="624"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%"/>
      <alignment horizontal="right" vertical="bottom"/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3" formatCode="#,##0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theme="6" tint="0.79998168889431442"/>
          <bgColor theme="6" tint="0.79998168889431442"/>
        </patternFill>
      </fill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right" vertical="bottom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right" vertical="bottom"/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%"/>
      <alignment horizontal="right" vertical="bottom"/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3" formatCode="#,##0"/>
      <alignment horizontal="right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theme="6" tint="0.79998168889431442"/>
          <bgColor theme="6" tint="0.79998168889431442"/>
        </patternFill>
      </fill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right" vertical="bottom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right" vertical="bottom"/>
    </dxf>
  </dxfs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3" Type="http://schemas.openxmlformats.org/officeDocument/2006/relationships/chartsheet" Target="chartsheets/sheet3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7.xml"/><Relationship Id="rId12" Type="http://schemas.openxmlformats.org/officeDocument/2006/relationships/worksheet" Target="worksheets/sheet2.xml"/><Relationship Id="rId17" Type="http://schemas.openxmlformats.org/officeDocument/2006/relationships/worksheet" Target="worksheets/sheet7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6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5.xml"/><Relationship Id="rId23" Type="http://schemas.openxmlformats.org/officeDocument/2006/relationships/calcChain" Target="calcChain.xml"/><Relationship Id="rId10" Type="http://schemas.openxmlformats.org/officeDocument/2006/relationships/chartsheet" Target="chartsheets/sheet9.xml"/><Relationship Id="rId19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1.xml"/><Relationship Id="rId14" Type="http://schemas.openxmlformats.org/officeDocument/2006/relationships/worksheet" Target="worksheets/sheet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4589235127478"/>
          <c:w val="1"/>
          <c:h val="0.80830972615675167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OE 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Calculations!$B$3:$B$43</c:f>
              <c:numCache>
                <c:formatCode>0</c:formatCode>
                <c:ptCount val="41"/>
                <c:pt idx="0">
                  <c:v>66744.066999999995</c:v>
                </c:pt>
                <c:pt idx="1">
                  <c:v>66983.487999999998</c:v>
                </c:pt>
                <c:pt idx="2">
                  <c:v>67603.460999999996</c:v>
                </c:pt>
                <c:pt idx="3">
                  <c:v>68265.209000000003</c:v>
                </c:pt>
                <c:pt idx="4">
                  <c:v>69154.229000000007</c:v>
                </c:pt>
                <c:pt idx="5">
                  <c:v>69734.140999999989</c:v>
                </c:pt>
                <c:pt idx="6">
                  <c:v>70226.295000000013</c:v>
                </c:pt>
                <c:pt idx="7">
                  <c:v>70628.86500000002</c:v>
                </c:pt>
                <c:pt idx="8">
                  <c:v>70939.986000000019</c:v>
                </c:pt>
                <c:pt idx="9">
                  <c:v>71242.17300000001</c:v>
                </c:pt>
                <c:pt idx="10">
                  <c:v>71535.299000000014</c:v>
                </c:pt>
                <c:pt idx="11">
                  <c:v>71819.47</c:v>
                </c:pt>
                <c:pt idx="12">
                  <c:v>72094.99500000001</c:v>
                </c:pt>
                <c:pt idx="13">
                  <c:v>72361.939000000013</c:v>
                </c:pt>
                <c:pt idx="14">
                  <c:v>72620.606</c:v>
                </c:pt>
                <c:pt idx="15">
                  <c:v>72871.606999999989</c:v>
                </c:pt>
                <c:pt idx="16">
                  <c:v>73116.782000000007</c:v>
                </c:pt>
                <c:pt idx="17">
                  <c:v>73358.104000000007</c:v>
                </c:pt>
                <c:pt idx="18">
                  <c:v>73596.38499999998</c:v>
                </c:pt>
                <c:pt idx="19">
                  <c:v>73832.18299999999</c:v>
                </c:pt>
                <c:pt idx="20">
                  <c:v>74065.816999999981</c:v>
                </c:pt>
                <c:pt idx="21">
                  <c:v>74296.872999999963</c:v>
                </c:pt>
                <c:pt idx="22">
                  <c:v>74524.851999999984</c:v>
                </c:pt>
                <c:pt idx="23">
                  <c:v>74749.708999999988</c:v>
                </c:pt>
                <c:pt idx="24">
                  <c:v>74971.281000000003</c:v>
                </c:pt>
                <c:pt idx="25">
                  <c:v>75188.12</c:v>
                </c:pt>
                <c:pt idx="26">
                  <c:v>75398.567999999985</c:v>
                </c:pt>
                <c:pt idx="27">
                  <c:v>75602.14499999999</c:v>
                </c:pt>
                <c:pt idx="28">
                  <c:v>75798.417999999991</c:v>
                </c:pt>
                <c:pt idx="29">
                  <c:v>75986.883000000002</c:v>
                </c:pt>
                <c:pt idx="30">
                  <c:v>76167.383999999991</c:v>
                </c:pt>
                <c:pt idx="31">
                  <c:v>76340.092999999993</c:v>
                </c:pt>
                <c:pt idx="32">
                  <c:v>76505.25499999999</c:v>
                </c:pt>
                <c:pt idx="33">
                  <c:v>76663.195999999996</c:v>
                </c:pt>
                <c:pt idx="34">
                  <c:v>76814.554000000004</c:v>
                </c:pt>
                <c:pt idx="35">
                  <c:v>76960.345000000001</c:v>
                </c:pt>
                <c:pt idx="36">
                  <c:v>77101.627999999997</c:v>
                </c:pt>
                <c:pt idx="37">
                  <c:v>77239.583999999973</c:v>
                </c:pt>
                <c:pt idx="38">
                  <c:v>77375.026999999973</c:v>
                </c:pt>
                <c:pt idx="39">
                  <c:v>77508.951999999961</c:v>
                </c:pt>
                <c:pt idx="40">
                  <c:v>77642.357999999964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Calculations!$C$2</c:f>
              <c:strCache>
                <c:ptCount val="1"/>
                <c:pt idx="0">
                  <c:v>ONS 2022-based principal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Calculations!$C$3:$C$43</c:f>
              <c:numCache>
                <c:formatCode>General</c:formatCode>
                <c:ptCount val="41"/>
                <c:pt idx="2" formatCode="0">
                  <c:v>67602.760999999999</c:v>
                </c:pt>
                <c:pt idx="3" formatCode="0">
                  <c:v>68492.494999999995</c:v>
                </c:pt>
                <c:pt idx="4" formatCode="0">
                  <c:v>69226.231</c:v>
                </c:pt>
                <c:pt idx="5" formatCode="0">
                  <c:v>69867.979000000007</c:v>
                </c:pt>
                <c:pt idx="6" formatCode="0">
                  <c:v>70414.3</c:v>
                </c:pt>
                <c:pt idx="7" formatCode="0">
                  <c:v>70861.913</c:v>
                </c:pt>
                <c:pt idx="8" formatCode="0">
                  <c:v>71208.100999999995</c:v>
                </c:pt>
                <c:pt idx="9" formatCode="0">
                  <c:v>71547.661999999997</c:v>
                </c:pt>
                <c:pt idx="10" formatCode="0">
                  <c:v>71879.987999999998</c:v>
                </c:pt>
                <c:pt idx="11" formatCode="0">
                  <c:v>72204.573999999993</c:v>
                </c:pt>
                <c:pt idx="12" formatCode="0">
                  <c:v>72521.172999999995</c:v>
                </c:pt>
                <c:pt idx="13" formatCode="0">
                  <c:v>72830.020999999993</c:v>
                </c:pt>
                <c:pt idx="14" formatCode="0">
                  <c:v>73131.596999999994</c:v>
                </c:pt>
                <c:pt idx="15" formatCode="0">
                  <c:v>73426.168000000005</c:v>
                </c:pt>
                <c:pt idx="16" formatCode="0">
                  <c:v>73714.089000000007</c:v>
                </c:pt>
                <c:pt idx="17" formatCode="0">
                  <c:v>73995.941000000006</c:v>
                </c:pt>
                <c:pt idx="18" formatCode="0">
                  <c:v>74272.334000000003</c:v>
                </c:pt>
                <c:pt idx="19" formatCode="0">
                  <c:v>74543.737999999998</c:v>
                </c:pt>
                <c:pt idx="20" formatCode="0">
                  <c:v>74810.478000000003</c:v>
                </c:pt>
                <c:pt idx="21" formatCode="0">
                  <c:v>75072.892000000007</c:v>
                </c:pt>
                <c:pt idx="22" formatCode="0">
                  <c:v>75331.209000000003</c:v>
                </c:pt>
                <c:pt idx="23" formatCode="0">
                  <c:v>75585.236000000004</c:v>
                </c:pt>
                <c:pt idx="24" formatCode="0">
                  <c:v>75834.506999999998</c:v>
                </c:pt>
                <c:pt idx="25" formatCode="0">
                  <c:v>76078.686000000002</c:v>
                </c:pt>
                <c:pt idx="26" formatCode="0">
                  <c:v>76317.48</c:v>
                </c:pt>
                <c:pt idx="27" formatCode="0">
                  <c:v>76550.535000000003</c:v>
                </c:pt>
                <c:pt idx="28" formatCode="0">
                  <c:v>76776.460000000006</c:v>
                </c:pt>
                <c:pt idx="29" formatCode="0">
                  <c:v>76993.637000000002</c:v>
                </c:pt>
                <c:pt idx="30" formatCode="0">
                  <c:v>77201.482999999993</c:v>
                </c:pt>
                <c:pt idx="31" formatCode="0">
                  <c:v>77399.645000000004</c:v>
                </c:pt>
                <c:pt idx="32" formatCode="0">
                  <c:v>77588.048999999999</c:v>
                </c:pt>
                <c:pt idx="33" formatCode="0">
                  <c:v>77766.710000000006</c:v>
                </c:pt>
                <c:pt idx="34" formatCode="0">
                  <c:v>77935.834000000003</c:v>
                </c:pt>
                <c:pt idx="35" formatCode="0">
                  <c:v>78096.133000000002</c:v>
                </c:pt>
                <c:pt idx="36" formatCode="0">
                  <c:v>78248.758000000002</c:v>
                </c:pt>
                <c:pt idx="37" formatCode="0">
                  <c:v>78394.895999999993</c:v>
                </c:pt>
                <c:pt idx="38" formatCode="0">
                  <c:v>78535.61</c:v>
                </c:pt>
                <c:pt idx="39" formatCode="0">
                  <c:v>78672.035999999993</c:v>
                </c:pt>
                <c:pt idx="40" formatCode="0">
                  <c:v>78805.316999999995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Calculations!$D$2</c:f>
              <c:strCache>
                <c:ptCount val="1"/>
                <c:pt idx="0">
                  <c:v>ONS 2022-based migration category variant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Calculations!$A$3:$A$43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Calculations!$D$3:$D$43</c:f>
              <c:numCache>
                <c:formatCode>General</c:formatCode>
                <c:ptCount val="41"/>
                <c:pt idx="2" formatCode="0">
                  <c:v>67602.760999999999</c:v>
                </c:pt>
                <c:pt idx="3" formatCode="0">
                  <c:v>68492.497999999992</c:v>
                </c:pt>
                <c:pt idx="4" formatCode="0">
                  <c:v>69226.241999999998</c:v>
                </c:pt>
                <c:pt idx="5" formatCode="0">
                  <c:v>69587.391000000003</c:v>
                </c:pt>
                <c:pt idx="6" formatCode="0">
                  <c:v>69861.81</c:v>
                </c:pt>
                <c:pt idx="7" formatCode="0">
                  <c:v>70131.202000000005</c:v>
                </c:pt>
                <c:pt idx="8" formatCode="0">
                  <c:v>70427.687000000005</c:v>
                </c:pt>
                <c:pt idx="9" formatCode="0">
                  <c:v>70754.053000000014</c:v>
                </c:pt>
                <c:pt idx="10" formatCode="0">
                  <c:v>71086.383000000016</c:v>
                </c:pt>
                <c:pt idx="11" formatCode="0">
                  <c:v>71410.974000000017</c:v>
                </c:pt>
                <c:pt idx="12" formatCode="0">
                  <c:v>71727.587000000014</c:v>
                </c:pt>
                <c:pt idx="13" formatCode="0">
                  <c:v>72036.448000000019</c:v>
                </c:pt>
                <c:pt idx="14" formatCode="0">
                  <c:v>72338.034000000014</c:v>
                </c:pt>
                <c:pt idx="15" formatCode="0">
                  <c:v>72632.595000000016</c:v>
                </c:pt>
                <c:pt idx="16" formatCode="0">
                  <c:v>72920.52800000002</c:v>
                </c:pt>
                <c:pt idx="17" formatCode="0">
                  <c:v>73202.396000000022</c:v>
                </c:pt>
                <c:pt idx="18" formatCode="0">
                  <c:v>73478.79300000002</c:v>
                </c:pt>
                <c:pt idx="19" formatCode="0">
                  <c:v>73750.189000000013</c:v>
                </c:pt>
                <c:pt idx="20" formatCode="0">
                  <c:v>74016.941000000006</c:v>
                </c:pt>
                <c:pt idx="21" formatCode="0">
                  <c:v>74279.362000000008</c:v>
                </c:pt>
                <c:pt idx="22" formatCode="0">
                  <c:v>74537.682000000015</c:v>
                </c:pt>
                <c:pt idx="23" formatCode="0">
                  <c:v>74791.724000000017</c:v>
                </c:pt>
                <c:pt idx="24" formatCode="0">
                  <c:v>75040.989000000016</c:v>
                </c:pt>
                <c:pt idx="25" formatCode="0">
                  <c:v>75285.169000000009</c:v>
                </c:pt>
                <c:pt idx="26" formatCode="0">
                  <c:v>75523.984000000011</c:v>
                </c:pt>
                <c:pt idx="27" formatCode="0">
                  <c:v>75757.036000000007</c:v>
                </c:pt>
                <c:pt idx="28" formatCode="0">
                  <c:v>75982.957000000009</c:v>
                </c:pt>
                <c:pt idx="29" formatCode="0">
                  <c:v>76200.13</c:v>
                </c:pt>
                <c:pt idx="30" formatCode="0">
                  <c:v>76407.98000000001</c:v>
                </c:pt>
                <c:pt idx="31" formatCode="0">
                  <c:v>76606.133000000016</c:v>
                </c:pt>
                <c:pt idx="32" formatCode="0">
                  <c:v>76794.549000000014</c:v>
                </c:pt>
                <c:pt idx="33" formatCode="0">
                  <c:v>76973.212000000014</c:v>
                </c:pt>
                <c:pt idx="34" formatCode="0">
                  <c:v>77142.342000000019</c:v>
                </c:pt>
                <c:pt idx="35" formatCode="0">
                  <c:v>77302.651000000013</c:v>
                </c:pt>
                <c:pt idx="36" formatCode="0">
                  <c:v>77455.270000000019</c:v>
                </c:pt>
                <c:pt idx="37" formatCode="0">
                  <c:v>77601.409000000014</c:v>
                </c:pt>
                <c:pt idx="38" formatCode="0">
                  <c:v>77742.118000000017</c:v>
                </c:pt>
                <c:pt idx="39" formatCode="0">
                  <c:v>77878.554000000018</c:v>
                </c:pt>
                <c:pt idx="40" formatCode="0">
                  <c:v>78011.837000000014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Calculations!$E$2</c:f>
              <c:strCache>
                <c:ptCount val="1"/>
                <c:pt idx="0">
                  <c:v>ONS 2022-based low migration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Calculations!$A$3:$A$43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Calculations!$E$3:$E$43</c:f>
              <c:numCache>
                <c:formatCode>General</c:formatCode>
                <c:ptCount val="41"/>
                <c:pt idx="2" formatCode="0">
                  <c:v>67602.760999999999</c:v>
                </c:pt>
                <c:pt idx="3" formatCode="0">
                  <c:v>68492.494999999995</c:v>
                </c:pt>
                <c:pt idx="4" formatCode="0">
                  <c:v>69226.231</c:v>
                </c:pt>
                <c:pt idx="5" formatCode="0">
                  <c:v>69812.630999999994</c:v>
                </c:pt>
                <c:pt idx="6" formatCode="0">
                  <c:v>70247.112999999998</c:v>
                </c:pt>
                <c:pt idx="7" formatCode="0">
                  <c:v>70525.251000000004</c:v>
                </c:pt>
                <c:pt idx="8" formatCode="0">
                  <c:v>70642.365999999995</c:v>
                </c:pt>
                <c:pt idx="9" formatCode="0">
                  <c:v>70748.183999999994</c:v>
                </c:pt>
                <c:pt idx="10" formatCode="0">
                  <c:v>70841.941999999995</c:v>
                </c:pt>
                <c:pt idx="11" formatCode="0">
                  <c:v>70923.130999999994</c:v>
                </c:pt>
                <c:pt idx="12" formatCode="0">
                  <c:v>70991.456000000006</c:v>
                </c:pt>
                <c:pt idx="13" formatCode="0">
                  <c:v>71047.179999999993</c:v>
                </c:pt>
                <c:pt idx="14" formatCode="0">
                  <c:v>71090.845000000001</c:v>
                </c:pt>
                <c:pt idx="15" formatCode="0">
                  <c:v>71122.831999999995</c:v>
                </c:pt>
                <c:pt idx="16" formatCode="0">
                  <c:v>71143.8</c:v>
                </c:pt>
                <c:pt idx="17" formatCode="0">
                  <c:v>71154.554999999993</c:v>
                </c:pt>
                <c:pt idx="18" formatCode="0">
                  <c:v>71156.042000000001</c:v>
                </c:pt>
                <c:pt idx="19" formatCode="0">
                  <c:v>71149.096000000005</c:v>
                </c:pt>
                <c:pt idx="20" formatCode="0">
                  <c:v>71134.407999999996</c:v>
                </c:pt>
                <c:pt idx="21" formatCode="0">
                  <c:v>71112.67</c:v>
                </c:pt>
                <c:pt idx="22" formatCode="0">
                  <c:v>71084.426000000007</c:v>
                </c:pt>
                <c:pt idx="23" formatCode="0">
                  <c:v>71049.754000000001</c:v>
                </c:pt>
                <c:pt idx="24" formatCode="0">
                  <c:v>71008.509000000005</c:v>
                </c:pt>
                <c:pt idx="25" formatCode="0">
                  <c:v>70960.588000000003</c:v>
                </c:pt>
                <c:pt idx="26" formatCode="0">
                  <c:v>70905.847999999998</c:v>
                </c:pt>
                <c:pt idx="27" formatCode="0">
                  <c:v>70844.130999999994</c:v>
                </c:pt>
                <c:pt idx="28" formatCode="0">
                  <c:v>70774.277000000002</c:v>
                </c:pt>
                <c:pt idx="29" formatCode="0">
                  <c:v>70694.92</c:v>
                </c:pt>
                <c:pt idx="30" formatCode="0">
                  <c:v>70605.494000000006</c:v>
                </c:pt>
                <c:pt idx="31" formatCode="0">
                  <c:v>70505.698000000004</c:v>
                </c:pt>
                <c:pt idx="32" formatCode="0">
                  <c:v>70395.486999999994</c:v>
                </c:pt>
                <c:pt idx="33" formatCode="0">
                  <c:v>70274.803</c:v>
                </c:pt>
                <c:pt idx="34" formatCode="0">
                  <c:v>70143.804999999993</c:v>
                </c:pt>
                <c:pt idx="35" formatCode="0">
                  <c:v>70003.176000000007</c:v>
                </c:pt>
                <c:pt idx="36" formatCode="0">
                  <c:v>69853.971999999994</c:v>
                </c:pt>
                <c:pt idx="37" formatCode="0">
                  <c:v>69697.316999999995</c:v>
                </c:pt>
                <c:pt idx="38" formatCode="0">
                  <c:v>69534.263999999996</c:v>
                </c:pt>
                <c:pt idx="39" formatCode="0">
                  <c:v>69365.808000000005</c:v>
                </c:pt>
                <c:pt idx="40" formatCode="0">
                  <c:v>69193.058000000005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Calculations!$F$2</c:f>
              <c:strCache>
                <c:ptCount val="1"/>
                <c:pt idx="0">
                  <c:v>OE old low variant + new natural change</c:v>
                </c:pt>
              </c:strCache>
            </c:strRef>
          </c:tx>
          <c:spPr>
            <a:ln w="38100">
              <a:solidFill>
                <a:srgbClr val="965793"/>
              </a:solidFill>
            </a:ln>
          </c:spPr>
          <c:marker>
            <c:symbol val="none"/>
          </c:marker>
          <c:cat>
            <c:numRef>
              <c:f>Calculations!$A$3:$A$43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Calculations!$F$3:$F$43</c:f>
              <c:numCache>
                <c:formatCode>General</c:formatCode>
                <c:ptCount val="41"/>
                <c:pt idx="2" formatCode="0">
                  <c:v>67602.760999999999</c:v>
                </c:pt>
                <c:pt idx="3" formatCode="0">
                  <c:v>68492.497999999992</c:v>
                </c:pt>
                <c:pt idx="4" formatCode="0">
                  <c:v>69226.241999999998</c:v>
                </c:pt>
                <c:pt idx="5" formatCode="0">
                  <c:v>69740.290999999997</c:v>
                </c:pt>
                <c:pt idx="6" formatCode="0">
                  <c:v>70172.61</c:v>
                </c:pt>
                <c:pt idx="7" formatCode="0">
                  <c:v>70519.902000000002</c:v>
                </c:pt>
                <c:pt idx="8" formatCode="0">
                  <c:v>70779.087</c:v>
                </c:pt>
                <c:pt idx="9" formatCode="0">
                  <c:v>71031.653000000006</c:v>
                </c:pt>
                <c:pt idx="10" formatCode="0">
                  <c:v>71276.983000000007</c:v>
                </c:pt>
                <c:pt idx="11" formatCode="0">
                  <c:v>71514.574000000008</c:v>
                </c:pt>
                <c:pt idx="12" formatCode="0">
                  <c:v>71744.187000000005</c:v>
                </c:pt>
                <c:pt idx="13" formatCode="0">
                  <c:v>71966.04800000001</c:v>
                </c:pt>
                <c:pt idx="14" formatCode="0">
                  <c:v>72180.634000000005</c:v>
                </c:pt>
                <c:pt idx="15" formatCode="0">
                  <c:v>72388.195000000007</c:v>
                </c:pt>
                <c:pt idx="16" formatCode="0">
                  <c:v>72589.128000000012</c:v>
                </c:pt>
                <c:pt idx="17" formatCode="0">
                  <c:v>72783.996000000014</c:v>
                </c:pt>
                <c:pt idx="18" formatCode="0">
                  <c:v>72973.393000000011</c:v>
                </c:pt>
                <c:pt idx="19" formatCode="0">
                  <c:v>73157.789000000004</c:v>
                </c:pt>
                <c:pt idx="20" formatCode="0">
                  <c:v>73337.540999999997</c:v>
                </c:pt>
                <c:pt idx="21" formatCode="0">
                  <c:v>73512.962</c:v>
                </c:pt>
                <c:pt idx="22" formatCode="0">
                  <c:v>73684.282000000007</c:v>
                </c:pt>
                <c:pt idx="23" formatCode="0">
                  <c:v>73851.324000000008</c:v>
                </c:pt>
                <c:pt idx="24" formatCode="0">
                  <c:v>74013.589000000007</c:v>
                </c:pt>
                <c:pt idx="25" formatCode="0">
                  <c:v>74170.769</c:v>
                </c:pt>
                <c:pt idx="26" formatCode="0">
                  <c:v>74322.584000000003</c:v>
                </c:pt>
                <c:pt idx="27" formatCode="0">
                  <c:v>74468.635999999999</c:v>
                </c:pt>
                <c:pt idx="28" formatCode="0">
                  <c:v>74607.557000000001</c:v>
                </c:pt>
                <c:pt idx="29" formatCode="0">
                  <c:v>74737.73</c:v>
                </c:pt>
                <c:pt idx="30" formatCode="0">
                  <c:v>74858.58</c:v>
                </c:pt>
                <c:pt idx="31" formatCode="0">
                  <c:v>74969.733000000007</c:v>
                </c:pt>
                <c:pt idx="32" formatCode="0">
                  <c:v>75071.149000000005</c:v>
                </c:pt>
                <c:pt idx="33" formatCode="0">
                  <c:v>75162.812000000005</c:v>
                </c:pt>
                <c:pt idx="34" formatCode="0">
                  <c:v>75244.94200000001</c:v>
                </c:pt>
                <c:pt idx="35" formatCode="0">
                  <c:v>75318.251000000004</c:v>
                </c:pt>
                <c:pt idx="36" formatCode="0">
                  <c:v>75383.87000000001</c:v>
                </c:pt>
                <c:pt idx="37" formatCode="0">
                  <c:v>75443.009000000005</c:v>
                </c:pt>
                <c:pt idx="38" formatCode="0">
                  <c:v>75496.718000000008</c:v>
                </c:pt>
                <c:pt idx="39" formatCode="0">
                  <c:v>75546.15400000001</c:v>
                </c:pt>
                <c:pt idx="40" formatCode="0">
                  <c:v>75592.437000000005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Calculations!$G$2</c:f>
              <c:strCache>
                <c:ptCount val="1"/>
                <c:pt idx="0">
                  <c:v>OE 80% of new migration + new natural change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Calculations!$A$3:$A$43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Calculations!$G$3:$G$43</c:f>
              <c:numCache>
                <c:formatCode>General</c:formatCode>
                <c:ptCount val="41"/>
                <c:pt idx="2" formatCode="0">
                  <c:v>67602.760999999999</c:v>
                </c:pt>
                <c:pt idx="3" formatCode="0">
                  <c:v>68492.497999999992</c:v>
                </c:pt>
                <c:pt idx="4" formatCode="0">
                  <c:v>69226.241999999998</c:v>
                </c:pt>
                <c:pt idx="5" formatCode="0">
                  <c:v>69867.990999999995</c:v>
                </c:pt>
                <c:pt idx="6" formatCode="0">
                  <c:v>70307.549999999988</c:v>
                </c:pt>
                <c:pt idx="7" formatCode="0">
                  <c:v>70667.801999999996</c:v>
                </c:pt>
                <c:pt idx="8" formatCode="0">
                  <c:v>70945.986999999994</c:v>
                </c:pt>
                <c:pt idx="9" formatCode="0">
                  <c:v>71217.553</c:v>
                </c:pt>
                <c:pt idx="10" formatCode="0">
                  <c:v>71481.883000000002</c:v>
                </c:pt>
                <c:pt idx="11" formatCode="0">
                  <c:v>71738.474000000002</c:v>
                </c:pt>
                <c:pt idx="12" formatCode="0">
                  <c:v>71987.087</c:v>
                </c:pt>
                <c:pt idx="13" formatCode="0">
                  <c:v>72227.948000000004</c:v>
                </c:pt>
                <c:pt idx="14" formatCode="0">
                  <c:v>72461.534</c:v>
                </c:pt>
                <c:pt idx="15" formatCode="0">
                  <c:v>72688.095000000001</c:v>
                </c:pt>
                <c:pt idx="16" formatCode="0">
                  <c:v>72908.028000000006</c:v>
                </c:pt>
                <c:pt idx="17" formatCode="0">
                  <c:v>73121.896000000008</c:v>
                </c:pt>
                <c:pt idx="18" formatCode="0">
                  <c:v>73330.293000000005</c:v>
                </c:pt>
                <c:pt idx="19" formatCode="0">
                  <c:v>73533.688999999998</c:v>
                </c:pt>
                <c:pt idx="20" formatCode="0">
                  <c:v>73732.440999999992</c:v>
                </c:pt>
                <c:pt idx="21" formatCode="0">
                  <c:v>73926.861999999994</c:v>
                </c:pt>
                <c:pt idx="22" formatCode="0">
                  <c:v>74117.182000000001</c:v>
                </c:pt>
                <c:pt idx="23" formatCode="0">
                  <c:v>74303.224000000002</c:v>
                </c:pt>
                <c:pt idx="24" formatCode="0">
                  <c:v>74484.489000000001</c:v>
                </c:pt>
                <c:pt idx="25" formatCode="0">
                  <c:v>74660.668999999994</c:v>
                </c:pt>
                <c:pt idx="26" formatCode="0">
                  <c:v>74831.483999999997</c:v>
                </c:pt>
                <c:pt idx="27" formatCode="0">
                  <c:v>74996.535999999993</c:v>
                </c:pt>
                <c:pt idx="28" formatCode="0">
                  <c:v>75154.456999999995</c:v>
                </c:pt>
                <c:pt idx="29" formatCode="0">
                  <c:v>75303.62999999999</c:v>
                </c:pt>
                <c:pt idx="30" formatCode="0">
                  <c:v>75443.48</c:v>
                </c:pt>
                <c:pt idx="31" formatCode="0">
                  <c:v>75573.633000000002</c:v>
                </c:pt>
                <c:pt idx="32" formatCode="0">
                  <c:v>75694.048999999999</c:v>
                </c:pt>
                <c:pt idx="33" formatCode="0">
                  <c:v>75804.712</c:v>
                </c:pt>
                <c:pt idx="34" formatCode="0">
                  <c:v>75905.842000000004</c:v>
                </c:pt>
                <c:pt idx="35" formatCode="0">
                  <c:v>75998.150999999998</c:v>
                </c:pt>
                <c:pt idx="36" formatCode="0">
                  <c:v>76082.77</c:v>
                </c:pt>
                <c:pt idx="37" formatCode="0">
                  <c:v>76160.909</c:v>
                </c:pt>
                <c:pt idx="38" formatCode="0">
                  <c:v>76233.618000000002</c:v>
                </c:pt>
                <c:pt idx="39" formatCode="0">
                  <c:v>76302.054000000004</c:v>
                </c:pt>
                <c:pt idx="40" formatCode="0">
                  <c:v>76367.337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043560656612838"/>
          <c:y val="0.51089618047035901"/>
          <c:w val="0.64077702151637828"/>
          <c:h val="0.345104949699984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4589235127478"/>
          <c:w val="1"/>
          <c:h val="0.80830972615675167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Calculations!$J$2</c:f>
              <c:strCache>
                <c:ptCount val="1"/>
                <c:pt idx="0">
                  <c:v>OE 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Calculations!$I$3:$I$43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Calculations!$J$3:$J$43</c:f>
              <c:numCache>
                <c:formatCode>0</c:formatCode>
                <c:ptCount val="41"/>
                <c:pt idx="0">
                  <c:v>111</c:v>
                </c:pt>
                <c:pt idx="1">
                  <c:v>221</c:v>
                </c:pt>
                <c:pt idx="2">
                  <c:v>607</c:v>
                </c:pt>
                <c:pt idx="3">
                  <c:v>677.3</c:v>
                </c:pt>
                <c:pt idx="4">
                  <c:v>728</c:v>
                </c:pt>
                <c:pt idx="5">
                  <c:v>503.2</c:v>
                </c:pt>
                <c:pt idx="6">
                  <c:v>419.8</c:v>
                </c:pt>
                <c:pt idx="7">
                  <c:v>336.4</c:v>
                </c:pt>
                <c:pt idx="8">
                  <c:v>253</c:v>
                </c:pt>
                <c:pt idx="9">
                  <c:v>253</c:v>
                </c:pt>
                <c:pt idx="10">
                  <c:v>253</c:v>
                </c:pt>
                <c:pt idx="11">
                  <c:v>253</c:v>
                </c:pt>
                <c:pt idx="12">
                  <c:v>253</c:v>
                </c:pt>
                <c:pt idx="13">
                  <c:v>253</c:v>
                </c:pt>
                <c:pt idx="14">
                  <c:v>253</c:v>
                </c:pt>
                <c:pt idx="15">
                  <c:v>253</c:v>
                </c:pt>
                <c:pt idx="16">
                  <c:v>253</c:v>
                </c:pt>
                <c:pt idx="17">
                  <c:v>253</c:v>
                </c:pt>
                <c:pt idx="18">
                  <c:v>253</c:v>
                </c:pt>
                <c:pt idx="19">
                  <c:v>253</c:v>
                </c:pt>
                <c:pt idx="20">
                  <c:v>253</c:v>
                </c:pt>
                <c:pt idx="21">
                  <c:v>253</c:v>
                </c:pt>
                <c:pt idx="22">
                  <c:v>253</c:v>
                </c:pt>
                <c:pt idx="23">
                  <c:v>253</c:v>
                </c:pt>
                <c:pt idx="24">
                  <c:v>253</c:v>
                </c:pt>
                <c:pt idx="25">
                  <c:v>253</c:v>
                </c:pt>
                <c:pt idx="26">
                  <c:v>253</c:v>
                </c:pt>
                <c:pt idx="27">
                  <c:v>253</c:v>
                </c:pt>
                <c:pt idx="28">
                  <c:v>253</c:v>
                </c:pt>
                <c:pt idx="29">
                  <c:v>253</c:v>
                </c:pt>
                <c:pt idx="30">
                  <c:v>253</c:v>
                </c:pt>
                <c:pt idx="31">
                  <c:v>253</c:v>
                </c:pt>
                <c:pt idx="32">
                  <c:v>253</c:v>
                </c:pt>
                <c:pt idx="33">
                  <c:v>253</c:v>
                </c:pt>
                <c:pt idx="34">
                  <c:v>253</c:v>
                </c:pt>
                <c:pt idx="35">
                  <c:v>253</c:v>
                </c:pt>
                <c:pt idx="36">
                  <c:v>253</c:v>
                </c:pt>
                <c:pt idx="37">
                  <c:v>253</c:v>
                </c:pt>
                <c:pt idx="38">
                  <c:v>253</c:v>
                </c:pt>
                <c:pt idx="39">
                  <c:v>253</c:v>
                </c:pt>
                <c:pt idx="40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Calculations!$K$2</c:f>
              <c:strCache>
                <c:ptCount val="1"/>
                <c:pt idx="0">
                  <c:v>ONS 2022-based principal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Calculations!$I$3:$I$43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Calculations!$K$3:$K$43</c:f>
              <c:numCache>
                <c:formatCode>General</c:formatCode>
                <c:ptCount val="41"/>
                <c:pt idx="3">
                  <c:v>906</c:v>
                </c:pt>
                <c:pt idx="4">
                  <c:v>728</c:v>
                </c:pt>
                <c:pt idx="5">
                  <c:v>630.9</c:v>
                </c:pt>
                <c:pt idx="6">
                  <c:v>533.79999999999995</c:v>
                </c:pt>
                <c:pt idx="7">
                  <c:v>436.7</c:v>
                </c:pt>
                <c:pt idx="8">
                  <c:v>340</c:v>
                </c:pt>
                <c:pt idx="9">
                  <c:v>340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340</c:v>
                </c:pt>
                <c:pt idx="14">
                  <c:v>340</c:v>
                </c:pt>
                <c:pt idx="15">
                  <c:v>340</c:v>
                </c:pt>
                <c:pt idx="16">
                  <c:v>340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340</c:v>
                </c:pt>
                <c:pt idx="21">
                  <c:v>340</c:v>
                </c:pt>
                <c:pt idx="22">
                  <c:v>340</c:v>
                </c:pt>
                <c:pt idx="23">
                  <c:v>340</c:v>
                </c:pt>
                <c:pt idx="24">
                  <c:v>340</c:v>
                </c:pt>
                <c:pt idx="25">
                  <c:v>340</c:v>
                </c:pt>
                <c:pt idx="26">
                  <c:v>340</c:v>
                </c:pt>
                <c:pt idx="27">
                  <c:v>340</c:v>
                </c:pt>
                <c:pt idx="28">
                  <c:v>340</c:v>
                </c:pt>
                <c:pt idx="29">
                  <c:v>340</c:v>
                </c:pt>
                <c:pt idx="30">
                  <c:v>340</c:v>
                </c:pt>
                <c:pt idx="31">
                  <c:v>340</c:v>
                </c:pt>
                <c:pt idx="32">
                  <c:v>340</c:v>
                </c:pt>
                <c:pt idx="33">
                  <c:v>340</c:v>
                </c:pt>
                <c:pt idx="34">
                  <c:v>340</c:v>
                </c:pt>
                <c:pt idx="35">
                  <c:v>340</c:v>
                </c:pt>
                <c:pt idx="36">
                  <c:v>340</c:v>
                </c:pt>
                <c:pt idx="37">
                  <c:v>340</c:v>
                </c:pt>
                <c:pt idx="38">
                  <c:v>340</c:v>
                </c:pt>
                <c:pt idx="39">
                  <c:v>340</c:v>
                </c:pt>
                <c:pt idx="40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Calculations!$L$2</c:f>
              <c:strCache>
                <c:ptCount val="1"/>
                <c:pt idx="0">
                  <c:v>ONS 2022-based migration category variant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Calculations!$I$3:$I$43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Calculations!$L$3:$L$43</c:f>
              <c:numCache>
                <c:formatCode>General</c:formatCode>
                <c:ptCount val="41"/>
                <c:pt idx="3">
                  <c:v>906</c:v>
                </c:pt>
                <c:pt idx="4">
                  <c:v>728</c:v>
                </c:pt>
                <c:pt idx="5">
                  <c:v>350.3</c:v>
                </c:pt>
                <c:pt idx="6">
                  <c:v>261.89999999999998</c:v>
                </c:pt>
                <c:pt idx="7">
                  <c:v>258.5</c:v>
                </c:pt>
                <c:pt idx="8">
                  <c:v>290.3</c:v>
                </c:pt>
                <c:pt idx="9">
                  <c:v>326.8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340</c:v>
                </c:pt>
                <c:pt idx="14">
                  <c:v>340</c:v>
                </c:pt>
                <c:pt idx="15">
                  <c:v>340</c:v>
                </c:pt>
                <c:pt idx="16">
                  <c:v>340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340</c:v>
                </c:pt>
                <c:pt idx="21">
                  <c:v>340</c:v>
                </c:pt>
                <c:pt idx="22">
                  <c:v>340</c:v>
                </c:pt>
                <c:pt idx="23">
                  <c:v>340</c:v>
                </c:pt>
                <c:pt idx="24">
                  <c:v>340</c:v>
                </c:pt>
                <c:pt idx="25">
                  <c:v>340</c:v>
                </c:pt>
                <c:pt idx="26">
                  <c:v>340</c:v>
                </c:pt>
                <c:pt idx="27">
                  <c:v>340</c:v>
                </c:pt>
                <c:pt idx="28">
                  <c:v>340</c:v>
                </c:pt>
                <c:pt idx="29">
                  <c:v>340</c:v>
                </c:pt>
                <c:pt idx="30">
                  <c:v>340</c:v>
                </c:pt>
                <c:pt idx="31">
                  <c:v>340</c:v>
                </c:pt>
                <c:pt idx="32">
                  <c:v>340</c:v>
                </c:pt>
                <c:pt idx="33">
                  <c:v>340</c:v>
                </c:pt>
                <c:pt idx="34">
                  <c:v>340</c:v>
                </c:pt>
                <c:pt idx="35">
                  <c:v>340</c:v>
                </c:pt>
                <c:pt idx="36">
                  <c:v>340</c:v>
                </c:pt>
                <c:pt idx="37">
                  <c:v>340</c:v>
                </c:pt>
                <c:pt idx="38">
                  <c:v>340</c:v>
                </c:pt>
                <c:pt idx="39">
                  <c:v>340</c:v>
                </c:pt>
                <c:pt idx="40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Calculations!$M$2</c:f>
              <c:strCache>
                <c:ptCount val="1"/>
                <c:pt idx="0">
                  <c:v>ONS 2022-based low migration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Calculations!$I$3:$I$43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Calculations!$M$3:$M$43</c:f>
              <c:numCache>
                <c:formatCode>General</c:formatCode>
                <c:ptCount val="41"/>
                <c:pt idx="3">
                  <c:v>906</c:v>
                </c:pt>
                <c:pt idx="4">
                  <c:v>728</c:v>
                </c:pt>
                <c:pt idx="5">
                  <c:v>576.1</c:v>
                </c:pt>
                <c:pt idx="6">
                  <c:v>424.2</c:v>
                </c:pt>
                <c:pt idx="7">
                  <c:v>272.3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Calculations!$N$2</c:f>
              <c:strCache>
                <c:ptCount val="1"/>
                <c:pt idx="0">
                  <c:v>OE old low variant + new natural change</c:v>
                </c:pt>
              </c:strCache>
            </c:strRef>
          </c:tx>
          <c:spPr>
            <a:ln w="38100">
              <a:solidFill>
                <a:srgbClr val="965793"/>
              </a:solidFill>
            </a:ln>
          </c:spPr>
          <c:marker>
            <c:symbol val="none"/>
          </c:marker>
          <c:cat>
            <c:numRef>
              <c:f>Calculations!$I$3:$I$43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Calculations!$N$3:$N$43</c:f>
              <c:numCache>
                <c:formatCode>General</c:formatCode>
                <c:ptCount val="41"/>
                <c:pt idx="3">
                  <c:v>906</c:v>
                </c:pt>
                <c:pt idx="4">
                  <c:v>728</c:v>
                </c:pt>
                <c:pt idx="5" formatCode="0">
                  <c:v>503.2</c:v>
                </c:pt>
                <c:pt idx="6" formatCode="0">
                  <c:v>419.8</c:v>
                </c:pt>
                <c:pt idx="7" formatCode="0">
                  <c:v>336.4</c:v>
                </c:pt>
                <c:pt idx="8" formatCode="0">
                  <c:v>253</c:v>
                </c:pt>
                <c:pt idx="9" formatCode="0">
                  <c:v>253</c:v>
                </c:pt>
                <c:pt idx="10" formatCode="0">
                  <c:v>253</c:v>
                </c:pt>
                <c:pt idx="11" formatCode="0">
                  <c:v>253</c:v>
                </c:pt>
                <c:pt idx="12" formatCode="0">
                  <c:v>253</c:v>
                </c:pt>
                <c:pt idx="13" formatCode="0">
                  <c:v>253</c:v>
                </c:pt>
                <c:pt idx="14" formatCode="0">
                  <c:v>253</c:v>
                </c:pt>
                <c:pt idx="15" formatCode="0">
                  <c:v>253</c:v>
                </c:pt>
                <c:pt idx="16" formatCode="0">
                  <c:v>253</c:v>
                </c:pt>
                <c:pt idx="17" formatCode="0">
                  <c:v>253</c:v>
                </c:pt>
                <c:pt idx="18" formatCode="0">
                  <c:v>253</c:v>
                </c:pt>
                <c:pt idx="19" formatCode="0">
                  <c:v>253</c:v>
                </c:pt>
                <c:pt idx="20" formatCode="0">
                  <c:v>253</c:v>
                </c:pt>
                <c:pt idx="21" formatCode="0">
                  <c:v>253</c:v>
                </c:pt>
                <c:pt idx="22" formatCode="0">
                  <c:v>253</c:v>
                </c:pt>
                <c:pt idx="23" formatCode="0">
                  <c:v>253</c:v>
                </c:pt>
                <c:pt idx="24" formatCode="0">
                  <c:v>253</c:v>
                </c:pt>
                <c:pt idx="25" formatCode="0">
                  <c:v>253</c:v>
                </c:pt>
                <c:pt idx="26" formatCode="0">
                  <c:v>253</c:v>
                </c:pt>
                <c:pt idx="27" formatCode="0">
                  <c:v>253</c:v>
                </c:pt>
                <c:pt idx="28" formatCode="0">
                  <c:v>253</c:v>
                </c:pt>
                <c:pt idx="29" formatCode="0">
                  <c:v>253</c:v>
                </c:pt>
                <c:pt idx="30" formatCode="0">
                  <c:v>253</c:v>
                </c:pt>
                <c:pt idx="31" formatCode="0">
                  <c:v>253</c:v>
                </c:pt>
                <c:pt idx="32" formatCode="0">
                  <c:v>253</c:v>
                </c:pt>
                <c:pt idx="33" formatCode="0">
                  <c:v>253</c:v>
                </c:pt>
                <c:pt idx="34" formatCode="0">
                  <c:v>253</c:v>
                </c:pt>
                <c:pt idx="35" formatCode="0">
                  <c:v>253</c:v>
                </c:pt>
                <c:pt idx="36" formatCode="0">
                  <c:v>253</c:v>
                </c:pt>
                <c:pt idx="37" formatCode="0">
                  <c:v>253</c:v>
                </c:pt>
                <c:pt idx="38" formatCode="0">
                  <c:v>253</c:v>
                </c:pt>
                <c:pt idx="39" formatCode="0">
                  <c:v>253</c:v>
                </c:pt>
                <c:pt idx="40" formatCode="0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Calculations!$O$2</c:f>
              <c:strCache>
                <c:ptCount val="1"/>
                <c:pt idx="0">
                  <c:v>OE 80% of new migration + new natural change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Calculations!$I$3:$I$43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Calculations!$O$3:$O$43</c:f>
              <c:numCache>
                <c:formatCode>General</c:formatCode>
                <c:ptCount val="41"/>
                <c:pt idx="3">
                  <c:v>906</c:v>
                </c:pt>
                <c:pt idx="4">
                  <c:v>728</c:v>
                </c:pt>
                <c:pt idx="5" formatCode="0">
                  <c:v>630.9</c:v>
                </c:pt>
                <c:pt idx="6" formatCode="0">
                  <c:v>427.03999999999996</c:v>
                </c:pt>
                <c:pt idx="7" formatCode="0">
                  <c:v>349.36</c:v>
                </c:pt>
                <c:pt idx="8" formatCode="0">
                  <c:v>272</c:v>
                </c:pt>
                <c:pt idx="9" formatCode="0">
                  <c:v>272</c:v>
                </c:pt>
                <c:pt idx="10" formatCode="0">
                  <c:v>272</c:v>
                </c:pt>
                <c:pt idx="11" formatCode="0">
                  <c:v>272</c:v>
                </c:pt>
                <c:pt idx="12" formatCode="0">
                  <c:v>272</c:v>
                </c:pt>
                <c:pt idx="13" formatCode="0">
                  <c:v>272</c:v>
                </c:pt>
                <c:pt idx="14" formatCode="0">
                  <c:v>272</c:v>
                </c:pt>
                <c:pt idx="15" formatCode="0">
                  <c:v>272</c:v>
                </c:pt>
                <c:pt idx="16" formatCode="0">
                  <c:v>272</c:v>
                </c:pt>
                <c:pt idx="17" formatCode="0">
                  <c:v>272</c:v>
                </c:pt>
                <c:pt idx="18" formatCode="0">
                  <c:v>272</c:v>
                </c:pt>
                <c:pt idx="19" formatCode="0">
                  <c:v>272</c:v>
                </c:pt>
                <c:pt idx="20" formatCode="0">
                  <c:v>272</c:v>
                </c:pt>
                <c:pt idx="21" formatCode="0">
                  <c:v>272</c:v>
                </c:pt>
                <c:pt idx="22" formatCode="0">
                  <c:v>272</c:v>
                </c:pt>
                <c:pt idx="23" formatCode="0">
                  <c:v>272</c:v>
                </c:pt>
                <c:pt idx="24" formatCode="0">
                  <c:v>272</c:v>
                </c:pt>
                <c:pt idx="25" formatCode="0">
                  <c:v>272</c:v>
                </c:pt>
                <c:pt idx="26" formatCode="0">
                  <c:v>272</c:v>
                </c:pt>
                <c:pt idx="27" formatCode="0">
                  <c:v>272</c:v>
                </c:pt>
                <c:pt idx="28" formatCode="0">
                  <c:v>272</c:v>
                </c:pt>
                <c:pt idx="29" formatCode="0">
                  <c:v>272</c:v>
                </c:pt>
                <c:pt idx="30" formatCode="0">
                  <c:v>272</c:v>
                </c:pt>
                <c:pt idx="31" formatCode="0">
                  <c:v>272</c:v>
                </c:pt>
                <c:pt idx="32" formatCode="0">
                  <c:v>272</c:v>
                </c:pt>
                <c:pt idx="33" formatCode="0">
                  <c:v>272</c:v>
                </c:pt>
                <c:pt idx="34" formatCode="0">
                  <c:v>272</c:v>
                </c:pt>
                <c:pt idx="35" formatCode="0">
                  <c:v>272</c:v>
                </c:pt>
                <c:pt idx="36" formatCode="0">
                  <c:v>272</c:v>
                </c:pt>
                <c:pt idx="37" formatCode="0">
                  <c:v>272</c:v>
                </c:pt>
                <c:pt idx="38" formatCode="0">
                  <c:v>272</c:v>
                </c:pt>
                <c:pt idx="39" formatCode="0">
                  <c:v>272</c:v>
                </c:pt>
                <c:pt idx="40" formatCode="0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23376781292169"/>
          <c:y val="7.0858408987828372E-2"/>
          <c:w val="0.63023088215667955"/>
          <c:h val="0.333773504940777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2830188679245"/>
          <c:w val="1"/>
          <c:h val="0.8075471698113208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Calculations!$R$2</c:f>
              <c:strCache>
                <c:ptCount val="1"/>
                <c:pt idx="0">
                  <c:v>OE 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Calculations!$Q$3:$Q$43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Calculations!$R$3:$R$43</c:f>
              <c:numCache>
                <c:formatCode>0</c:formatCode>
                <c:ptCount val="41"/>
                <c:pt idx="0">
                  <c:v>2.3600000000005821</c:v>
                </c:pt>
                <c:pt idx="1">
                  <c:v>18.421000000002095</c:v>
                </c:pt>
                <c:pt idx="2">
                  <c:v>12.972999999998137</c:v>
                </c:pt>
                <c:pt idx="3">
                  <c:v>-15.551999999993086</c:v>
                </c:pt>
                <c:pt idx="4">
                  <c:v>161.02000000000601</c:v>
                </c:pt>
                <c:pt idx="5">
                  <c:v>76.711999999980662</c:v>
                </c:pt>
                <c:pt idx="6">
                  <c:v>72.354000000016072</c:v>
                </c:pt>
                <c:pt idx="7">
                  <c:v>66.170000000007917</c:v>
                </c:pt>
                <c:pt idx="8">
                  <c:v>58.121000000003846</c:v>
                </c:pt>
                <c:pt idx="9">
                  <c:v>49.186999999995464</c:v>
                </c:pt>
                <c:pt idx="10">
                  <c:v>40.126000000008503</c:v>
                </c:pt>
                <c:pt idx="11">
                  <c:v>31.170999999992205</c:v>
                </c:pt>
                <c:pt idx="12">
                  <c:v>22.525000000013392</c:v>
                </c:pt>
                <c:pt idx="13">
                  <c:v>13.944000000007804</c:v>
                </c:pt>
                <c:pt idx="14">
                  <c:v>5.6669999999913898</c:v>
                </c:pt>
                <c:pt idx="15">
                  <c:v>-1.999000000006049</c:v>
                </c:pt>
                <c:pt idx="16">
                  <c:v>-7.8249999999778765</c:v>
                </c:pt>
                <c:pt idx="17">
                  <c:v>-11.677999999995222</c:v>
                </c:pt>
                <c:pt idx="18">
                  <c:v>-14.719000000021765</c:v>
                </c:pt>
                <c:pt idx="19">
                  <c:v>-17.20199999998556</c:v>
                </c:pt>
                <c:pt idx="20">
                  <c:v>-19.366000000004419</c:v>
                </c:pt>
                <c:pt idx="21">
                  <c:v>-21.944000000013034</c:v>
                </c:pt>
                <c:pt idx="22">
                  <c:v>-25.020999999974151</c:v>
                </c:pt>
                <c:pt idx="23">
                  <c:v>-28.14299999999173</c:v>
                </c:pt>
                <c:pt idx="24">
                  <c:v>-31.427999999980671</c:v>
                </c:pt>
                <c:pt idx="25">
                  <c:v>-36.161000000002673</c:v>
                </c:pt>
                <c:pt idx="26">
                  <c:v>-42.552000000005933</c:v>
                </c:pt>
                <c:pt idx="27">
                  <c:v>-49.422999999990566</c:v>
                </c:pt>
                <c:pt idx="28">
                  <c:v>-56.726999999994291</c:v>
                </c:pt>
                <c:pt idx="29">
                  <c:v>-64.534999999984279</c:v>
                </c:pt>
                <c:pt idx="30">
                  <c:v>-72.499000000006049</c:v>
                </c:pt>
                <c:pt idx="31">
                  <c:v>-80.290999999992778</c:v>
                </c:pt>
                <c:pt idx="32">
                  <c:v>-87.837999999998715</c:v>
                </c:pt>
                <c:pt idx="33">
                  <c:v>-95.058999999989169</c:v>
                </c:pt>
                <c:pt idx="34">
                  <c:v>-101.64199999998789</c:v>
                </c:pt>
                <c:pt idx="35">
                  <c:v>-107.2089999999979</c:v>
                </c:pt>
                <c:pt idx="36">
                  <c:v>-111.71699999999953</c:v>
                </c:pt>
                <c:pt idx="37">
                  <c:v>-115.04400000001885</c:v>
                </c:pt>
                <c:pt idx="38">
                  <c:v>-117.55699999999604</c:v>
                </c:pt>
                <c:pt idx="39">
                  <c:v>-119.07500000000698</c:v>
                </c:pt>
                <c:pt idx="40">
                  <c:v>-119.59399999999266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Calculations!$S$2</c:f>
              <c:strCache>
                <c:ptCount val="1"/>
                <c:pt idx="0">
                  <c:v>ONS 2022-based principal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Calculations!$Q$3:$Q$43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Calculations!$S$3:$S$43</c:f>
              <c:numCache>
                <c:formatCode>General</c:formatCode>
                <c:ptCount val="41"/>
                <c:pt idx="3">
                  <c:v>-16.263000000000002</c:v>
                </c:pt>
                <c:pt idx="4">
                  <c:v>5.7439999999999998</c:v>
                </c:pt>
                <c:pt idx="5">
                  <c:v>10.849</c:v>
                </c:pt>
                <c:pt idx="6">
                  <c:v>12.519</c:v>
                </c:pt>
                <c:pt idx="7">
                  <c:v>10.891999999999999</c:v>
                </c:pt>
                <c:pt idx="8">
                  <c:v>6.1849999999999996</c:v>
                </c:pt>
                <c:pt idx="9">
                  <c:v>-0.434</c:v>
                </c:pt>
                <c:pt idx="10">
                  <c:v>-7.67</c:v>
                </c:pt>
                <c:pt idx="11">
                  <c:v>-15.409000000000001</c:v>
                </c:pt>
                <c:pt idx="12">
                  <c:v>-23.387</c:v>
                </c:pt>
                <c:pt idx="13">
                  <c:v>-31.138999999999999</c:v>
                </c:pt>
                <c:pt idx="14">
                  <c:v>-38.414000000000001</c:v>
                </c:pt>
                <c:pt idx="15">
                  <c:v>-45.439</c:v>
                </c:pt>
                <c:pt idx="16">
                  <c:v>-52.067</c:v>
                </c:pt>
                <c:pt idx="17">
                  <c:v>-58.131999999999998</c:v>
                </c:pt>
                <c:pt idx="18">
                  <c:v>-63.603000000000002</c:v>
                </c:pt>
                <c:pt idx="19">
                  <c:v>-68.603999999999999</c:v>
                </c:pt>
                <c:pt idx="20">
                  <c:v>-73.248000000000005</c:v>
                </c:pt>
                <c:pt idx="21">
                  <c:v>-77.578999999999994</c:v>
                </c:pt>
                <c:pt idx="22">
                  <c:v>-81.680000000000007</c:v>
                </c:pt>
                <c:pt idx="23">
                  <c:v>-85.957999999999998</c:v>
                </c:pt>
                <c:pt idx="24">
                  <c:v>-90.734999999999999</c:v>
                </c:pt>
                <c:pt idx="25">
                  <c:v>-95.82</c:v>
                </c:pt>
                <c:pt idx="26">
                  <c:v>-101.185</c:v>
                </c:pt>
                <c:pt idx="27">
                  <c:v>-106.94799999999999</c:v>
                </c:pt>
                <c:pt idx="28">
                  <c:v>-114.07899999999999</c:v>
                </c:pt>
                <c:pt idx="29">
                  <c:v>-122.827</c:v>
                </c:pt>
                <c:pt idx="30">
                  <c:v>-132.15</c:v>
                </c:pt>
                <c:pt idx="31">
                  <c:v>-141.84700000000001</c:v>
                </c:pt>
                <c:pt idx="32">
                  <c:v>-151.584</c:v>
                </c:pt>
                <c:pt idx="33">
                  <c:v>-161.33699999999999</c:v>
                </c:pt>
                <c:pt idx="34">
                  <c:v>-170.87</c:v>
                </c:pt>
                <c:pt idx="35">
                  <c:v>-179.691</c:v>
                </c:pt>
                <c:pt idx="36">
                  <c:v>-187.381</c:v>
                </c:pt>
                <c:pt idx="37">
                  <c:v>-193.86099999999999</c:v>
                </c:pt>
                <c:pt idx="38">
                  <c:v>-199.291</c:v>
                </c:pt>
                <c:pt idx="39">
                  <c:v>-203.56399999999999</c:v>
                </c:pt>
                <c:pt idx="40">
                  <c:v>-206.71700000000001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Calculations!$T$2</c:f>
              <c:strCache>
                <c:ptCount val="1"/>
                <c:pt idx="0">
                  <c:v>ONS 2022-based migration category variant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Calculations!$Q$3:$Q$43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Calculations!$T$3:$T$43</c:f>
              <c:numCache>
                <c:formatCode>General</c:formatCode>
                <c:ptCount val="41"/>
                <c:pt idx="3">
                  <c:v>-16.263000000000002</c:v>
                </c:pt>
                <c:pt idx="4">
                  <c:v>5.7439999999999998</c:v>
                </c:pt>
                <c:pt idx="5">
                  <c:v>10.849</c:v>
                </c:pt>
                <c:pt idx="6">
                  <c:v>12.519</c:v>
                </c:pt>
                <c:pt idx="7">
                  <c:v>10.891999999999999</c:v>
                </c:pt>
                <c:pt idx="8">
                  <c:v>6.1849999999999996</c:v>
                </c:pt>
                <c:pt idx="9">
                  <c:v>-0.434</c:v>
                </c:pt>
                <c:pt idx="10">
                  <c:v>-7.67</c:v>
                </c:pt>
                <c:pt idx="11">
                  <c:v>-15.409000000000001</c:v>
                </c:pt>
                <c:pt idx="12">
                  <c:v>-23.387</c:v>
                </c:pt>
                <c:pt idx="13">
                  <c:v>-31.138999999999999</c:v>
                </c:pt>
                <c:pt idx="14">
                  <c:v>-38.414000000000001</c:v>
                </c:pt>
                <c:pt idx="15">
                  <c:v>-45.439</c:v>
                </c:pt>
                <c:pt idx="16">
                  <c:v>-52.067</c:v>
                </c:pt>
                <c:pt idx="17">
                  <c:v>-58.131999999999998</c:v>
                </c:pt>
                <c:pt idx="18">
                  <c:v>-63.603000000000002</c:v>
                </c:pt>
                <c:pt idx="19">
                  <c:v>-68.603999999999999</c:v>
                </c:pt>
                <c:pt idx="20">
                  <c:v>-73.248000000000005</c:v>
                </c:pt>
                <c:pt idx="21">
                  <c:v>-77.578999999999994</c:v>
                </c:pt>
                <c:pt idx="22">
                  <c:v>-81.680000000000007</c:v>
                </c:pt>
                <c:pt idx="23">
                  <c:v>-85.957999999999998</c:v>
                </c:pt>
                <c:pt idx="24">
                  <c:v>-90.734999999999999</c:v>
                </c:pt>
                <c:pt idx="25">
                  <c:v>-95.82</c:v>
                </c:pt>
                <c:pt idx="26">
                  <c:v>-101.185</c:v>
                </c:pt>
                <c:pt idx="27">
                  <c:v>-106.94799999999999</c:v>
                </c:pt>
                <c:pt idx="28">
                  <c:v>-114.07899999999999</c:v>
                </c:pt>
                <c:pt idx="29">
                  <c:v>-122.827</c:v>
                </c:pt>
                <c:pt idx="30">
                  <c:v>-132.15</c:v>
                </c:pt>
                <c:pt idx="31">
                  <c:v>-141.84700000000001</c:v>
                </c:pt>
                <c:pt idx="32">
                  <c:v>-151.584</c:v>
                </c:pt>
                <c:pt idx="33">
                  <c:v>-161.33699999999999</c:v>
                </c:pt>
                <c:pt idx="34">
                  <c:v>-170.87</c:v>
                </c:pt>
                <c:pt idx="35">
                  <c:v>-179.691</c:v>
                </c:pt>
                <c:pt idx="36">
                  <c:v>-187.381</c:v>
                </c:pt>
                <c:pt idx="37">
                  <c:v>-193.86099999999999</c:v>
                </c:pt>
                <c:pt idx="38">
                  <c:v>-199.291</c:v>
                </c:pt>
                <c:pt idx="39">
                  <c:v>-203.56399999999999</c:v>
                </c:pt>
                <c:pt idx="40">
                  <c:v>-206.71700000000001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Calculations!$U$2</c:f>
              <c:strCache>
                <c:ptCount val="1"/>
                <c:pt idx="0">
                  <c:v>ONS 2022-based low migration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Calculations!$Q$3:$Q$43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Calculations!$U$3:$U$43</c:f>
              <c:numCache>
                <c:formatCode>General</c:formatCode>
                <c:ptCount val="41"/>
                <c:pt idx="3">
                  <c:v>-16.263000000000002</c:v>
                </c:pt>
                <c:pt idx="4">
                  <c:v>5.7439999999999998</c:v>
                </c:pt>
                <c:pt idx="5">
                  <c:v>10.288</c:v>
                </c:pt>
                <c:pt idx="6">
                  <c:v>10.279</c:v>
                </c:pt>
                <c:pt idx="7">
                  <c:v>5.827</c:v>
                </c:pt>
                <c:pt idx="8">
                  <c:v>-2.895</c:v>
                </c:pt>
                <c:pt idx="9">
                  <c:v>-14.186</c:v>
                </c:pt>
                <c:pt idx="10">
                  <c:v>-26.231999999999999</c:v>
                </c:pt>
                <c:pt idx="11">
                  <c:v>-38.813000000000002</c:v>
                </c:pt>
                <c:pt idx="12">
                  <c:v>-51.677999999999997</c:v>
                </c:pt>
                <c:pt idx="13">
                  <c:v>-64.268000000000001</c:v>
                </c:pt>
                <c:pt idx="14">
                  <c:v>-76.338999999999999</c:v>
                </c:pt>
                <c:pt idx="15">
                  <c:v>-88.018000000000001</c:v>
                </c:pt>
                <c:pt idx="16">
                  <c:v>-99.03</c:v>
                </c:pt>
                <c:pt idx="17">
                  <c:v>-109.24</c:v>
                </c:pt>
                <c:pt idx="18">
                  <c:v>-118.523</c:v>
                </c:pt>
                <c:pt idx="19">
                  <c:v>-126.958</c:v>
                </c:pt>
                <c:pt idx="20">
                  <c:v>-134.68199999999999</c:v>
                </c:pt>
                <c:pt idx="21">
                  <c:v>-141.739</c:v>
                </c:pt>
                <c:pt idx="22">
                  <c:v>-148.251</c:v>
                </c:pt>
                <c:pt idx="23">
                  <c:v>-154.65700000000001</c:v>
                </c:pt>
                <c:pt idx="24">
                  <c:v>-161.25200000000001</c:v>
                </c:pt>
                <c:pt idx="25">
                  <c:v>-167.91499999999999</c:v>
                </c:pt>
                <c:pt idx="26">
                  <c:v>-174.727</c:v>
                </c:pt>
                <c:pt idx="27">
                  <c:v>-181.72900000000001</c:v>
                </c:pt>
                <c:pt idx="28">
                  <c:v>-189.857</c:v>
                </c:pt>
                <c:pt idx="29">
                  <c:v>-199.35599999999999</c:v>
                </c:pt>
                <c:pt idx="30">
                  <c:v>-209.429</c:v>
                </c:pt>
                <c:pt idx="31">
                  <c:v>-219.798</c:v>
                </c:pt>
                <c:pt idx="32">
                  <c:v>-230.208</c:v>
                </c:pt>
                <c:pt idx="33">
                  <c:v>-240.684</c:v>
                </c:pt>
                <c:pt idx="34">
                  <c:v>-250.98599999999999</c:v>
                </c:pt>
                <c:pt idx="35">
                  <c:v>-260.62299999999999</c:v>
                </c:pt>
                <c:pt idx="36">
                  <c:v>-269.20400000000001</c:v>
                </c:pt>
                <c:pt idx="37">
                  <c:v>-276.65100000000001</c:v>
                </c:pt>
                <c:pt idx="38">
                  <c:v>-283.04899999999998</c:v>
                </c:pt>
                <c:pt idx="39">
                  <c:v>-288.45299999999997</c:v>
                </c:pt>
                <c:pt idx="40">
                  <c:v>-292.75799999999998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Calculations!$V$2</c:f>
              <c:strCache>
                <c:ptCount val="1"/>
                <c:pt idx="0">
                  <c:v>OE old low variant + new natural change</c:v>
                </c:pt>
              </c:strCache>
            </c:strRef>
          </c:tx>
          <c:spPr>
            <a:ln w="38100">
              <a:solidFill>
                <a:srgbClr val="965793"/>
              </a:solidFill>
            </a:ln>
          </c:spPr>
          <c:marker>
            <c:symbol val="none"/>
          </c:marker>
          <c:cat>
            <c:numRef>
              <c:f>Calculations!$Q$3:$Q$43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Calculations!$V$3:$V$43</c:f>
              <c:numCache>
                <c:formatCode>General</c:formatCode>
                <c:ptCount val="41"/>
                <c:pt idx="3">
                  <c:v>-16.263000000000002</c:v>
                </c:pt>
                <c:pt idx="4">
                  <c:v>5.7439999999999998</c:v>
                </c:pt>
                <c:pt idx="5">
                  <c:v>10.849</c:v>
                </c:pt>
                <c:pt idx="6">
                  <c:v>12.519</c:v>
                </c:pt>
                <c:pt idx="7">
                  <c:v>10.891999999999999</c:v>
                </c:pt>
                <c:pt idx="8">
                  <c:v>6.1849999999999996</c:v>
                </c:pt>
                <c:pt idx="9">
                  <c:v>-0.434</c:v>
                </c:pt>
                <c:pt idx="10">
                  <c:v>-7.67</c:v>
                </c:pt>
                <c:pt idx="11">
                  <c:v>-15.409000000000001</c:v>
                </c:pt>
                <c:pt idx="12">
                  <c:v>-23.387</c:v>
                </c:pt>
                <c:pt idx="13">
                  <c:v>-31.138999999999999</c:v>
                </c:pt>
                <c:pt idx="14">
                  <c:v>-38.414000000000001</c:v>
                </c:pt>
                <c:pt idx="15">
                  <c:v>-45.439</c:v>
                </c:pt>
                <c:pt idx="16">
                  <c:v>-52.067</c:v>
                </c:pt>
                <c:pt idx="17">
                  <c:v>-58.131999999999998</c:v>
                </c:pt>
                <c:pt idx="18">
                  <c:v>-63.603000000000002</c:v>
                </c:pt>
                <c:pt idx="19">
                  <c:v>-68.603999999999999</c:v>
                </c:pt>
                <c:pt idx="20">
                  <c:v>-73.248000000000005</c:v>
                </c:pt>
                <c:pt idx="21">
                  <c:v>-77.578999999999994</c:v>
                </c:pt>
                <c:pt idx="22">
                  <c:v>-81.680000000000007</c:v>
                </c:pt>
                <c:pt idx="23">
                  <c:v>-85.957999999999998</c:v>
                </c:pt>
                <c:pt idx="24">
                  <c:v>-90.734999999999999</c:v>
                </c:pt>
                <c:pt idx="25">
                  <c:v>-95.82</c:v>
                </c:pt>
                <c:pt idx="26">
                  <c:v>-101.185</c:v>
                </c:pt>
                <c:pt idx="27">
                  <c:v>-106.94799999999999</c:v>
                </c:pt>
                <c:pt idx="28">
                  <c:v>-114.07899999999999</c:v>
                </c:pt>
                <c:pt idx="29">
                  <c:v>-122.827</c:v>
                </c:pt>
                <c:pt idx="30">
                  <c:v>-132.15</c:v>
                </c:pt>
                <c:pt idx="31">
                  <c:v>-141.84700000000001</c:v>
                </c:pt>
                <c:pt idx="32">
                  <c:v>-151.584</c:v>
                </c:pt>
                <c:pt idx="33">
                  <c:v>-161.33699999999999</c:v>
                </c:pt>
                <c:pt idx="34">
                  <c:v>-170.87</c:v>
                </c:pt>
                <c:pt idx="35">
                  <c:v>-179.691</c:v>
                </c:pt>
                <c:pt idx="36">
                  <c:v>-187.381</c:v>
                </c:pt>
                <c:pt idx="37">
                  <c:v>-193.86099999999999</c:v>
                </c:pt>
                <c:pt idx="38">
                  <c:v>-199.291</c:v>
                </c:pt>
                <c:pt idx="39">
                  <c:v>-203.56399999999999</c:v>
                </c:pt>
                <c:pt idx="40">
                  <c:v>-206.71700000000001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Calculations!$W$2</c:f>
              <c:strCache>
                <c:ptCount val="1"/>
                <c:pt idx="0">
                  <c:v>OE 80% of new migration + new natural change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Calculations!$Q$3:$Q$43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Calculations!$W$3:$W$43</c:f>
              <c:numCache>
                <c:formatCode>General</c:formatCode>
                <c:ptCount val="41"/>
                <c:pt idx="3">
                  <c:v>-16.263000000000002</c:v>
                </c:pt>
                <c:pt idx="4">
                  <c:v>5.7439999999999998</c:v>
                </c:pt>
                <c:pt idx="5">
                  <c:v>10.849</c:v>
                </c:pt>
                <c:pt idx="6">
                  <c:v>12.519</c:v>
                </c:pt>
                <c:pt idx="7">
                  <c:v>10.891999999999999</c:v>
                </c:pt>
                <c:pt idx="8">
                  <c:v>6.1849999999999996</c:v>
                </c:pt>
                <c:pt idx="9">
                  <c:v>-0.434</c:v>
                </c:pt>
                <c:pt idx="10">
                  <c:v>-7.67</c:v>
                </c:pt>
                <c:pt idx="11">
                  <c:v>-15.409000000000001</c:v>
                </c:pt>
                <c:pt idx="12">
                  <c:v>-23.387</c:v>
                </c:pt>
                <c:pt idx="13">
                  <c:v>-31.138999999999999</c:v>
                </c:pt>
                <c:pt idx="14">
                  <c:v>-38.414000000000001</c:v>
                </c:pt>
                <c:pt idx="15">
                  <c:v>-45.439</c:v>
                </c:pt>
                <c:pt idx="16">
                  <c:v>-52.067</c:v>
                </c:pt>
                <c:pt idx="17">
                  <c:v>-58.131999999999998</c:v>
                </c:pt>
                <c:pt idx="18">
                  <c:v>-63.603000000000002</c:v>
                </c:pt>
                <c:pt idx="19">
                  <c:v>-68.603999999999999</c:v>
                </c:pt>
                <c:pt idx="20">
                  <c:v>-73.248000000000005</c:v>
                </c:pt>
                <c:pt idx="21">
                  <c:v>-77.578999999999994</c:v>
                </c:pt>
                <c:pt idx="22">
                  <c:v>-81.680000000000007</c:v>
                </c:pt>
                <c:pt idx="23">
                  <c:v>-85.957999999999998</c:v>
                </c:pt>
                <c:pt idx="24">
                  <c:v>-90.734999999999999</c:v>
                </c:pt>
                <c:pt idx="25">
                  <c:v>-95.82</c:v>
                </c:pt>
                <c:pt idx="26">
                  <c:v>-101.185</c:v>
                </c:pt>
                <c:pt idx="27">
                  <c:v>-106.94799999999999</c:v>
                </c:pt>
                <c:pt idx="28">
                  <c:v>-114.07899999999999</c:v>
                </c:pt>
                <c:pt idx="29">
                  <c:v>-122.827</c:v>
                </c:pt>
                <c:pt idx="30">
                  <c:v>-132.15</c:v>
                </c:pt>
                <c:pt idx="31">
                  <c:v>-141.84700000000001</c:v>
                </c:pt>
                <c:pt idx="32">
                  <c:v>-151.584</c:v>
                </c:pt>
                <c:pt idx="33">
                  <c:v>-161.33699999999999</c:v>
                </c:pt>
                <c:pt idx="34">
                  <c:v>-170.87</c:v>
                </c:pt>
                <c:pt idx="35">
                  <c:v>-179.691</c:v>
                </c:pt>
                <c:pt idx="36">
                  <c:v>-187.381</c:v>
                </c:pt>
                <c:pt idx="37">
                  <c:v>-193.86099999999999</c:v>
                </c:pt>
                <c:pt idx="38">
                  <c:v>-199.291</c:v>
                </c:pt>
                <c:pt idx="39">
                  <c:v>-203.56399999999999</c:v>
                </c:pt>
                <c:pt idx="40">
                  <c:v>-206.71700000000001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6319049970233841"/>
          <c:y val="2.5577180210964192E-2"/>
          <c:w val="0.61834451774144605"/>
          <c:h val="0.3334586242757391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828714207334258E-2"/>
          <c:y val="0.14725688325786473"/>
          <c:w val="0.89488868128772026"/>
          <c:h val="0.7131870060151829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Data'!$B$2</c:f>
              <c:strCache>
                <c:ptCount val="1"/>
                <c:pt idx="0">
                  <c:v>2020-based (published Jan 2022)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Data'!$B$3:$B$43</c:f>
              <c:numCache>
                <c:formatCode>0</c:formatCode>
                <c:ptCount val="41"/>
                <c:pt idx="0">
                  <c:v>67081.233999999997</c:v>
                </c:pt>
                <c:pt idx="1">
                  <c:v>67350.695000000007</c:v>
                </c:pt>
                <c:pt idx="2">
                  <c:v>67595.823999999993</c:v>
                </c:pt>
                <c:pt idx="3">
                  <c:v>67844.315000000002</c:v>
                </c:pt>
                <c:pt idx="4">
                  <c:v>68081.792000000001</c:v>
                </c:pt>
                <c:pt idx="5">
                  <c:v>68304.932000000001</c:v>
                </c:pt>
                <c:pt idx="6">
                  <c:v>68512.085999999996</c:v>
                </c:pt>
                <c:pt idx="7">
                  <c:v>68701.986000000004</c:v>
                </c:pt>
                <c:pt idx="8">
                  <c:v>68881.062000000005</c:v>
                </c:pt>
                <c:pt idx="9">
                  <c:v>69049.388999999996</c:v>
                </c:pt>
                <c:pt idx="10">
                  <c:v>69207.197</c:v>
                </c:pt>
                <c:pt idx="11">
                  <c:v>69355.073999999993</c:v>
                </c:pt>
                <c:pt idx="12">
                  <c:v>69493.865999999995</c:v>
                </c:pt>
                <c:pt idx="13">
                  <c:v>69624.160000000003</c:v>
                </c:pt>
                <c:pt idx="14">
                  <c:v>69746.769</c:v>
                </c:pt>
                <c:pt idx="15">
                  <c:v>69862.985000000001</c:v>
                </c:pt>
                <c:pt idx="16">
                  <c:v>69975.245999999999</c:v>
                </c:pt>
                <c:pt idx="17">
                  <c:v>70086.048999999999</c:v>
                </c:pt>
                <c:pt idx="18">
                  <c:v>70196.441999999995</c:v>
                </c:pt>
                <c:pt idx="19">
                  <c:v>70307.057000000001</c:v>
                </c:pt>
                <c:pt idx="20">
                  <c:v>70418.383000000002</c:v>
                </c:pt>
                <c:pt idx="21">
                  <c:v>70530.082999999999</c:v>
                </c:pt>
                <c:pt idx="22">
                  <c:v>70641.542000000001</c:v>
                </c:pt>
                <c:pt idx="23">
                  <c:v>70752.322</c:v>
                </c:pt>
                <c:pt idx="24">
                  <c:v>70861.823999999993</c:v>
                </c:pt>
                <c:pt idx="25">
                  <c:v>70968.244000000006</c:v>
                </c:pt>
                <c:pt idx="26">
                  <c:v>71069.646999999997</c:v>
                </c:pt>
                <c:pt idx="27">
                  <c:v>71164.929000000004</c:v>
                </c:pt>
                <c:pt idx="28">
                  <c:v>71252.805999999997</c:v>
                </c:pt>
                <c:pt idx="29">
                  <c:v>71332.057000000001</c:v>
                </c:pt>
                <c:pt idx="30">
                  <c:v>71401.702000000005</c:v>
                </c:pt>
                <c:pt idx="31">
                  <c:v>71461.317999999999</c:v>
                </c:pt>
                <c:pt idx="32">
                  <c:v>71510.831999999995</c:v>
                </c:pt>
                <c:pt idx="33">
                  <c:v>71550.289000000004</c:v>
                </c:pt>
                <c:pt idx="34">
                  <c:v>71580.008000000002</c:v>
                </c:pt>
                <c:pt idx="35">
                  <c:v>71600.763000000006</c:v>
                </c:pt>
                <c:pt idx="36">
                  <c:v>71613.707999999999</c:v>
                </c:pt>
                <c:pt idx="37">
                  <c:v>71620.146999999997</c:v>
                </c:pt>
                <c:pt idx="38">
                  <c:v>71621.411999999997</c:v>
                </c:pt>
                <c:pt idx="39">
                  <c:v>71618.834000000003</c:v>
                </c:pt>
                <c:pt idx="40">
                  <c:v>71613.724000000002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2021-based (published Jan 2024)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Data'!$C$3:$C$43</c:f>
              <c:numCache>
                <c:formatCode>0</c:formatCode>
                <c:ptCount val="41"/>
                <c:pt idx="0">
                  <c:v>67081.233999999997</c:v>
                </c:pt>
                <c:pt idx="1">
                  <c:v>67026.292000000001</c:v>
                </c:pt>
                <c:pt idx="2">
                  <c:v>67661.747455160497</c:v>
                </c:pt>
                <c:pt idx="3">
                  <c:v>68350.236000000004</c:v>
                </c:pt>
                <c:pt idx="4">
                  <c:v>69025.202999999994</c:v>
                </c:pt>
                <c:pt idx="5">
                  <c:v>69630.376000000004</c:v>
                </c:pt>
                <c:pt idx="6">
                  <c:v>70160.187000000005</c:v>
                </c:pt>
                <c:pt idx="7">
                  <c:v>70612.832999999999</c:v>
                </c:pt>
                <c:pt idx="8">
                  <c:v>70985.959000000003</c:v>
                </c:pt>
                <c:pt idx="9">
                  <c:v>71350.150999999998</c:v>
                </c:pt>
                <c:pt idx="10">
                  <c:v>71705.282000000007</c:v>
                </c:pt>
                <c:pt idx="11">
                  <c:v>72051.457999999999</c:v>
                </c:pt>
                <c:pt idx="12">
                  <c:v>72388.987999999998</c:v>
                </c:pt>
                <c:pt idx="13">
                  <c:v>72717.937000000005</c:v>
                </c:pt>
                <c:pt idx="14">
                  <c:v>73038.608999999997</c:v>
                </c:pt>
                <c:pt idx="15">
                  <c:v>73351.615000000005</c:v>
                </c:pt>
                <c:pt idx="16">
                  <c:v>73658.794999999998</c:v>
                </c:pt>
                <c:pt idx="17">
                  <c:v>73962.122000000003</c:v>
                </c:pt>
                <c:pt idx="18">
                  <c:v>74262.407999999996</c:v>
                </c:pt>
                <c:pt idx="19">
                  <c:v>74560.210999999996</c:v>
                </c:pt>
                <c:pt idx="20">
                  <c:v>74855.850000000006</c:v>
                </c:pt>
                <c:pt idx="21">
                  <c:v>75148.910999999993</c:v>
                </c:pt>
                <c:pt idx="22">
                  <c:v>75438.895000000004</c:v>
                </c:pt>
                <c:pt idx="23">
                  <c:v>75725.756999999998</c:v>
                </c:pt>
                <c:pt idx="24">
                  <c:v>76009.334000000003</c:v>
                </c:pt>
                <c:pt idx="25">
                  <c:v>76288.178</c:v>
                </c:pt>
                <c:pt idx="26">
                  <c:v>76560.630999999994</c:v>
                </c:pt>
                <c:pt idx="27">
                  <c:v>76826.213000000003</c:v>
                </c:pt>
                <c:pt idx="28">
                  <c:v>77084.490999999995</c:v>
                </c:pt>
                <c:pt idx="29">
                  <c:v>77334.960999999996</c:v>
                </c:pt>
                <c:pt idx="30">
                  <c:v>77577.467000000004</c:v>
                </c:pt>
                <c:pt idx="31">
                  <c:v>77812.180999999997</c:v>
                </c:pt>
                <c:pt idx="32">
                  <c:v>78039.347999999998</c:v>
                </c:pt>
                <c:pt idx="33">
                  <c:v>78259.293999999994</c:v>
                </c:pt>
                <c:pt idx="34">
                  <c:v>78472.657000000007</c:v>
                </c:pt>
                <c:pt idx="35">
                  <c:v>78680.452999999994</c:v>
                </c:pt>
                <c:pt idx="36">
                  <c:v>78883.740999999995</c:v>
                </c:pt>
                <c:pt idx="37">
                  <c:v>79083.702000000005</c:v>
                </c:pt>
                <c:pt idx="38">
                  <c:v>79281.149999999994</c:v>
                </c:pt>
                <c:pt idx="39">
                  <c:v>79477.08</c:v>
                </c:pt>
                <c:pt idx="40">
                  <c:v>79672.490999999995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0"/>
          <c:order val="2"/>
          <c:tx>
            <c:strRef>
              <c:f>'Chart Data'!$D$2</c:f>
              <c:strCache>
                <c:ptCount val="1"/>
                <c:pt idx="0">
                  <c:v>2022-based (published Jan 2025)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Data'!$A$3:$A$43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Data'!$D$3:$D$43</c:f>
              <c:numCache>
                <c:formatCode>0</c:formatCode>
                <c:ptCount val="41"/>
                <c:pt idx="0">
                  <c:v>66744.066999999995</c:v>
                </c:pt>
                <c:pt idx="1">
                  <c:v>66983.487999999998</c:v>
                </c:pt>
                <c:pt idx="2">
                  <c:v>67602.760999999999</c:v>
                </c:pt>
                <c:pt idx="3">
                  <c:v>68492.494999999995</c:v>
                </c:pt>
                <c:pt idx="4">
                  <c:v>69226.231</c:v>
                </c:pt>
                <c:pt idx="5">
                  <c:v>69867.979000000007</c:v>
                </c:pt>
                <c:pt idx="6">
                  <c:v>70414.3</c:v>
                </c:pt>
                <c:pt idx="7">
                  <c:v>70861.913</c:v>
                </c:pt>
                <c:pt idx="8">
                  <c:v>71208.100999999995</c:v>
                </c:pt>
                <c:pt idx="9">
                  <c:v>71547.661999999997</c:v>
                </c:pt>
                <c:pt idx="10">
                  <c:v>71879.987999999998</c:v>
                </c:pt>
                <c:pt idx="11">
                  <c:v>72204.573999999993</c:v>
                </c:pt>
                <c:pt idx="12">
                  <c:v>72521.172999999995</c:v>
                </c:pt>
                <c:pt idx="13">
                  <c:v>72830.020999999993</c:v>
                </c:pt>
                <c:pt idx="14">
                  <c:v>73131.596999999994</c:v>
                </c:pt>
                <c:pt idx="15">
                  <c:v>73426.168000000005</c:v>
                </c:pt>
                <c:pt idx="16">
                  <c:v>73714.089000000007</c:v>
                </c:pt>
                <c:pt idx="17">
                  <c:v>73995.941000000006</c:v>
                </c:pt>
                <c:pt idx="18">
                  <c:v>74272.334000000003</c:v>
                </c:pt>
                <c:pt idx="19">
                  <c:v>74543.737999999998</c:v>
                </c:pt>
                <c:pt idx="20">
                  <c:v>74810.478000000003</c:v>
                </c:pt>
                <c:pt idx="21">
                  <c:v>75072.892000000007</c:v>
                </c:pt>
                <c:pt idx="22">
                  <c:v>75331.209000000003</c:v>
                </c:pt>
                <c:pt idx="23">
                  <c:v>75585.236000000004</c:v>
                </c:pt>
                <c:pt idx="24">
                  <c:v>75834.506999999998</c:v>
                </c:pt>
                <c:pt idx="25">
                  <c:v>76078.686000000002</c:v>
                </c:pt>
                <c:pt idx="26">
                  <c:v>76317.48</c:v>
                </c:pt>
                <c:pt idx="27">
                  <c:v>76550.535000000003</c:v>
                </c:pt>
                <c:pt idx="28">
                  <c:v>76776.460000000006</c:v>
                </c:pt>
                <c:pt idx="29">
                  <c:v>76993.637000000002</c:v>
                </c:pt>
                <c:pt idx="30">
                  <c:v>77201.482999999993</c:v>
                </c:pt>
                <c:pt idx="31">
                  <c:v>77399.645000000004</c:v>
                </c:pt>
                <c:pt idx="32">
                  <c:v>77588.048999999999</c:v>
                </c:pt>
                <c:pt idx="33">
                  <c:v>77766.710000000006</c:v>
                </c:pt>
                <c:pt idx="34">
                  <c:v>77935.834000000003</c:v>
                </c:pt>
                <c:pt idx="35">
                  <c:v>78096.133000000002</c:v>
                </c:pt>
                <c:pt idx="36">
                  <c:v>78248.758000000002</c:v>
                </c:pt>
                <c:pt idx="37">
                  <c:v>78394.895999999993</c:v>
                </c:pt>
                <c:pt idx="38">
                  <c:v>78535.61</c:v>
                </c:pt>
                <c:pt idx="39">
                  <c:v>78672.035999999993</c:v>
                </c:pt>
                <c:pt idx="40">
                  <c:v>78805.316999999995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66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004816347109154"/>
          <c:y val="9.7513625244436519E-2"/>
          <c:w val="0.63228672687100551"/>
          <c:h val="0.187409010134356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828714207334258E-2"/>
          <c:y val="0.14725688325786473"/>
          <c:w val="0.89488868128772026"/>
          <c:h val="0.7131870060151829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Data'!$G$2</c:f>
              <c:strCache>
                <c:ptCount val="1"/>
                <c:pt idx="0">
                  <c:v>2020-based (published Jan 2022)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Data'!$F$3:$F$43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Data'!$G$3:$G$43</c:f>
              <c:numCache>
                <c:formatCode>0</c:formatCode>
                <c:ptCount val="41"/>
                <c:pt idx="0">
                  <c:v>247</c:v>
                </c:pt>
                <c:pt idx="1">
                  <c:v>244.49799999999999</c:v>
                </c:pt>
                <c:pt idx="2">
                  <c:v>244.49799999999999</c:v>
                </c:pt>
                <c:pt idx="3">
                  <c:v>236.989</c:v>
                </c:pt>
                <c:pt idx="4">
                  <c:v>231.01499999999999</c:v>
                </c:pt>
                <c:pt idx="5">
                  <c:v>224.00399999999999</c:v>
                </c:pt>
                <c:pt idx="6">
                  <c:v>217</c:v>
                </c:pt>
                <c:pt idx="7">
                  <c:v>211.51400000000001</c:v>
                </c:pt>
                <c:pt idx="8">
                  <c:v>205.011</c:v>
                </c:pt>
                <c:pt idx="9">
                  <c:v>205.011</c:v>
                </c:pt>
                <c:pt idx="10">
                  <c:v>205.011</c:v>
                </c:pt>
                <c:pt idx="11">
                  <c:v>205.011</c:v>
                </c:pt>
                <c:pt idx="12">
                  <c:v>205.011</c:v>
                </c:pt>
                <c:pt idx="13">
                  <c:v>205.011</c:v>
                </c:pt>
                <c:pt idx="14">
                  <c:v>205.011</c:v>
                </c:pt>
                <c:pt idx="15">
                  <c:v>205.011</c:v>
                </c:pt>
                <c:pt idx="16">
                  <c:v>205.011</c:v>
                </c:pt>
                <c:pt idx="17">
                  <c:v>205.011</c:v>
                </c:pt>
                <c:pt idx="18">
                  <c:v>205.011</c:v>
                </c:pt>
                <c:pt idx="19">
                  <c:v>205.011</c:v>
                </c:pt>
                <c:pt idx="20">
                  <c:v>205.011</c:v>
                </c:pt>
                <c:pt idx="21">
                  <c:v>205.011</c:v>
                </c:pt>
                <c:pt idx="22">
                  <c:v>205.011</c:v>
                </c:pt>
                <c:pt idx="23">
                  <c:v>205.011</c:v>
                </c:pt>
                <c:pt idx="24">
                  <c:v>205.011</c:v>
                </c:pt>
                <c:pt idx="25">
                  <c:v>205.011</c:v>
                </c:pt>
                <c:pt idx="26">
                  <c:v>205.011</c:v>
                </c:pt>
                <c:pt idx="27">
                  <c:v>205.011</c:v>
                </c:pt>
                <c:pt idx="28">
                  <c:v>205.011</c:v>
                </c:pt>
                <c:pt idx="29">
                  <c:v>205.011</c:v>
                </c:pt>
                <c:pt idx="30">
                  <c:v>205.011</c:v>
                </c:pt>
                <c:pt idx="31">
                  <c:v>205.011</c:v>
                </c:pt>
                <c:pt idx="32">
                  <c:v>205.011</c:v>
                </c:pt>
                <c:pt idx="33">
                  <c:v>205.011</c:v>
                </c:pt>
                <c:pt idx="34">
                  <c:v>205.011</c:v>
                </c:pt>
                <c:pt idx="35">
                  <c:v>205.011</c:v>
                </c:pt>
                <c:pt idx="36">
                  <c:v>205.011</c:v>
                </c:pt>
                <c:pt idx="37">
                  <c:v>205.011</c:v>
                </c:pt>
                <c:pt idx="38">
                  <c:v>205.011</c:v>
                </c:pt>
                <c:pt idx="39">
                  <c:v>205.011</c:v>
                </c:pt>
                <c:pt idx="40">
                  <c:v>205.011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A-4A7E-9425-BF0356A8835B}"/>
            </c:ext>
          </c:extLst>
        </c:ser>
        <c:ser>
          <c:idx val="1"/>
          <c:order val="1"/>
          <c:tx>
            <c:strRef>
              <c:f>'Chart Data'!$H$2</c:f>
              <c:strCache>
                <c:ptCount val="1"/>
                <c:pt idx="0">
                  <c:v>2021-based (published Jan 2024)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Data'!$F$3:$F$43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Data'!$H$3:$H$43</c:f>
              <c:numCache>
                <c:formatCode>0</c:formatCode>
                <c:ptCount val="41"/>
                <c:pt idx="0">
                  <c:v>111</c:v>
                </c:pt>
                <c:pt idx="1">
                  <c:v>221</c:v>
                </c:pt>
                <c:pt idx="2">
                  <c:v>595.84</c:v>
                </c:pt>
                <c:pt idx="3">
                  <c:v>670.12800000000004</c:v>
                </c:pt>
                <c:pt idx="4">
                  <c:v>598.97400000000005</c:v>
                </c:pt>
                <c:pt idx="5">
                  <c:v>528.46100000000001</c:v>
                </c:pt>
                <c:pt idx="6">
                  <c:v>457.45699999999999</c:v>
                </c:pt>
                <c:pt idx="7">
                  <c:v>386.476</c:v>
                </c:pt>
                <c:pt idx="8">
                  <c:v>315.005</c:v>
                </c:pt>
                <c:pt idx="9">
                  <c:v>315.005</c:v>
                </c:pt>
                <c:pt idx="10">
                  <c:v>315.005</c:v>
                </c:pt>
                <c:pt idx="11">
                  <c:v>315.005</c:v>
                </c:pt>
                <c:pt idx="12">
                  <c:v>315.005</c:v>
                </c:pt>
                <c:pt idx="13">
                  <c:v>315.005</c:v>
                </c:pt>
                <c:pt idx="14">
                  <c:v>315.005</c:v>
                </c:pt>
                <c:pt idx="15">
                  <c:v>315.005</c:v>
                </c:pt>
                <c:pt idx="16">
                  <c:v>315.005</c:v>
                </c:pt>
                <c:pt idx="17">
                  <c:v>315.005</c:v>
                </c:pt>
                <c:pt idx="18">
                  <c:v>315.005</c:v>
                </c:pt>
                <c:pt idx="19">
                  <c:v>315.005</c:v>
                </c:pt>
                <c:pt idx="20">
                  <c:v>315.005</c:v>
                </c:pt>
                <c:pt idx="21">
                  <c:v>315.005</c:v>
                </c:pt>
                <c:pt idx="22">
                  <c:v>315.005</c:v>
                </c:pt>
                <c:pt idx="23">
                  <c:v>315.005</c:v>
                </c:pt>
                <c:pt idx="24">
                  <c:v>315.005</c:v>
                </c:pt>
                <c:pt idx="25">
                  <c:v>315.005</c:v>
                </c:pt>
                <c:pt idx="26">
                  <c:v>315.005</c:v>
                </c:pt>
                <c:pt idx="27">
                  <c:v>315.005</c:v>
                </c:pt>
                <c:pt idx="28">
                  <c:v>315.005</c:v>
                </c:pt>
                <c:pt idx="29">
                  <c:v>315.005</c:v>
                </c:pt>
                <c:pt idx="30">
                  <c:v>315.005</c:v>
                </c:pt>
                <c:pt idx="31">
                  <c:v>315.005</c:v>
                </c:pt>
                <c:pt idx="32">
                  <c:v>315.005</c:v>
                </c:pt>
                <c:pt idx="33">
                  <c:v>315.005</c:v>
                </c:pt>
                <c:pt idx="34">
                  <c:v>315.005</c:v>
                </c:pt>
                <c:pt idx="35">
                  <c:v>315.005</c:v>
                </c:pt>
                <c:pt idx="36">
                  <c:v>315.005</c:v>
                </c:pt>
                <c:pt idx="37">
                  <c:v>315.005</c:v>
                </c:pt>
                <c:pt idx="38">
                  <c:v>315.005</c:v>
                </c:pt>
                <c:pt idx="39">
                  <c:v>315.005</c:v>
                </c:pt>
                <c:pt idx="40">
                  <c:v>315.005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A-4A7E-9425-BF0356A8835B}"/>
            </c:ext>
          </c:extLst>
        </c:ser>
        <c:ser>
          <c:idx val="0"/>
          <c:order val="2"/>
          <c:tx>
            <c:strRef>
              <c:f>'Chart Data'!$I$2</c:f>
              <c:strCache>
                <c:ptCount val="1"/>
                <c:pt idx="0">
                  <c:v>2022-based (published Jan 2025)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Data'!$F$3:$F$43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Data'!$I$3:$I$43</c:f>
              <c:numCache>
                <c:formatCode>0</c:formatCode>
                <c:ptCount val="41"/>
                <c:pt idx="0">
                  <c:v>111</c:v>
                </c:pt>
                <c:pt idx="1">
                  <c:v>221</c:v>
                </c:pt>
                <c:pt idx="2">
                  <c:v>607</c:v>
                </c:pt>
                <c:pt idx="3">
                  <c:v>906</c:v>
                </c:pt>
                <c:pt idx="4">
                  <c:v>728</c:v>
                </c:pt>
                <c:pt idx="5">
                  <c:v>630.9</c:v>
                </c:pt>
                <c:pt idx="6">
                  <c:v>533.79999999999995</c:v>
                </c:pt>
                <c:pt idx="7">
                  <c:v>436.7</c:v>
                </c:pt>
                <c:pt idx="8">
                  <c:v>340</c:v>
                </c:pt>
                <c:pt idx="9">
                  <c:v>340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340</c:v>
                </c:pt>
                <c:pt idx="14">
                  <c:v>340</c:v>
                </c:pt>
                <c:pt idx="15">
                  <c:v>340</c:v>
                </c:pt>
                <c:pt idx="16">
                  <c:v>340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340</c:v>
                </c:pt>
                <c:pt idx="21">
                  <c:v>340</c:v>
                </c:pt>
                <c:pt idx="22">
                  <c:v>340</c:v>
                </c:pt>
                <c:pt idx="23">
                  <c:v>340</c:v>
                </c:pt>
                <c:pt idx="24">
                  <c:v>340</c:v>
                </c:pt>
                <c:pt idx="25">
                  <c:v>340</c:v>
                </c:pt>
                <c:pt idx="26">
                  <c:v>340</c:v>
                </c:pt>
                <c:pt idx="27">
                  <c:v>340</c:v>
                </c:pt>
                <c:pt idx="28">
                  <c:v>340</c:v>
                </c:pt>
                <c:pt idx="29">
                  <c:v>340</c:v>
                </c:pt>
                <c:pt idx="30">
                  <c:v>340</c:v>
                </c:pt>
                <c:pt idx="31">
                  <c:v>340</c:v>
                </c:pt>
                <c:pt idx="32">
                  <c:v>340</c:v>
                </c:pt>
                <c:pt idx="33">
                  <c:v>340</c:v>
                </c:pt>
                <c:pt idx="34">
                  <c:v>340</c:v>
                </c:pt>
                <c:pt idx="35">
                  <c:v>340</c:v>
                </c:pt>
                <c:pt idx="36">
                  <c:v>340</c:v>
                </c:pt>
                <c:pt idx="37">
                  <c:v>340</c:v>
                </c:pt>
                <c:pt idx="38">
                  <c:v>340</c:v>
                </c:pt>
                <c:pt idx="39">
                  <c:v>340</c:v>
                </c:pt>
                <c:pt idx="40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A-4A7E-9425-BF0356A88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004816347109154"/>
          <c:y val="9.7513625244436519E-2"/>
          <c:w val="0.63228672687100551"/>
          <c:h val="0.187409010134356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828714207334258E-2"/>
          <c:y val="0.14725688325786473"/>
          <c:w val="0.89488868128772026"/>
          <c:h val="0.7131870060151829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Data'!$L$2</c:f>
              <c:strCache>
                <c:ptCount val="1"/>
                <c:pt idx="0">
                  <c:v>2020-based (published Jan 2022)</c:v>
                </c:pt>
              </c:strCache>
            </c:strRef>
          </c:tx>
          <c:spPr>
            <a:ln w="38100">
              <a:solidFill>
                <a:srgbClr val="BD1B21">
                  <a:alpha val="99000"/>
                </a:srgbClr>
              </a:solidFill>
            </a:ln>
          </c:spPr>
          <c:marker>
            <c:symbol val="none"/>
          </c:marker>
          <c:cat>
            <c:numRef>
              <c:f>'Chart Data'!$K$3:$K$43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Data'!$L$3:$L$43</c:f>
              <c:numCache>
                <c:formatCode>0</c:formatCode>
                <c:ptCount val="41"/>
                <c:pt idx="0">
                  <c:v>37.426999999996042</c:v>
                </c:pt>
                <c:pt idx="1">
                  <c:v>24.96299999998115</c:v>
                </c:pt>
                <c:pt idx="2">
                  <c:v>24.963000000000001</c:v>
                </c:pt>
                <c:pt idx="3">
                  <c:v>8.14</c:v>
                </c:pt>
                <c:pt idx="4">
                  <c:v>17.475999999999999</c:v>
                </c:pt>
                <c:pt idx="5">
                  <c:v>13.473000000000001</c:v>
                </c:pt>
                <c:pt idx="6">
                  <c:v>6.14</c:v>
                </c:pt>
                <c:pt idx="7">
                  <c:v>-4.3600000000000003</c:v>
                </c:pt>
                <c:pt idx="8">
                  <c:v>-15.111000000000001</c:v>
                </c:pt>
                <c:pt idx="9">
                  <c:v>-25.934999999999999</c:v>
                </c:pt>
                <c:pt idx="10">
                  <c:v>-36.683999999999997</c:v>
                </c:pt>
                <c:pt idx="11">
                  <c:v>-47.203000000000003</c:v>
                </c:pt>
                <c:pt idx="12">
                  <c:v>-57.134</c:v>
                </c:pt>
                <c:pt idx="13">
                  <c:v>-66.218999999999994</c:v>
                </c:pt>
                <c:pt idx="14">
                  <c:v>-74.716999999999999</c:v>
                </c:pt>
                <c:pt idx="15">
                  <c:v>-82.402000000000001</c:v>
                </c:pt>
                <c:pt idx="16">
                  <c:v>-88.795000000000002</c:v>
                </c:pt>
                <c:pt idx="17">
                  <c:v>-92.75</c:v>
                </c:pt>
                <c:pt idx="18">
                  <c:v>-94.207999999999998</c:v>
                </c:pt>
                <c:pt idx="19">
                  <c:v>-94.617999999999995</c:v>
                </c:pt>
                <c:pt idx="20">
                  <c:v>-94.396000000000001</c:v>
                </c:pt>
                <c:pt idx="21">
                  <c:v>-93.685000000000002</c:v>
                </c:pt>
                <c:pt idx="22">
                  <c:v>-93.311000000000007</c:v>
                </c:pt>
                <c:pt idx="23">
                  <c:v>-93.552000000000007</c:v>
                </c:pt>
                <c:pt idx="24">
                  <c:v>-94.230999999999995</c:v>
                </c:pt>
                <c:pt idx="25">
                  <c:v>-95.509</c:v>
                </c:pt>
                <c:pt idx="26">
                  <c:v>-98.590999999999994</c:v>
                </c:pt>
                <c:pt idx="27">
                  <c:v>-103.608</c:v>
                </c:pt>
                <c:pt idx="28">
                  <c:v>-109.729</c:v>
                </c:pt>
                <c:pt idx="29">
                  <c:v>-117.134</c:v>
                </c:pt>
                <c:pt idx="30">
                  <c:v>-125.76</c:v>
                </c:pt>
                <c:pt idx="31">
                  <c:v>-135.36600000000001</c:v>
                </c:pt>
                <c:pt idx="32">
                  <c:v>-145.39500000000001</c:v>
                </c:pt>
                <c:pt idx="33">
                  <c:v>-155.49700000000001</c:v>
                </c:pt>
                <c:pt idx="34">
                  <c:v>-165.554</c:v>
                </c:pt>
                <c:pt idx="35">
                  <c:v>-175.292</c:v>
                </c:pt>
                <c:pt idx="36">
                  <c:v>-184.256</c:v>
                </c:pt>
                <c:pt idx="37">
                  <c:v>-192.066</c:v>
                </c:pt>
                <c:pt idx="38">
                  <c:v>-198.572</c:v>
                </c:pt>
                <c:pt idx="39">
                  <c:v>-203.74600000000001</c:v>
                </c:pt>
                <c:pt idx="40">
                  <c:v>-207.589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E-41CF-B299-6ED5ECCEE509}"/>
            </c:ext>
          </c:extLst>
        </c:ser>
        <c:ser>
          <c:idx val="1"/>
          <c:order val="1"/>
          <c:tx>
            <c:strRef>
              <c:f>'Chart Data'!$M$2</c:f>
              <c:strCache>
                <c:ptCount val="1"/>
                <c:pt idx="0">
                  <c:v>2021-based (published Jan 2024)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Data'!$K$3:$K$43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Data'!$M$3:$M$43</c:f>
              <c:numCache>
                <c:formatCode>0</c:formatCode>
                <c:ptCount val="41"/>
                <c:pt idx="0">
                  <c:v>-37.426999999996042</c:v>
                </c:pt>
                <c:pt idx="1">
                  <c:v>-24.96299999998115</c:v>
                </c:pt>
                <c:pt idx="2">
                  <c:v>39.615455160496026</c:v>
                </c:pt>
                <c:pt idx="3">
                  <c:v>0.91600000000000004</c:v>
                </c:pt>
                <c:pt idx="4">
                  <c:v>75.986999999999995</c:v>
                </c:pt>
                <c:pt idx="5">
                  <c:v>76.728999999999999</c:v>
                </c:pt>
                <c:pt idx="6">
                  <c:v>72.355000000000004</c:v>
                </c:pt>
                <c:pt idx="7">
                  <c:v>66.147999999999996</c:v>
                </c:pt>
                <c:pt idx="8">
                  <c:v>58.143999999999998</c:v>
                </c:pt>
                <c:pt idx="9">
                  <c:v>49.195</c:v>
                </c:pt>
                <c:pt idx="10">
                  <c:v>40.142000000000003</c:v>
                </c:pt>
                <c:pt idx="11">
                  <c:v>31.166</c:v>
                </c:pt>
                <c:pt idx="12">
                  <c:v>22.515999999999998</c:v>
                </c:pt>
                <c:pt idx="13">
                  <c:v>13.951000000000001</c:v>
                </c:pt>
                <c:pt idx="14">
                  <c:v>5.64</c:v>
                </c:pt>
                <c:pt idx="15">
                  <c:v>-1.9950000000000001</c:v>
                </c:pt>
                <c:pt idx="16">
                  <c:v>-7.8390000000000004</c:v>
                </c:pt>
                <c:pt idx="17">
                  <c:v>-11.675000000000001</c:v>
                </c:pt>
                <c:pt idx="18">
                  <c:v>-14.705</c:v>
                </c:pt>
                <c:pt idx="19">
                  <c:v>-17.209</c:v>
                </c:pt>
                <c:pt idx="20">
                  <c:v>-19.361000000000001</c:v>
                </c:pt>
                <c:pt idx="21">
                  <c:v>-21.946000000000002</c:v>
                </c:pt>
                <c:pt idx="22">
                  <c:v>-25.032</c:v>
                </c:pt>
                <c:pt idx="23">
                  <c:v>-28.146000000000001</c:v>
                </c:pt>
                <c:pt idx="24">
                  <c:v>-31.45</c:v>
                </c:pt>
                <c:pt idx="25">
                  <c:v>-36.174999999999997</c:v>
                </c:pt>
                <c:pt idx="26">
                  <c:v>-42.566000000000003</c:v>
                </c:pt>
                <c:pt idx="27">
                  <c:v>-49.430999999999997</c:v>
                </c:pt>
                <c:pt idx="28">
                  <c:v>-56.749000000000002</c:v>
                </c:pt>
                <c:pt idx="29">
                  <c:v>-64.525999999999996</c:v>
                </c:pt>
                <c:pt idx="30">
                  <c:v>-72.492999999999995</c:v>
                </c:pt>
                <c:pt idx="31">
                  <c:v>-80.293000000000006</c:v>
                </c:pt>
                <c:pt idx="32">
                  <c:v>-87.82</c:v>
                </c:pt>
                <c:pt idx="33">
                  <c:v>-95.042000000000002</c:v>
                </c:pt>
                <c:pt idx="34">
                  <c:v>-101.633</c:v>
                </c:pt>
                <c:pt idx="35">
                  <c:v>-107.212</c:v>
                </c:pt>
                <c:pt idx="36">
                  <c:v>-111.69799999999999</c:v>
                </c:pt>
                <c:pt idx="37">
                  <c:v>-115.06100000000001</c:v>
                </c:pt>
                <c:pt idx="38">
                  <c:v>-117.54</c:v>
                </c:pt>
                <c:pt idx="39">
                  <c:v>-119.077</c:v>
                </c:pt>
                <c:pt idx="40">
                  <c:v>-119.607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E-41CF-B299-6ED5ECCEE509}"/>
            </c:ext>
          </c:extLst>
        </c:ser>
        <c:ser>
          <c:idx val="0"/>
          <c:order val="2"/>
          <c:tx>
            <c:strRef>
              <c:f>'Chart Data'!$N$2</c:f>
              <c:strCache>
                <c:ptCount val="1"/>
                <c:pt idx="0">
                  <c:v>2022-based (published Jan 2025)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Data'!$K$3:$K$43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Data'!$N$3:$N$43</c:f>
              <c:numCache>
                <c:formatCode>0</c:formatCode>
                <c:ptCount val="41"/>
                <c:pt idx="0">
                  <c:v>2.3600000000005821</c:v>
                </c:pt>
                <c:pt idx="1">
                  <c:v>18.421000000002095</c:v>
                </c:pt>
                <c:pt idx="2">
                  <c:v>12.972999999998137</c:v>
                </c:pt>
                <c:pt idx="3">
                  <c:v>-16.263000000000002</c:v>
                </c:pt>
                <c:pt idx="4">
                  <c:v>5.7439999999999998</c:v>
                </c:pt>
                <c:pt idx="5">
                  <c:v>10.849</c:v>
                </c:pt>
                <c:pt idx="6">
                  <c:v>12.519</c:v>
                </c:pt>
                <c:pt idx="7">
                  <c:v>10.891999999999999</c:v>
                </c:pt>
                <c:pt idx="8">
                  <c:v>6.1849999999999996</c:v>
                </c:pt>
                <c:pt idx="9">
                  <c:v>-0.434</c:v>
                </c:pt>
                <c:pt idx="10">
                  <c:v>-7.67</c:v>
                </c:pt>
                <c:pt idx="11">
                  <c:v>-15.409000000000001</c:v>
                </c:pt>
                <c:pt idx="12">
                  <c:v>-23.387</c:v>
                </c:pt>
                <c:pt idx="13">
                  <c:v>-31.138999999999999</c:v>
                </c:pt>
                <c:pt idx="14">
                  <c:v>-38.414000000000001</c:v>
                </c:pt>
                <c:pt idx="15">
                  <c:v>-45.439</c:v>
                </c:pt>
                <c:pt idx="16">
                  <c:v>-52.067</c:v>
                </c:pt>
                <c:pt idx="17">
                  <c:v>-58.131999999999998</c:v>
                </c:pt>
                <c:pt idx="18">
                  <c:v>-63.603000000000002</c:v>
                </c:pt>
                <c:pt idx="19">
                  <c:v>-68.603999999999999</c:v>
                </c:pt>
                <c:pt idx="20">
                  <c:v>-73.248000000000005</c:v>
                </c:pt>
                <c:pt idx="21">
                  <c:v>-77.578999999999994</c:v>
                </c:pt>
                <c:pt idx="22">
                  <c:v>-81.680000000000007</c:v>
                </c:pt>
                <c:pt idx="23">
                  <c:v>-85.957999999999998</c:v>
                </c:pt>
                <c:pt idx="24">
                  <c:v>-90.734999999999999</c:v>
                </c:pt>
                <c:pt idx="25">
                  <c:v>-95.82</c:v>
                </c:pt>
                <c:pt idx="26">
                  <c:v>-101.185</c:v>
                </c:pt>
                <c:pt idx="27">
                  <c:v>-106.94799999999999</c:v>
                </c:pt>
                <c:pt idx="28">
                  <c:v>-114.07899999999999</c:v>
                </c:pt>
                <c:pt idx="29">
                  <c:v>-122.827</c:v>
                </c:pt>
                <c:pt idx="30">
                  <c:v>-132.15</c:v>
                </c:pt>
                <c:pt idx="31">
                  <c:v>-141.84700000000001</c:v>
                </c:pt>
                <c:pt idx="32">
                  <c:v>-151.584</c:v>
                </c:pt>
                <c:pt idx="33">
                  <c:v>-161.33699999999999</c:v>
                </c:pt>
                <c:pt idx="34">
                  <c:v>-170.87</c:v>
                </c:pt>
                <c:pt idx="35">
                  <c:v>-179.691</c:v>
                </c:pt>
                <c:pt idx="36">
                  <c:v>-187.381</c:v>
                </c:pt>
                <c:pt idx="37">
                  <c:v>-193.86099999999999</c:v>
                </c:pt>
                <c:pt idx="38">
                  <c:v>-199.291</c:v>
                </c:pt>
                <c:pt idx="39">
                  <c:v>-203.56399999999999</c:v>
                </c:pt>
                <c:pt idx="40">
                  <c:v>-206.71700000000001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E-41CF-B299-6ED5ECCEE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923837062740039"/>
          <c:y val="9.1847902864833117E-2"/>
          <c:w val="0.63228672687100551"/>
          <c:h val="0.187409010134356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828714207334258E-2"/>
          <c:y val="0.14725688325786473"/>
          <c:w val="0.38052321425923447"/>
          <c:h val="0.7131870060151829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Data'!$G$2</c:f>
              <c:strCache>
                <c:ptCount val="1"/>
                <c:pt idx="0">
                  <c:v>2020-based (published Jan 2022)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Data'!$F$3:$F$43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Data'!$G$3:$G$43</c:f>
              <c:numCache>
                <c:formatCode>0</c:formatCode>
                <c:ptCount val="41"/>
                <c:pt idx="0">
                  <c:v>247</c:v>
                </c:pt>
                <c:pt idx="1">
                  <c:v>244.49799999999999</c:v>
                </c:pt>
                <c:pt idx="2">
                  <c:v>244.49799999999999</c:v>
                </c:pt>
                <c:pt idx="3">
                  <c:v>236.989</c:v>
                </c:pt>
                <c:pt idx="4">
                  <c:v>231.01499999999999</c:v>
                </c:pt>
                <c:pt idx="5">
                  <c:v>224.00399999999999</c:v>
                </c:pt>
                <c:pt idx="6">
                  <c:v>217</c:v>
                </c:pt>
                <c:pt idx="7">
                  <c:v>211.51400000000001</c:v>
                </c:pt>
                <c:pt idx="8">
                  <c:v>205.011</c:v>
                </c:pt>
                <c:pt idx="9">
                  <c:v>205.011</c:v>
                </c:pt>
                <c:pt idx="10">
                  <c:v>205.011</c:v>
                </c:pt>
                <c:pt idx="11">
                  <c:v>205.011</c:v>
                </c:pt>
                <c:pt idx="12">
                  <c:v>205.011</c:v>
                </c:pt>
                <c:pt idx="13">
                  <c:v>205.011</c:v>
                </c:pt>
                <c:pt idx="14">
                  <c:v>205.011</c:v>
                </c:pt>
                <c:pt idx="15">
                  <c:v>205.011</c:v>
                </c:pt>
                <c:pt idx="16">
                  <c:v>205.011</c:v>
                </c:pt>
                <c:pt idx="17">
                  <c:v>205.011</c:v>
                </c:pt>
                <c:pt idx="18">
                  <c:v>205.011</c:v>
                </c:pt>
                <c:pt idx="19">
                  <c:v>205.011</c:v>
                </c:pt>
                <c:pt idx="20">
                  <c:v>205.011</c:v>
                </c:pt>
                <c:pt idx="21">
                  <c:v>205.011</c:v>
                </c:pt>
                <c:pt idx="22">
                  <c:v>205.011</c:v>
                </c:pt>
                <c:pt idx="23">
                  <c:v>205.011</c:v>
                </c:pt>
                <c:pt idx="24">
                  <c:v>205.011</c:v>
                </c:pt>
                <c:pt idx="25">
                  <c:v>205.011</c:v>
                </c:pt>
                <c:pt idx="26">
                  <c:v>205.011</c:v>
                </c:pt>
                <c:pt idx="27">
                  <c:v>205.011</c:v>
                </c:pt>
                <c:pt idx="28">
                  <c:v>205.011</c:v>
                </c:pt>
                <c:pt idx="29">
                  <c:v>205.011</c:v>
                </c:pt>
                <c:pt idx="30">
                  <c:v>205.011</c:v>
                </c:pt>
                <c:pt idx="31">
                  <c:v>205.011</c:v>
                </c:pt>
                <c:pt idx="32">
                  <c:v>205.011</c:v>
                </c:pt>
                <c:pt idx="33">
                  <c:v>205.011</c:v>
                </c:pt>
                <c:pt idx="34">
                  <c:v>205.011</c:v>
                </c:pt>
                <c:pt idx="35">
                  <c:v>205.011</c:v>
                </c:pt>
                <c:pt idx="36">
                  <c:v>205.011</c:v>
                </c:pt>
                <c:pt idx="37">
                  <c:v>205.011</c:v>
                </c:pt>
                <c:pt idx="38">
                  <c:v>205.011</c:v>
                </c:pt>
                <c:pt idx="39">
                  <c:v>205.011</c:v>
                </c:pt>
                <c:pt idx="40">
                  <c:v>205.011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0-4446-AAD1-531914908591}"/>
            </c:ext>
          </c:extLst>
        </c:ser>
        <c:ser>
          <c:idx val="1"/>
          <c:order val="1"/>
          <c:tx>
            <c:strRef>
              <c:f>'Chart Data'!$H$2</c:f>
              <c:strCache>
                <c:ptCount val="1"/>
                <c:pt idx="0">
                  <c:v>2021-based (published Jan 2024)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Data'!$F$3:$F$43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Data'!$H$3:$H$43</c:f>
              <c:numCache>
                <c:formatCode>0</c:formatCode>
                <c:ptCount val="41"/>
                <c:pt idx="0">
                  <c:v>111</c:v>
                </c:pt>
                <c:pt idx="1">
                  <c:v>221</c:v>
                </c:pt>
                <c:pt idx="2">
                  <c:v>595.84</c:v>
                </c:pt>
                <c:pt idx="3">
                  <c:v>670.12800000000004</c:v>
                </c:pt>
                <c:pt idx="4">
                  <c:v>598.97400000000005</c:v>
                </c:pt>
                <c:pt idx="5">
                  <c:v>528.46100000000001</c:v>
                </c:pt>
                <c:pt idx="6">
                  <c:v>457.45699999999999</c:v>
                </c:pt>
                <c:pt idx="7">
                  <c:v>386.476</c:v>
                </c:pt>
                <c:pt idx="8">
                  <c:v>315.005</c:v>
                </c:pt>
                <c:pt idx="9">
                  <c:v>315.005</c:v>
                </c:pt>
                <c:pt idx="10">
                  <c:v>315.005</c:v>
                </c:pt>
                <c:pt idx="11">
                  <c:v>315.005</c:v>
                </c:pt>
                <c:pt idx="12">
                  <c:v>315.005</c:v>
                </c:pt>
                <c:pt idx="13">
                  <c:v>315.005</c:v>
                </c:pt>
                <c:pt idx="14">
                  <c:v>315.005</c:v>
                </c:pt>
                <c:pt idx="15">
                  <c:v>315.005</c:v>
                </c:pt>
                <c:pt idx="16">
                  <c:v>315.005</c:v>
                </c:pt>
                <c:pt idx="17">
                  <c:v>315.005</c:v>
                </c:pt>
                <c:pt idx="18">
                  <c:v>315.005</c:v>
                </c:pt>
                <c:pt idx="19">
                  <c:v>315.005</c:v>
                </c:pt>
                <c:pt idx="20">
                  <c:v>315.005</c:v>
                </c:pt>
                <c:pt idx="21">
                  <c:v>315.005</c:v>
                </c:pt>
                <c:pt idx="22">
                  <c:v>315.005</c:v>
                </c:pt>
                <c:pt idx="23">
                  <c:v>315.005</c:v>
                </c:pt>
                <c:pt idx="24">
                  <c:v>315.005</c:v>
                </c:pt>
                <c:pt idx="25">
                  <c:v>315.005</c:v>
                </c:pt>
                <c:pt idx="26">
                  <c:v>315.005</c:v>
                </c:pt>
                <c:pt idx="27">
                  <c:v>315.005</c:v>
                </c:pt>
                <c:pt idx="28">
                  <c:v>315.005</c:v>
                </c:pt>
                <c:pt idx="29">
                  <c:v>315.005</c:v>
                </c:pt>
                <c:pt idx="30">
                  <c:v>315.005</c:v>
                </c:pt>
                <c:pt idx="31">
                  <c:v>315.005</c:v>
                </c:pt>
                <c:pt idx="32">
                  <c:v>315.005</c:v>
                </c:pt>
                <c:pt idx="33">
                  <c:v>315.005</c:v>
                </c:pt>
                <c:pt idx="34">
                  <c:v>315.005</c:v>
                </c:pt>
                <c:pt idx="35">
                  <c:v>315.005</c:v>
                </c:pt>
                <c:pt idx="36">
                  <c:v>315.005</c:v>
                </c:pt>
                <c:pt idx="37">
                  <c:v>315.005</c:v>
                </c:pt>
                <c:pt idx="38">
                  <c:v>315.005</c:v>
                </c:pt>
                <c:pt idx="39">
                  <c:v>315.005</c:v>
                </c:pt>
                <c:pt idx="40">
                  <c:v>315.005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0-4446-AAD1-531914908591}"/>
            </c:ext>
          </c:extLst>
        </c:ser>
        <c:ser>
          <c:idx val="0"/>
          <c:order val="2"/>
          <c:tx>
            <c:strRef>
              <c:f>'Chart Data'!$I$2</c:f>
              <c:strCache>
                <c:ptCount val="1"/>
                <c:pt idx="0">
                  <c:v>2022-based (published Jan 2025)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Data'!$F$3:$F$43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Data'!$I$3:$I$43</c:f>
              <c:numCache>
                <c:formatCode>0</c:formatCode>
                <c:ptCount val="41"/>
                <c:pt idx="0">
                  <c:v>111</c:v>
                </c:pt>
                <c:pt idx="1">
                  <c:v>221</c:v>
                </c:pt>
                <c:pt idx="2">
                  <c:v>607</c:v>
                </c:pt>
                <c:pt idx="3">
                  <c:v>906</c:v>
                </c:pt>
                <c:pt idx="4">
                  <c:v>728</c:v>
                </c:pt>
                <c:pt idx="5">
                  <c:v>630.9</c:v>
                </c:pt>
                <c:pt idx="6">
                  <c:v>533.79999999999995</c:v>
                </c:pt>
                <c:pt idx="7">
                  <c:v>436.7</c:v>
                </c:pt>
                <c:pt idx="8">
                  <c:v>340</c:v>
                </c:pt>
                <c:pt idx="9">
                  <c:v>340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340</c:v>
                </c:pt>
                <c:pt idx="14">
                  <c:v>340</c:v>
                </c:pt>
                <c:pt idx="15">
                  <c:v>340</c:v>
                </c:pt>
                <c:pt idx="16">
                  <c:v>340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340</c:v>
                </c:pt>
                <c:pt idx="21">
                  <c:v>340</c:v>
                </c:pt>
                <c:pt idx="22">
                  <c:v>340</c:v>
                </c:pt>
                <c:pt idx="23">
                  <c:v>340</c:v>
                </c:pt>
                <c:pt idx="24">
                  <c:v>340</c:v>
                </c:pt>
                <c:pt idx="25">
                  <c:v>340</c:v>
                </c:pt>
                <c:pt idx="26">
                  <c:v>340</c:v>
                </c:pt>
                <c:pt idx="27">
                  <c:v>340</c:v>
                </c:pt>
                <c:pt idx="28">
                  <c:v>340</c:v>
                </c:pt>
                <c:pt idx="29">
                  <c:v>340</c:v>
                </c:pt>
                <c:pt idx="30">
                  <c:v>340</c:v>
                </c:pt>
                <c:pt idx="31">
                  <c:v>340</c:v>
                </c:pt>
                <c:pt idx="32">
                  <c:v>340</c:v>
                </c:pt>
                <c:pt idx="33">
                  <c:v>340</c:v>
                </c:pt>
                <c:pt idx="34">
                  <c:v>340</c:v>
                </c:pt>
                <c:pt idx="35">
                  <c:v>340</c:v>
                </c:pt>
                <c:pt idx="36">
                  <c:v>340</c:v>
                </c:pt>
                <c:pt idx="37">
                  <c:v>340</c:v>
                </c:pt>
                <c:pt idx="38">
                  <c:v>340</c:v>
                </c:pt>
                <c:pt idx="39">
                  <c:v>340</c:v>
                </c:pt>
                <c:pt idx="40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60-4446-AAD1-531914908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10"/>
        <c:noMultiLvlLbl val="0"/>
      </c:catAx>
      <c:valAx>
        <c:axId val="263608576"/>
        <c:scaling>
          <c:orientation val="minMax"/>
          <c:max val="1000"/>
          <c:min val="-2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2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937052359980425"/>
          <c:y val="0.2314127565737451"/>
          <c:w val="0.48614736717232382"/>
          <c:h val="0.166664067981601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558755155605549"/>
          <c:y val="0.14725688325786473"/>
          <c:w val="0.80374553180852404"/>
          <c:h val="0.7131870060151829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Data'!$L$2</c:f>
              <c:strCache>
                <c:ptCount val="1"/>
                <c:pt idx="0">
                  <c:v>2020-based (published Jan 2022)</c:v>
                </c:pt>
              </c:strCache>
            </c:strRef>
          </c:tx>
          <c:spPr>
            <a:ln w="38100">
              <a:solidFill>
                <a:srgbClr val="BD1B21">
                  <a:alpha val="99000"/>
                </a:srgbClr>
              </a:solidFill>
            </a:ln>
          </c:spPr>
          <c:marker>
            <c:symbol val="none"/>
          </c:marker>
          <c:cat>
            <c:numRef>
              <c:f>'Chart Data'!$K$3:$K$43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Data'!$L$3:$L$43</c:f>
              <c:numCache>
                <c:formatCode>0</c:formatCode>
                <c:ptCount val="41"/>
                <c:pt idx="0">
                  <c:v>37.426999999996042</c:v>
                </c:pt>
                <c:pt idx="1">
                  <c:v>24.96299999998115</c:v>
                </c:pt>
                <c:pt idx="2">
                  <c:v>24.963000000000001</c:v>
                </c:pt>
                <c:pt idx="3">
                  <c:v>8.14</c:v>
                </c:pt>
                <c:pt idx="4">
                  <c:v>17.475999999999999</c:v>
                </c:pt>
                <c:pt idx="5">
                  <c:v>13.473000000000001</c:v>
                </c:pt>
                <c:pt idx="6">
                  <c:v>6.14</c:v>
                </c:pt>
                <c:pt idx="7">
                  <c:v>-4.3600000000000003</c:v>
                </c:pt>
                <c:pt idx="8">
                  <c:v>-15.111000000000001</c:v>
                </c:pt>
                <c:pt idx="9">
                  <c:v>-25.934999999999999</c:v>
                </c:pt>
                <c:pt idx="10">
                  <c:v>-36.683999999999997</c:v>
                </c:pt>
                <c:pt idx="11">
                  <c:v>-47.203000000000003</c:v>
                </c:pt>
                <c:pt idx="12">
                  <c:v>-57.134</c:v>
                </c:pt>
                <c:pt idx="13">
                  <c:v>-66.218999999999994</c:v>
                </c:pt>
                <c:pt idx="14">
                  <c:v>-74.716999999999999</c:v>
                </c:pt>
                <c:pt idx="15">
                  <c:v>-82.402000000000001</c:v>
                </c:pt>
                <c:pt idx="16">
                  <c:v>-88.795000000000002</c:v>
                </c:pt>
                <c:pt idx="17">
                  <c:v>-92.75</c:v>
                </c:pt>
                <c:pt idx="18">
                  <c:v>-94.207999999999998</c:v>
                </c:pt>
                <c:pt idx="19">
                  <c:v>-94.617999999999995</c:v>
                </c:pt>
                <c:pt idx="20">
                  <c:v>-94.396000000000001</c:v>
                </c:pt>
                <c:pt idx="21">
                  <c:v>-93.685000000000002</c:v>
                </c:pt>
                <c:pt idx="22">
                  <c:v>-93.311000000000007</c:v>
                </c:pt>
                <c:pt idx="23">
                  <c:v>-93.552000000000007</c:v>
                </c:pt>
                <c:pt idx="24">
                  <c:v>-94.230999999999995</c:v>
                </c:pt>
                <c:pt idx="25">
                  <c:v>-95.509</c:v>
                </c:pt>
                <c:pt idx="26">
                  <c:v>-98.590999999999994</c:v>
                </c:pt>
                <c:pt idx="27">
                  <c:v>-103.608</c:v>
                </c:pt>
                <c:pt idx="28">
                  <c:v>-109.729</c:v>
                </c:pt>
                <c:pt idx="29">
                  <c:v>-117.134</c:v>
                </c:pt>
                <c:pt idx="30">
                  <c:v>-125.76</c:v>
                </c:pt>
                <c:pt idx="31">
                  <c:v>-135.36600000000001</c:v>
                </c:pt>
                <c:pt idx="32">
                  <c:v>-145.39500000000001</c:v>
                </c:pt>
                <c:pt idx="33">
                  <c:v>-155.49700000000001</c:v>
                </c:pt>
                <c:pt idx="34">
                  <c:v>-165.554</c:v>
                </c:pt>
                <c:pt idx="35">
                  <c:v>-175.292</c:v>
                </c:pt>
                <c:pt idx="36">
                  <c:v>-184.256</c:v>
                </c:pt>
                <c:pt idx="37">
                  <c:v>-192.066</c:v>
                </c:pt>
                <c:pt idx="38">
                  <c:v>-198.572</c:v>
                </c:pt>
                <c:pt idx="39">
                  <c:v>-203.74600000000001</c:v>
                </c:pt>
                <c:pt idx="40">
                  <c:v>-207.589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7-42B6-960E-53826B742DB3}"/>
            </c:ext>
          </c:extLst>
        </c:ser>
        <c:ser>
          <c:idx val="1"/>
          <c:order val="1"/>
          <c:tx>
            <c:strRef>
              <c:f>'Chart Data'!$M$2</c:f>
              <c:strCache>
                <c:ptCount val="1"/>
                <c:pt idx="0">
                  <c:v>2021-based (published Jan 2024)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Data'!$K$3:$K$43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Data'!$M$3:$M$43</c:f>
              <c:numCache>
                <c:formatCode>0</c:formatCode>
                <c:ptCount val="41"/>
                <c:pt idx="0">
                  <c:v>-37.426999999996042</c:v>
                </c:pt>
                <c:pt idx="1">
                  <c:v>-24.96299999998115</c:v>
                </c:pt>
                <c:pt idx="2">
                  <c:v>39.615455160496026</c:v>
                </c:pt>
                <c:pt idx="3">
                  <c:v>0.91600000000000004</c:v>
                </c:pt>
                <c:pt idx="4">
                  <c:v>75.986999999999995</c:v>
                </c:pt>
                <c:pt idx="5">
                  <c:v>76.728999999999999</c:v>
                </c:pt>
                <c:pt idx="6">
                  <c:v>72.355000000000004</c:v>
                </c:pt>
                <c:pt idx="7">
                  <c:v>66.147999999999996</c:v>
                </c:pt>
                <c:pt idx="8">
                  <c:v>58.143999999999998</c:v>
                </c:pt>
                <c:pt idx="9">
                  <c:v>49.195</c:v>
                </c:pt>
                <c:pt idx="10">
                  <c:v>40.142000000000003</c:v>
                </c:pt>
                <c:pt idx="11">
                  <c:v>31.166</c:v>
                </c:pt>
                <c:pt idx="12">
                  <c:v>22.515999999999998</c:v>
                </c:pt>
                <c:pt idx="13">
                  <c:v>13.951000000000001</c:v>
                </c:pt>
                <c:pt idx="14">
                  <c:v>5.64</c:v>
                </c:pt>
                <c:pt idx="15">
                  <c:v>-1.9950000000000001</c:v>
                </c:pt>
                <c:pt idx="16">
                  <c:v>-7.8390000000000004</c:v>
                </c:pt>
                <c:pt idx="17">
                  <c:v>-11.675000000000001</c:v>
                </c:pt>
                <c:pt idx="18">
                  <c:v>-14.705</c:v>
                </c:pt>
                <c:pt idx="19">
                  <c:v>-17.209</c:v>
                </c:pt>
                <c:pt idx="20">
                  <c:v>-19.361000000000001</c:v>
                </c:pt>
                <c:pt idx="21">
                  <c:v>-21.946000000000002</c:v>
                </c:pt>
                <c:pt idx="22">
                  <c:v>-25.032</c:v>
                </c:pt>
                <c:pt idx="23">
                  <c:v>-28.146000000000001</c:v>
                </c:pt>
                <c:pt idx="24">
                  <c:v>-31.45</c:v>
                </c:pt>
                <c:pt idx="25">
                  <c:v>-36.174999999999997</c:v>
                </c:pt>
                <c:pt idx="26">
                  <c:v>-42.566000000000003</c:v>
                </c:pt>
                <c:pt idx="27">
                  <c:v>-49.430999999999997</c:v>
                </c:pt>
                <c:pt idx="28">
                  <c:v>-56.749000000000002</c:v>
                </c:pt>
                <c:pt idx="29">
                  <c:v>-64.525999999999996</c:v>
                </c:pt>
                <c:pt idx="30">
                  <c:v>-72.492999999999995</c:v>
                </c:pt>
                <c:pt idx="31">
                  <c:v>-80.293000000000006</c:v>
                </c:pt>
                <c:pt idx="32">
                  <c:v>-87.82</c:v>
                </c:pt>
                <c:pt idx="33">
                  <c:v>-95.042000000000002</c:v>
                </c:pt>
                <c:pt idx="34">
                  <c:v>-101.633</c:v>
                </c:pt>
                <c:pt idx="35">
                  <c:v>-107.212</c:v>
                </c:pt>
                <c:pt idx="36">
                  <c:v>-111.69799999999999</c:v>
                </c:pt>
                <c:pt idx="37">
                  <c:v>-115.06100000000001</c:v>
                </c:pt>
                <c:pt idx="38">
                  <c:v>-117.54</c:v>
                </c:pt>
                <c:pt idx="39">
                  <c:v>-119.077</c:v>
                </c:pt>
                <c:pt idx="40">
                  <c:v>-119.607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7-42B6-960E-53826B742DB3}"/>
            </c:ext>
          </c:extLst>
        </c:ser>
        <c:ser>
          <c:idx val="0"/>
          <c:order val="2"/>
          <c:tx>
            <c:strRef>
              <c:f>'Chart Data'!$N$2</c:f>
              <c:strCache>
                <c:ptCount val="1"/>
                <c:pt idx="0">
                  <c:v>2022-based (published Jan 2025)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Data'!$K$3:$K$43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Data'!$N$3:$N$43</c:f>
              <c:numCache>
                <c:formatCode>0</c:formatCode>
                <c:ptCount val="41"/>
                <c:pt idx="0">
                  <c:v>2.3600000000005821</c:v>
                </c:pt>
                <c:pt idx="1">
                  <c:v>18.421000000002095</c:v>
                </c:pt>
                <c:pt idx="2">
                  <c:v>12.972999999998137</c:v>
                </c:pt>
                <c:pt idx="3">
                  <c:v>-16.263000000000002</c:v>
                </c:pt>
                <c:pt idx="4">
                  <c:v>5.7439999999999998</c:v>
                </c:pt>
                <c:pt idx="5">
                  <c:v>10.849</c:v>
                </c:pt>
                <c:pt idx="6">
                  <c:v>12.519</c:v>
                </c:pt>
                <c:pt idx="7">
                  <c:v>10.891999999999999</c:v>
                </c:pt>
                <c:pt idx="8">
                  <c:v>6.1849999999999996</c:v>
                </c:pt>
                <c:pt idx="9">
                  <c:v>-0.434</c:v>
                </c:pt>
                <c:pt idx="10">
                  <c:v>-7.67</c:v>
                </c:pt>
                <c:pt idx="11">
                  <c:v>-15.409000000000001</c:v>
                </c:pt>
                <c:pt idx="12">
                  <c:v>-23.387</c:v>
                </c:pt>
                <c:pt idx="13">
                  <c:v>-31.138999999999999</c:v>
                </c:pt>
                <c:pt idx="14">
                  <c:v>-38.414000000000001</c:v>
                </c:pt>
                <c:pt idx="15">
                  <c:v>-45.439</c:v>
                </c:pt>
                <c:pt idx="16">
                  <c:v>-52.067</c:v>
                </c:pt>
                <c:pt idx="17">
                  <c:v>-58.131999999999998</c:v>
                </c:pt>
                <c:pt idx="18">
                  <c:v>-63.603000000000002</c:v>
                </c:pt>
                <c:pt idx="19">
                  <c:v>-68.603999999999999</c:v>
                </c:pt>
                <c:pt idx="20">
                  <c:v>-73.248000000000005</c:v>
                </c:pt>
                <c:pt idx="21">
                  <c:v>-77.578999999999994</c:v>
                </c:pt>
                <c:pt idx="22">
                  <c:v>-81.680000000000007</c:v>
                </c:pt>
                <c:pt idx="23">
                  <c:v>-85.957999999999998</c:v>
                </c:pt>
                <c:pt idx="24">
                  <c:v>-90.734999999999999</c:v>
                </c:pt>
                <c:pt idx="25">
                  <c:v>-95.82</c:v>
                </c:pt>
                <c:pt idx="26">
                  <c:v>-101.185</c:v>
                </c:pt>
                <c:pt idx="27">
                  <c:v>-106.94799999999999</c:v>
                </c:pt>
                <c:pt idx="28">
                  <c:v>-114.07899999999999</c:v>
                </c:pt>
                <c:pt idx="29">
                  <c:v>-122.827</c:v>
                </c:pt>
                <c:pt idx="30">
                  <c:v>-132.15</c:v>
                </c:pt>
                <c:pt idx="31">
                  <c:v>-141.84700000000001</c:v>
                </c:pt>
                <c:pt idx="32">
                  <c:v>-151.584</c:v>
                </c:pt>
                <c:pt idx="33">
                  <c:v>-161.33699999999999</c:v>
                </c:pt>
                <c:pt idx="34">
                  <c:v>-170.87</c:v>
                </c:pt>
                <c:pt idx="35">
                  <c:v>-179.691</c:v>
                </c:pt>
                <c:pt idx="36">
                  <c:v>-187.381</c:v>
                </c:pt>
                <c:pt idx="37">
                  <c:v>-193.86099999999999</c:v>
                </c:pt>
                <c:pt idx="38">
                  <c:v>-199.291</c:v>
                </c:pt>
                <c:pt idx="39">
                  <c:v>-203.56399999999999</c:v>
                </c:pt>
                <c:pt idx="40">
                  <c:v>-206.71700000000001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7-42B6-960E-53826B742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10"/>
        <c:noMultiLvlLbl val="0"/>
      </c:catAx>
      <c:valAx>
        <c:axId val="263608576"/>
        <c:scaling>
          <c:orientation val="minMax"/>
          <c:max val="1000"/>
          <c:min val="-250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>
            <a:noFill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25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828714207334258E-2"/>
          <c:y val="0.14725688325786473"/>
          <c:w val="0.89488868128772026"/>
          <c:h val="0.71318700601518292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Data'!$Q$2</c:f>
              <c:strCache>
                <c:ptCount val="1"/>
                <c:pt idx="0">
                  <c:v>2020-based (published Jan 2022)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Data'!$P$3:$P$43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Data'!$Q$3:$Q$43</c:f>
              <c:numCache>
                <c:formatCode>0</c:formatCode>
                <c:ptCount val="41"/>
                <c:pt idx="2">
                  <c:v>671.37400000000002</c:v>
                </c:pt>
                <c:pt idx="3">
                  <c:v>663.44299999999998</c:v>
                </c:pt>
                <c:pt idx="4">
                  <c:v>659.31600000000003</c:v>
                </c:pt>
                <c:pt idx="5">
                  <c:v>662.48500000000001</c:v>
                </c:pt>
                <c:pt idx="6">
                  <c:v>662.63199999999995</c:v>
                </c:pt>
                <c:pt idx="7">
                  <c:v>659.85500000000002</c:v>
                </c:pt>
                <c:pt idx="8">
                  <c:v>657.13499999999999</c:v>
                </c:pt>
                <c:pt idx="9">
                  <c:v>654.59799999999996</c:v>
                </c:pt>
                <c:pt idx="10">
                  <c:v>652.40800000000002</c:v>
                </c:pt>
                <c:pt idx="11">
                  <c:v>650.62400000000002</c:v>
                </c:pt>
                <c:pt idx="12">
                  <c:v>649.51599999999996</c:v>
                </c:pt>
                <c:pt idx="13">
                  <c:v>649.25199999999995</c:v>
                </c:pt>
                <c:pt idx="14">
                  <c:v>649.45100000000002</c:v>
                </c:pt>
                <c:pt idx="15">
                  <c:v>650.27300000000002</c:v>
                </c:pt>
                <c:pt idx="16">
                  <c:v>652.06100000000004</c:v>
                </c:pt>
                <c:pt idx="17">
                  <c:v>655.89499999999998</c:v>
                </c:pt>
                <c:pt idx="18">
                  <c:v>661.75400000000002</c:v>
                </c:pt>
                <c:pt idx="19">
                  <c:v>668.13599999999997</c:v>
                </c:pt>
                <c:pt idx="20">
                  <c:v>674.65599999999995</c:v>
                </c:pt>
                <c:pt idx="21">
                  <c:v>681.08299999999997</c:v>
                </c:pt>
                <c:pt idx="22">
                  <c:v>686.7</c:v>
                </c:pt>
                <c:pt idx="23">
                  <c:v>691.17899999999997</c:v>
                </c:pt>
                <c:pt idx="24">
                  <c:v>694.86400000000003</c:v>
                </c:pt>
                <c:pt idx="25">
                  <c:v>697.60199999999998</c:v>
                </c:pt>
                <c:pt idx="26">
                  <c:v>698.34199999999998</c:v>
                </c:pt>
                <c:pt idx="27">
                  <c:v>697.11500000000001</c:v>
                </c:pt>
                <c:pt idx="28">
                  <c:v>694.83799999999997</c:v>
                </c:pt>
                <c:pt idx="29">
                  <c:v>691.40700000000004</c:v>
                </c:pt>
                <c:pt idx="30">
                  <c:v>686.78599999999994</c:v>
                </c:pt>
                <c:pt idx="31">
                  <c:v>681.27599999999995</c:v>
                </c:pt>
                <c:pt idx="32">
                  <c:v>675.29200000000003</c:v>
                </c:pt>
                <c:pt idx="33">
                  <c:v>669.10799999999995</c:v>
                </c:pt>
                <c:pt idx="34">
                  <c:v>662.74199999999996</c:v>
                </c:pt>
                <c:pt idx="35">
                  <c:v>656.322</c:v>
                </c:pt>
                <c:pt idx="36">
                  <c:v>650.24599999999998</c:v>
                </c:pt>
                <c:pt idx="37">
                  <c:v>644.76700000000005</c:v>
                </c:pt>
                <c:pt idx="38">
                  <c:v>639.96500000000003</c:v>
                </c:pt>
                <c:pt idx="39">
                  <c:v>635.82799999999997</c:v>
                </c:pt>
                <c:pt idx="40">
                  <c:v>632.346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1-4A31-9C62-E398594F1E61}"/>
            </c:ext>
          </c:extLst>
        </c:ser>
        <c:ser>
          <c:idx val="1"/>
          <c:order val="1"/>
          <c:tx>
            <c:strRef>
              <c:f>'Chart Data'!$R$2</c:f>
              <c:strCache>
                <c:ptCount val="1"/>
                <c:pt idx="0">
                  <c:v>2021-based (published Jan 2024)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Data'!$P$3:$P$43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Data'!$R$3:$R$43</c:f>
              <c:numCache>
                <c:formatCode>0</c:formatCode>
                <c:ptCount val="41"/>
                <c:pt idx="3">
                  <c:v>665.53899999999999</c:v>
                </c:pt>
                <c:pt idx="4">
                  <c:v>713.92</c:v>
                </c:pt>
                <c:pt idx="5">
                  <c:v>723.17600000000004</c:v>
                </c:pt>
                <c:pt idx="6">
                  <c:v>727.44899999999996</c:v>
                </c:pt>
                <c:pt idx="7">
                  <c:v>730</c:v>
                </c:pt>
                <c:pt idx="8">
                  <c:v>730.91600000000005</c:v>
                </c:pt>
                <c:pt idx="9">
                  <c:v>731.01499999999999</c:v>
                </c:pt>
                <c:pt idx="10">
                  <c:v>731.12</c:v>
                </c:pt>
                <c:pt idx="11">
                  <c:v>731.346</c:v>
                </c:pt>
                <c:pt idx="12">
                  <c:v>731.85</c:v>
                </c:pt>
                <c:pt idx="13">
                  <c:v>732.327</c:v>
                </c:pt>
                <c:pt idx="14">
                  <c:v>732.81500000000005</c:v>
                </c:pt>
                <c:pt idx="15">
                  <c:v>733.65599999999995</c:v>
                </c:pt>
                <c:pt idx="16">
                  <c:v>735.89499999999998</c:v>
                </c:pt>
                <c:pt idx="17">
                  <c:v>739.71400000000006</c:v>
                </c:pt>
                <c:pt idx="18">
                  <c:v>743.84400000000005</c:v>
                </c:pt>
                <c:pt idx="19">
                  <c:v>747.98500000000001</c:v>
                </c:pt>
                <c:pt idx="20">
                  <c:v>752.00300000000004</c:v>
                </c:pt>
                <c:pt idx="21">
                  <c:v>755.09900000000005</c:v>
                </c:pt>
                <c:pt idx="22">
                  <c:v>757.245</c:v>
                </c:pt>
                <c:pt idx="23">
                  <c:v>759.05200000000002</c:v>
                </c:pt>
                <c:pt idx="24">
                  <c:v>760.38099999999997</c:v>
                </c:pt>
                <c:pt idx="25">
                  <c:v>760.13099999999997</c:v>
                </c:pt>
                <c:pt idx="26">
                  <c:v>758.23</c:v>
                </c:pt>
                <c:pt idx="27">
                  <c:v>755.98</c:v>
                </c:pt>
                <c:pt idx="28">
                  <c:v>753.41899999999998</c:v>
                </c:pt>
                <c:pt idx="29">
                  <c:v>750.52099999999996</c:v>
                </c:pt>
                <c:pt idx="30">
                  <c:v>747.53800000000001</c:v>
                </c:pt>
                <c:pt idx="31">
                  <c:v>744.72</c:v>
                </c:pt>
                <c:pt idx="32">
                  <c:v>742.12400000000002</c:v>
                </c:pt>
                <c:pt idx="33">
                  <c:v>739.65099999999995</c:v>
                </c:pt>
                <c:pt idx="34">
                  <c:v>737.50699999999995</c:v>
                </c:pt>
                <c:pt idx="35">
                  <c:v>735.98500000000001</c:v>
                </c:pt>
                <c:pt idx="36">
                  <c:v>735.06399999999996</c:v>
                </c:pt>
                <c:pt idx="37">
                  <c:v>734.702</c:v>
                </c:pt>
                <c:pt idx="38">
                  <c:v>734.63400000000001</c:v>
                </c:pt>
                <c:pt idx="39">
                  <c:v>734.92499999999995</c:v>
                </c:pt>
                <c:pt idx="40">
                  <c:v>735.7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D1-4A31-9C62-E398594F1E61}"/>
            </c:ext>
          </c:extLst>
        </c:ser>
        <c:ser>
          <c:idx val="0"/>
          <c:order val="2"/>
          <c:tx>
            <c:strRef>
              <c:f>'Chart Data'!$S$2</c:f>
              <c:strCache>
                <c:ptCount val="1"/>
                <c:pt idx="0">
                  <c:v>2022-based (published Jan 2025)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Data'!$P$3:$P$43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'Chart Data'!$S$3:$S$43</c:f>
              <c:numCache>
                <c:formatCode>0</c:formatCode>
                <c:ptCount val="41"/>
                <c:pt idx="3">
                  <c:v>664.46400000000006</c:v>
                </c:pt>
                <c:pt idx="4">
                  <c:v>667.90899999999999</c:v>
                </c:pt>
                <c:pt idx="5">
                  <c:v>674.82100000000003</c:v>
                </c:pt>
                <c:pt idx="6">
                  <c:v>679.53599999999994</c:v>
                </c:pt>
                <c:pt idx="7">
                  <c:v>682.03300000000002</c:v>
                </c:pt>
                <c:pt idx="8">
                  <c:v>683.07799999999997</c:v>
                </c:pt>
                <c:pt idx="9">
                  <c:v>683.71199999999999</c:v>
                </c:pt>
                <c:pt idx="10">
                  <c:v>684.29600000000005</c:v>
                </c:pt>
                <c:pt idx="11">
                  <c:v>684.84199999999998</c:v>
                </c:pt>
                <c:pt idx="12">
                  <c:v>685.38800000000003</c:v>
                </c:pt>
                <c:pt idx="13">
                  <c:v>686.34100000000001</c:v>
                </c:pt>
                <c:pt idx="14">
                  <c:v>687.82399999999996</c:v>
                </c:pt>
                <c:pt idx="15">
                  <c:v>689.48900000000003</c:v>
                </c:pt>
                <c:pt idx="16">
                  <c:v>691.36300000000006</c:v>
                </c:pt>
                <c:pt idx="17">
                  <c:v>693.54100000000005</c:v>
                </c:pt>
                <c:pt idx="18">
                  <c:v>696.05700000000002</c:v>
                </c:pt>
                <c:pt idx="19">
                  <c:v>698.697</c:v>
                </c:pt>
                <c:pt idx="20">
                  <c:v>701.18</c:v>
                </c:pt>
                <c:pt idx="21">
                  <c:v>703.42899999999997</c:v>
                </c:pt>
                <c:pt idx="22">
                  <c:v>705.44299999999998</c:v>
                </c:pt>
                <c:pt idx="23">
                  <c:v>706.76599999999996</c:v>
                </c:pt>
                <c:pt idx="24">
                  <c:v>707.18700000000001</c:v>
                </c:pt>
                <c:pt idx="25">
                  <c:v>707.05200000000002</c:v>
                </c:pt>
                <c:pt idx="26">
                  <c:v>706.476</c:v>
                </c:pt>
                <c:pt idx="27">
                  <c:v>705.56100000000004</c:v>
                </c:pt>
                <c:pt idx="28">
                  <c:v>703.39200000000005</c:v>
                </c:pt>
                <c:pt idx="29">
                  <c:v>699.81500000000005</c:v>
                </c:pt>
                <c:pt idx="30">
                  <c:v>695.82100000000003</c:v>
                </c:pt>
                <c:pt idx="31">
                  <c:v>691.57600000000002</c:v>
                </c:pt>
                <c:pt idx="32">
                  <c:v>687.29100000000005</c:v>
                </c:pt>
                <c:pt idx="33">
                  <c:v>682.88599999999997</c:v>
                </c:pt>
                <c:pt idx="34">
                  <c:v>678.41200000000003</c:v>
                </c:pt>
                <c:pt idx="35">
                  <c:v>674.27599999999995</c:v>
                </c:pt>
                <c:pt idx="36">
                  <c:v>670.71100000000001</c:v>
                </c:pt>
                <c:pt idx="37">
                  <c:v>667.75800000000004</c:v>
                </c:pt>
                <c:pt idx="38">
                  <c:v>665.23400000000004</c:v>
                </c:pt>
                <c:pt idx="39">
                  <c:v>663.16499999999996</c:v>
                </c:pt>
                <c:pt idx="40">
                  <c:v>661.61699999999996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D1-4A31-9C62-E398594F1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noMultiLvlLbl val="0"/>
      </c:catAx>
      <c:valAx>
        <c:axId val="263608576"/>
        <c:scaling>
          <c:orientation val="minMax"/>
          <c:min val="6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746845203671576"/>
          <c:y val="0.67164015971091429"/>
          <c:w val="0.63228672687100551"/>
          <c:h val="0.187409010134356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367689775097928E-2"/>
          <c:y val="0.14711796166988561"/>
          <c:w val="0.89033940297058733"/>
          <c:h val="0.7125141880849799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Calculations!$Z$2</c:f>
              <c:strCache>
                <c:ptCount val="1"/>
                <c:pt idx="0">
                  <c:v>OE (new)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Calculations!$Y$3:$Y$43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Calculations!$Z$3:$Z$43</c:f>
              <c:numCache>
                <c:formatCode>0</c:formatCode>
                <c:ptCount val="41"/>
                <c:pt idx="0">
                  <c:v>66744.066999999995</c:v>
                </c:pt>
                <c:pt idx="1">
                  <c:v>66983.487999999998</c:v>
                </c:pt>
                <c:pt idx="2">
                  <c:v>67603.460999999996</c:v>
                </c:pt>
                <c:pt idx="3">
                  <c:v>68265.209000000003</c:v>
                </c:pt>
                <c:pt idx="4">
                  <c:v>69226.209000000003</c:v>
                </c:pt>
                <c:pt idx="5">
                  <c:v>69867.956999999995</c:v>
                </c:pt>
                <c:pt idx="6">
                  <c:v>70307.518000000011</c:v>
                </c:pt>
                <c:pt idx="7">
                  <c:v>70667.791000000012</c:v>
                </c:pt>
                <c:pt idx="8">
                  <c:v>70945.978999999992</c:v>
                </c:pt>
                <c:pt idx="9">
                  <c:v>71217.540000000008</c:v>
                </c:pt>
                <c:pt idx="10">
                  <c:v>71481.866000000024</c:v>
                </c:pt>
                <c:pt idx="11">
                  <c:v>71738.45199999999</c:v>
                </c:pt>
                <c:pt idx="12">
                  <c:v>71987.051000000007</c:v>
                </c:pt>
                <c:pt idx="13">
                  <c:v>72227.899000000005</c:v>
                </c:pt>
                <c:pt idx="14">
                  <c:v>72461.475000000006</c:v>
                </c:pt>
                <c:pt idx="15">
                  <c:v>72688.046000000002</c:v>
                </c:pt>
                <c:pt idx="16">
                  <c:v>72907.967000000004</c:v>
                </c:pt>
                <c:pt idx="17">
                  <c:v>73121.818999999989</c:v>
                </c:pt>
                <c:pt idx="18">
                  <c:v>73330.212</c:v>
                </c:pt>
                <c:pt idx="19">
                  <c:v>73533.616000000009</c:v>
                </c:pt>
                <c:pt idx="20">
                  <c:v>73732.356000000014</c:v>
                </c:pt>
                <c:pt idx="21">
                  <c:v>73926.770000000019</c:v>
                </c:pt>
                <c:pt idx="22">
                  <c:v>74117.087000000029</c:v>
                </c:pt>
                <c:pt idx="23">
                  <c:v>74303.114000000031</c:v>
                </c:pt>
                <c:pt idx="24">
                  <c:v>74484.385000000038</c:v>
                </c:pt>
                <c:pt idx="25">
                  <c:v>74660.564000000057</c:v>
                </c:pt>
                <c:pt idx="26">
                  <c:v>74831.358000000051</c:v>
                </c:pt>
                <c:pt idx="27">
                  <c:v>74996.413000000044</c:v>
                </c:pt>
                <c:pt idx="28">
                  <c:v>75154.338000000047</c:v>
                </c:pt>
                <c:pt idx="29">
                  <c:v>75303.515000000029</c:v>
                </c:pt>
                <c:pt idx="30">
                  <c:v>75443.361000000019</c:v>
                </c:pt>
                <c:pt idx="31">
                  <c:v>75573.523000000016</c:v>
                </c:pt>
                <c:pt idx="32">
                  <c:v>75693.927000000011</c:v>
                </c:pt>
                <c:pt idx="33">
                  <c:v>75804.587999999989</c:v>
                </c:pt>
                <c:pt idx="34">
                  <c:v>75905.712</c:v>
                </c:pt>
                <c:pt idx="35">
                  <c:v>75998.010999999999</c:v>
                </c:pt>
                <c:pt idx="36">
                  <c:v>76082.635999999999</c:v>
                </c:pt>
                <c:pt idx="37">
                  <c:v>76160.774000000005</c:v>
                </c:pt>
                <c:pt idx="38">
                  <c:v>76233.488000000012</c:v>
                </c:pt>
                <c:pt idx="39">
                  <c:v>76301.914000000004</c:v>
                </c:pt>
                <c:pt idx="40">
                  <c:v>76367.195000000036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Calculations!$AA$2</c:f>
              <c:strCache>
                <c:ptCount val="1"/>
                <c:pt idx="0">
                  <c:v>ONS (new)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Calculations!$Y$3:$Y$43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Calculations!$AA$3:$AA$43</c:f>
              <c:numCache>
                <c:formatCode>General</c:formatCode>
                <c:ptCount val="41"/>
                <c:pt idx="2" formatCode="0">
                  <c:v>67602.760999999999</c:v>
                </c:pt>
                <c:pt idx="3" formatCode="0">
                  <c:v>68492.494999999995</c:v>
                </c:pt>
                <c:pt idx="4" formatCode="0">
                  <c:v>69226.231</c:v>
                </c:pt>
                <c:pt idx="5" formatCode="0">
                  <c:v>69867.978999999992</c:v>
                </c:pt>
                <c:pt idx="6" formatCode="0">
                  <c:v>70414.3</c:v>
                </c:pt>
                <c:pt idx="7" formatCode="0">
                  <c:v>70861.913</c:v>
                </c:pt>
                <c:pt idx="8" formatCode="0">
                  <c:v>71208.100999999995</c:v>
                </c:pt>
                <c:pt idx="9" formatCode="0">
                  <c:v>71547.661999999997</c:v>
                </c:pt>
                <c:pt idx="10" formatCode="0">
                  <c:v>71879.988000000012</c:v>
                </c:pt>
                <c:pt idx="11" formatCode="0">
                  <c:v>72204.573999999993</c:v>
                </c:pt>
                <c:pt idx="12" formatCode="0">
                  <c:v>72521.17300000001</c:v>
                </c:pt>
                <c:pt idx="13" formatCode="0">
                  <c:v>72830.021000000008</c:v>
                </c:pt>
                <c:pt idx="14" formatCode="0">
                  <c:v>73131.597000000009</c:v>
                </c:pt>
                <c:pt idx="15" formatCode="0">
                  <c:v>73426.168000000005</c:v>
                </c:pt>
                <c:pt idx="16" formatCode="0">
                  <c:v>73714.089000000007</c:v>
                </c:pt>
                <c:pt idx="17" formatCode="0">
                  <c:v>73995.940999999992</c:v>
                </c:pt>
                <c:pt idx="18" formatCode="0">
                  <c:v>74272.334000000003</c:v>
                </c:pt>
                <c:pt idx="19" formatCode="0">
                  <c:v>74543.737999999998</c:v>
                </c:pt>
                <c:pt idx="20" formatCode="0">
                  <c:v>74810.478000000003</c:v>
                </c:pt>
                <c:pt idx="21" formatCode="0">
                  <c:v>75072.891999999993</c:v>
                </c:pt>
                <c:pt idx="22" formatCode="0">
                  <c:v>75331.209000000003</c:v>
                </c:pt>
                <c:pt idx="23" formatCode="0">
                  <c:v>75585.236000000004</c:v>
                </c:pt>
                <c:pt idx="24" formatCode="0">
                  <c:v>75834.506999999998</c:v>
                </c:pt>
                <c:pt idx="25" formatCode="0">
                  <c:v>76078.686000000002</c:v>
                </c:pt>
                <c:pt idx="26" formatCode="0">
                  <c:v>76317.48</c:v>
                </c:pt>
                <c:pt idx="27" formatCode="0">
                  <c:v>76550.535000000003</c:v>
                </c:pt>
                <c:pt idx="28" formatCode="0">
                  <c:v>76776.460000000006</c:v>
                </c:pt>
                <c:pt idx="29" formatCode="0">
                  <c:v>76993.637000000002</c:v>
                </c:pt>
                <c:pt idx="30" formatCode="0">
                  <c:v>77201.483000000007</c:v>
                </c:pt>
                <c:pt idx="31" formatCode="0">
                  <c:v>77399.645000000004</c:v>
                </c:pt>
                <c:pt idx="32" formatCode="0">
                  <c:v>77588.048999999999</c:v>
                </c:pt>
                <c:pt idx="33" formatCode="0">
                  <c:v>77766.709999999992</c:v>
                </c:pt>
                <c:pt idx="34" formatCode="0">
                  <c:v>77935.834000000003</c:v>
                </c:pt>
                <c:pt idx="35" formatCode="0">
                  <c:v>78096.133000000002</c:v>
                </c:pt>
                <c:pt idx="36" formatCode="0">
                  <c:v>78248.758000000002</c:v>
                </c:pt>
                <c:pt idx="37" formatCode="0">
                  <c:v>78394.896000000008</c:v>
                </c:pt>
                <c:pt idx="38" formatCode="0">
                  <c:v>78535.61</c:v>
                </c:pt>
                <c:pt idx="39" formatCode="0">
                  <c:v>78672.035999999993</c:v>
                </c:pt>
                <c:pt idx="40" formatCode="0">
                  <c:v>78805.31700000001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Calculations!$AB$2</c:f>
              <c:strCache>
                <c:ptCount val="1"/>
                <c:pt idx="0">
                  <c:v>OE (old)</c:v>
                </c:pt>
              </c:strCache>
            </c:strRef>
          </c:tx>
          <c:spPr>
            <a:ln w="38100">
              <a:solidFill>
                <a:srgbClr val="BD1B21"/>
              </a:solidFill>
              <a:prstDash val="dash"/>
            </a:ln>
          </c:spPr>
          <c:marker>
            <c:symbol val="none"/>
          </c:marker>
          <c:cat>
            <c:numRef>
              <c:f>Calculations!$Y$3:$Y$43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Calculations!$AB$3:$AB$43</c:f>
              <c:numCache>
                <c:formatCode>0</c:formatCode>
                <c:ptCount val="41"/>
                <c:pt idx="0">
                  <c:v>66744.066999999995</c:v>
                </c:pt>
                <c:pt idx="1">
                  <c:v>66983.487999999998</c:v>
                </c:pt>
                <c:pt idx="2">
                  <c:v>67603.460999999996</c:v>
                </c:pt>
                <c:pt idx="3">
                  <c:v>68265.209000000003</c:v>
                </c:pt>
                <c:pt idx="4">
                  <c:v>69154.229000000007</c:v>
                </c:pt>
                <c:pt idx="5">
                  <c:v>69734.140999999989</c:v>
                </c:pt>
                <c:pt idx="6">
                  <c:v>70226.295000000013</c:v>
                </c:pt>
                <c:pt idx="7">
                  <c:v>70628.86500000002</c:v>
                </c:pt>
                <c:pt idx="8">
                  <c:v>70939.986000000019</c:v>
                </c:pt>
                <c:pt idx="9">
                  <c:v>71242.17300000001</c:v>
                </c:pt>
                <c:pt idx="10">
                  <c:v>71535.299000000014</c:v>
                </c:pt>
                <c:pt idx="11">
                  <c:v>71819.47</c:v>
                </c:pt>
                <c:pt idx="12">
                  <c:v>72094.99500000001</c:v>
                </c:pt>
                <c:pt idx="13">
                  <c:v>72361.939000000013</c:v>
                </c:pt>
                <c:pt idx="14">
                  <c:v>72620.606</c:v>
                </c:pt>
                <c:pt idx="15">
                  <c:v>72871.606999999989</c:v>
                </c:pt>
                <c:pt idx="16">
                  <c:v>73116.782000000007</c:v>
                </c:pt>
                <c:pt idx="17">
                  <c:v>73358.104000000007</c:v>
                </c:pt>
                <c:pt idx="18">
                  <c:v>73596.38499999998</c:v>
                </c:pt>
                <c:pt idx="19">
                  <c:v>73832.18299999999</c:v>
                </c:pt>
                <c:pt idx="20">
                  <c:v>74065.816999999981</c:v>
                </c:pt>
                <c:pt idx="21">
                  <c:v>74296.872999999963</c:v>
                </c:pt>
                <c:pt idx="22">
                  <c:v>74524.851999999984</c:v>
                </c:pt>
                <c:pt idx="23">
                  <c:v>74749.708999999988</c:v>
                </c:pt>
                <c:pt idx="24">
                  <c:v>74971.281000000003</c:v>
                </c:pt>
                <c:pt idx="25">
                  <c:v>75188.12</c:v>
                </c:pt>
                <c:pt idx="26">
                  <c:v>75398.567999999985</c:v>
                </c:pt>
                <c:pt idx="27">
                  <c:v>75602.14499999999</c:v>
                </c:pt>
                <c:pt idx="28">
                  <c:v>75798.417999999991</c:v>
                </c:pt>
                <c:pt idx="29">
                  <c:v>75986.883000000002</c:v>
                </c:pt>
                <c:pt idx="30">
                  <c:v>76167.383999999991</c:v>
                </c:pt>
                <c:pt idx="31">
                  <c:v>76340.092999999993</c:v>
                </c:pt>
                <c:pt idx="32">
                  <c:v>76505.25499999999</c:v>
                </c:pt>
                <c:pt idx="33">
                  <c:v>76663.195999999996</c:v>
                </c:pt>
                <c:pt idx="34">
                  <c:v>76814.554000000004</c:v>
                </c:pt>
                <c:pt idx="35">
                  <c:v>76960.345000000001</c:v>
                </c:pt>
                <c:pt idx="36">
                  <c:v>77101.627999999997</c:v>
                </c:pt>
                <c:pt idx="37">
                  <c:v>77239.583999999973</c:v>
                </c:pt>
                <c:pt idx="38">
                  <c:v>77375.026999999973</c:v>
                </c:pt>
                <c:pt idx="39">
                  <c:v>77508.951999999961</c:v>
                </c:pt>
                <c:pt idx="40">
                  <c:v>77642.357999999964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Calculations!$AC$2</c:f>
              <c:strCache>
                <c:ptCount val="1"/>
                <c:pt idx="0">
                  <c:v>ONS (old)</c:v>
                </c:pt>
              </c:strCache>
            </c:strRef>
          </c:tx>
          <c:spPr>
            <a:ln w="38100">
              <a:solidFill>
                <a:srgbClr val="002060"/>
              </a:solidFill>
              <a:prstDash val="dash"/>
            </a:ln>
          </c:spPr>
          <c:marker>
            <c:symbol val="none"/>
          </c:marker>
          <c:cat>
            <c:numRef>
              <c:f>Calculations!$Y$3:$Y$43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Calculations!$AC$3:$AC$43</c:f>
              <c:numCache>
                <c:formatCode>0</c:formatCode>
                <c:ptCount val="41"/>
                <c:pt idx="0">
                  <c:v>66744.066999999995</c:v>
                </c:pt>
                <c:pt idx="1">
                  <c:v>66983.487999999998</c:v>
                </c:pt>
                <c:pt idx="2">
                  <c:v>67603.460999999996</c:v>
                </c:pt>
                <c:pt idx="3">
                  <c:v>68265.209000000003</c:v>
                </c:pt>
                <c:pt idx="4">
                  <c:v>69025.203000000009</c:v>
                </c:pt>
                <c:pt idx="5">
                  <c:v>69630.375999999989</c:v>
                </c:pt>
                <c:pt idx="6">
                  <c:v>70160.187000000005</c:v>
                </c:pt>
                <c:pt idx="7">
                  <c:v>70612.833000000013</c:v>
                </c:pt>
                <c:pt idx="8">
                  <c:v>70985.959000000017</c:v>
                </c:pt>
                <c:pt idx="9">
                  <c:v>71350.151000000013</c:v>
                </c:pt>
                <c:pt idx="10">
                  <c:v>71705.282000000021</c:v>
                </c:pt>
                <c:pt idx="11">
                  <c:v>72051.458000000013</c:v>
                </c:pt>
                <c:pt idx="12">
                  <c:v>72388.988000000027</c:v>
                </c:pt>
                <c:pt idx="13">
                  <c:v>72717.937000000034</c:v>
                </c:pt>
                <c:pt idx="14">
                  <c:v>73038.609000000026</c:v>
                </c:pt>
                <c:pt idx="15">
                  <c:v>73351.61500000002</c:v>
                </c:pt>
                <c:pt idx="16">
                  <c:v>73658.795000000042</c:v>
                </c:pt>
                <c:pt idx="17">
                  <c:v>73962.122000000047</c:v>
                </c:pt>
                <c:pt idx="18">
                  <c:v>74262.408000000025</c:v>
                </c:pt>
                <c:pt idx="19">
                  <c:v>74560.211000000039</c:v>
                </c:pt>
                <c:pt idx="20">
                  <c:v>74855.850000000035</c:v>
                </c:pt>
                <c:pt idx="21">
                  <c:v>75148.911000000022</c:v>
                </c:pt>
                <c:pt idx="22">
                  <c:v>75438.895000000048</c:v>
                </c:pt>
                <c:pt idx="23">
                  <c:v>75725.757000000056</c:v>
                </c:pt>
                <c:pt idx="24">
                  <c:v>76009.334000000075</c:v>
                </c:pt>
                <c:pt idx="25">
                  <c:v>76288.178000000073</c:v>
                </c:pt>
                <c:pt idx="26">
                  <c:v>76560.631000000067</c:v>
                </c:pt>
                <c:pt idx="27">
                  <c:v>76826.213000000076</c:v>
                </c:pt>
                <c:pt idx="28">
                  <c:v>77084.491000000082</c:v>
                </c:pt>
                <c:pt idx="29">
                  <c:v>77334.961000000098</c:v>
                </c:pt>
                <c:pt idx="30">
                  <c:v>77577.467000000092</c:v>
                </c:pt>
                <c:pt idx="31">
                  <c:v>77812.181000000099</c:v>
                </c:pt>
                <c:pt idx="32">
                  <c:v>78039.3480000001</c:v>
                </c:pt>
                <c:pt idx="33">
                  <c:v>78259.294000000111</c:v>
                </c:pt>
                <c:pt idx="34">
                  <c:v>78472.657000000123</c:v>
                </c:pt>
                <c:pt idx="35">
                  <c:v>78680.453000000125</c:v>
                </c:pt>
                <c:pt idx="36">
                  <c:v>78883.741000000125</c:v>
                </c:pt>
                <c:pt idx="37">
                  <c:v>79083.702000000107</c:v>
                </c:pt>
                <c:pt idx="38">
                  <c:v>79281.150000000111</c:v>
                </c:pt>
                <c:pt idx="39">
                  <c:v>79477.080000000104</c:v>
                </c:pt>
                <c:pt idx="40">
                  <c:v>79672.491000000111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64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5327047101689914"/>
          <c:y val="7.2746956585246408E-2"/>
          <c:w val="0.76665222560287882"/>
          <c:h val="5.6048135492497403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367689775097928E-2"/>
          <c:y val="0.14711796166988561"/>
          <c:w val="0.89033940297058733"/>
          <c:h val="0.7125141880849799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Calculations!$AJ$2</c:f>
              <c:strCache>
                <c:ptCount val="1"/>
              </c:strCache>
            </c:strRef>
          </c:tx>
          <c:spPr>
            <a:solidFill>
              <a:srgbClr val="7B7C77">
                <a:alpha val="70000"/>
              </a:srgbClr>
            </a:solidFill>
          </c:spPr>
          <c:invertIfNegative val="0"/>
          <c:cat>
            <c:numRef>
              <c:f>Calculations!$AE$3:$AE$43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Calculations!$AJ$3:$AJ$43</c:f>
              <c:numCache>
                <c:formatCode>General</c:formatCode>
                <c:ptCount val="41"/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B-4709-956C-A23517CC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Calculations!$AF$2</c:f>
              <c:strCache>
                <c:ptCount val="1"/>
                <c:pt idx="0">
                  <c:v>OE (new)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Calculations!$AE$3:$AE$43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Calculations!$AF$3:$AF$43</c:f>
              <c:numCache>
                <c:formatCode>0</c:formatCode>
                <c:ptCount val="41"/>
                <c:pt idx="0">
                  <c:v>42614.900500000003</c:v>
                </c:pt>
                <c:pt idx="1">
                  <c:v>42845.915000000001</c:v>
                </c:pt>
                <c:pt idx="2">
                  <c:v>43199.199999999997</c:v>
                </c:pt>
                <c:pt idx="3">
                  <c:v>43617.552000000003</c:v>
                </c:pt>
                <c:pt idx="4">
                  <c:v>44199.397000000012</c:v>
                </c:pt>
                <c:pt idx="5">
                  <c:v>44681.33</c:v>
                </c:pt>
                <c:pt idx="6">
                  <c:v>45105.289786272362</c:v>
                </c:pt>
                <c:pt idx="7">
                  <c:v>45736.221927745035</c:v>
                </c:pt>
                <c:pt idx="8">
                  <c:v>46180.929210456292</c:v>
                </c:pt>
                <c:pt idx="9">
                  <c:v>46296.628380838782</c:v>
                </c:pt>
                <c:pt idx="10">
                  <c:v>46378.975551221272</c:v>
                </c:pt>
                <c:pt idx="11">
                  <c:v>46444.249721603759</c:v>
                </c:pt>
                <c:pt idx="12">
                  <c:v>46511.146891986253</c:v>
                </c:pt>
                <c:pt idx="13">
                  <c:v>46567.09806236875</c:v>
                </c:pt>
                <c:pt idx="14">
                  <c:v>46608.56823275124</c:v>
                </c:pt>
                <c:pt idx="15">
                  <c:v>46652.419403133725</c:v>
                </c:pt>
                <c:pt idx="16">
                  <c:v>46686.084573516215</c:v>
                </c:pt>
                <c:pt idx="17">
                  <c:v>46722.459743898697</c:v>
                </c:pt>
                <c:pt idx="18">
                  <c:v>46748.21291428119</c:v>
                </c:pt>
                <c:pt idx="19">
                  <c:v>46772.66108466369</c:v>
                </c:pt>
                <c:pt idx="20">
                  <c:v>46827.023255046173</c:v>
                </c:pt>
                <c:pt idx="21">
                  <c:v>46914.979425428668</c:v>
                </c:pt>
                <c:pt idx="22">
                  <c:v>47014.810595811163</c:v>
                </c:pt>
                <c:pt idx="23">
                  <c:v>47128.74476619366</c:v>
                </c:pt>
                <c:pt idx="24">
                  <c:v>47370.251295480251</c:v>
                </c:pt>
                <c:pt idx="25">
                  <c:v>47856.558794629877</c:v>
                </c:pt>
                <c:pt idx="26">
                  <c:v>48232.801947033608</c:v>
                </c:pt>
                <c:pt idx="27">
                  <c:v>48291.624650794387</c:v>
                </c:pt>
                <c:pt idx="28">
                  <c:v>48315.944821176883</c:v>
                </c:pt>
                <c:pt idx="29">
                  <c:v>48340.136991559375</c:v>
                </c:pt>
                <c:pt idx="30">
                  <c:v>48370.682161941855</c:v>
                </c:pt>
                <c:pt idx="31">
                  <c:v>48394.392332324343</c:v>
                </c:pt>
                <c:pt idx="32">
                  <c:v>48415.722502706842</c:v>
                </c:pt>
                <c:pt idx="33">
                  <c:v>48408.04267308933</c:v>
                </c:pt>
                <c:pt idx="34">
                  <c:v>48393.246843471825</c:v>
                </c:pt>
                <c:pt idx="35">
                  <c:v>48367.980013854314</c:v>
                </c:pt>
                <c:pt idx="36">
                  <c:v>48317.418184236791</c:v>
                </c:pt>
                <c:pt idx="37">
                  <c:v>48270.877354619282</c:v>
                </c:pt>
                <c:pt idx="38">
                  <c:v>48212.038525001764</c:v>
                </c:pt>
                <c:pt idx="39">
                  <c:v>48140.836695384256</c:v>
                </c:pt>
                <c:pt idx="40">
                  <c:v>48070.232865766746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F-4122-8230-CCCF96F84815}"/>
            </c:ext>
          </c:extLst>
        </c:ser>
        <c:ser>
          <c:idx val="1"/>
          <c:order val="1"/>
          <c:tx>
            <c:strRef>
              <c:f>Calculations!$AG$2</c:f>
              <c:strCache>
                <c:ptCount val="1"/>
                <c:pt idx="0">
                  <c:v>ONS (new)</c:v>
                </c:pt>
              </c:strCache>
            </c:strRef>
          </c:tx>
          <c:spPr>
            <a:ln w="381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Calculations!$AE$3:$AE$43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Calculations!$AG$3:$AG$43</c:f>
              <c:numCache>
                <c:formatCode>General</c:formatCode>
                <c:ptCount val="41"/>
                <c:pt idx="2" formatCode="0">
                  <c:v>43198.555999999997</c:v>
                </c:pt>
                <c:pt idx="3" formatCode="0">
                  <c:v>43917.531000000003</c:v>
                </c:pt>
                <c:pt idx="4" formatCode="0">
                  <c:v>44500.020000000004</c:v>
                </c:pt>
                <c:pt idx="5" formatCode="0">
                  <c:v>44981.953000000001</c:v>
                </c:pt>
                <c:pt idx="6" formatCode="0">
                  <c:v>45495.340207650268</c:v>
                </c:pt>
                <c:pt idx="7" formatCode="0">
                  <c:v>46199.298887671233</c:v>
                </c:pt>
                <c:pt idx="8" formatCode="0">
                  <c:v>46700.663</c:v>
                </c:pt>
                <c:pt idx="9" formatCode="0">
                  <c:v>46873.019</c:v>
                </c:pt>
                <c:pt idx="10" formatCode="0">
                  <c:v>47012.023000000001</c:v>
                </c:pt>
                <c:pt idx="11" formatCode="0">
                  <c:v>47133.953999999998</c:v>
                </c:pt>
                <c:pt idx="12" formatCode="0">
                  <c:v>47257.508000000002</c:v>
                </c:pt>
                <c:pt idx="13" formatCode="0">
                  <c:v>47370.116000000002</c:v>
                </c:pt>
                <c:pt idx="14" formatCode="0">
                  <c:v>47468.243000000002</c:v>
                </c:pt>
                <c:pt idx="15" formatCode="0">
                  <c:v>47568.751000000004</c:v>
                </c:pt>
                <c:pt idx="16" formatCode="0">
                  <c:v>47659.073000000004</c:v>
                </c:pt>
                <c:pt idx="17" formatCode="0">
                  <c:v>47752.104999999996</c:v>
                </c:pt>
                <c:pt idx="18" formatCode="0">
                  <c:v>47834.514999999999</c:v>
                </c:pt>
                <c:pt idx="19" formatCode="0">
                  <c:v>47915.62</c:v>
                </c:pt>
                <c:pt idx="20" formatCode="0">
                  <c:v>48026.638999999996</c:v>
                </c:pt>
                <c:pt idx="21" formatCode="0">
                  <c:v>48171.252</c:v>
                </c:pt>
                <c:pt idx="22" formatCode="0">
                  <c:v>48327.740000000005</c:v>
                </c:pt>
                <c:pt idx="23" formatCode="0">
                  <c:v>48498.331000000006</c:v>
                </c:pt>
                <c:pt idx="24" formatCode="0">
                  <c:v>48796.494358904107</c:v>
                </c:pt>
                <c:pt idx="25" formatCode="0">
                  <c:v>49339.458687671235</c:v>
                </c:pt>
                <c:pt idx="26" formatCode="0">
                  <c:v>49772.296999999999</c:v>
                </c:pt>
                <c:pt idx="27" formatCode="0">
                  <c:v>49887.751000000004</c:v>
                </c:pt>
                <c:pt idx="28" formatCode="0">
                  <c:v>49968.728000000003</c:v>
                </c:pt>
                <c:pt idx="29" formatCode="0">
                  <c:v>50049.577000000005</c:v>
                </c:pt>
                <c:pt idx="30" formatCode="0">
                  <c:v>50136.778999999995</c:v>
                </c:pt>
                <c:pt idx="31" formatCode="0">
                  <c:v>50217.145999999993</c:v>
                </c:pt>
                <c:pt idx="32" formatCode="0">
                  <c:v>50295.133000000002</c:v>
                </c:pt>
                <c:pt idx="33" formatCode="0">
                  <c:v>50344.11</c:v>
                </c:pt>
                <c:pt idx="34" formatCode="0">
                  <c:v>50385.971000000005</c:v>
                </c:pt>
                <c:pt idx="35" formatCode="0">
                  <c:v>50417.361000000004</c:v>
                </c:pt>
                <c:pt idx="36" formatCode="0">
                  <c:v>50423.455999999998</c:v>
                </c:pt>
                <c:pt idx="37" formatCode="0">
                  <c:v>50433.572</c:v>
                </c:pt>
                <c:pt idx="38" formatCode="0">
                  <c:v>50431.39</c:v>
                </c:pt>
                <c:pt idx="39" formatCode="0">
                  <c:v>50416.845000000001</c:v>
                </c:pt>
                <c:pt idx="40" formatCode="0">
                  <c:v>50402.898000000001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7F-4122-8230-CCCF96F84815}"/>
            </c:ext>
          </c:extLst>
        </c:ser>
        <c:ser>
          <c:idx val="2"/>
          <c:order val="2"/>
          <c:tx>
            <c:strRef>
              <c:f>Calculations!$AH$2</c:f>
              <c:strCache>
                <c:ptCount val="1"/>
                <c:pt idx="0">
                  <c:v>OE (old)</c:v>
                </c:pt>
              </c:strCache>
            </c:strRef>
          </c:tx>
          <c:spPr>
            <a:ln w="38100">
              <a:solidFill>
                <a:srgbClr val="BD1B21"/>
              </a:solidFill>
              <a:prstDash val="dash"/>
            </a:ln>
          </c:spPr>
          <c:marker>
            <c:symbol val="none"/>
          </c:marker>
          <c:cat>
            <c:numRef>
              <c:f>Calculations!$AE$3:$AE$43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Calculations!$AH$3:$AH$43</c:f>
              <c:numCache>
                <c:formatCode>0</c:formatCode>
                <c:ptCount val="41"/>
                <c:pt idx="0">
                  <c:v>42614.900500000003</c:v>
                </c:pt>
                <c:pt idx="1">
                  <c:v>42845.915000000001</c:v>
                </c:pt>
                <c:pt idx="2">
                  <c:v>43199.199999999997</c:v>
                </c:pt>
                <c:pt idx="3">
                  <c:v>43617.552000000003</c:v>
                </c:pt>
                <c:pt idx="4">
                  <c:v>44484.053030766227</c:v>
                </c:pt>
                <c:pt idx="5">
                  <c:v>44862.592295538838</c:v>
                </c:pt>
                <c:pt idx="6">
                  <c:v>45281.521466483529</c:v>
                </c:pt>
                <c:pt idx="7">
                  <c:v>45904.154591512241</c:v>
                </c:pt>
                <c:pt idx="8">
                  <c:v>46332.655476738677</c:v>
                </c:pt>
                <c:pt idx="9">
                  <c:v>46430.74578662264</c:v>
                </c:pt>
                <c:pt idx="10">
                  <c:v>46495.167096506608</c:v>
                </c:pt>
                <c:pt idx="11">
                  <c:v>46541.490406390578</c:v>
                </c:pt>
                <c:pt idx="12">
                  <c:v>46587.435716274551</c:v>
                </c:pt>
                <c:pt idx="13">
                  <c:v>46621.511026158529</c:v>
                </c:pt>
                <c:pt idx="14">
                  <c:v>46639.529336042498</c:v>
                </c:pt>
                <c:pt idx="15">
                  <c:v>46656.564645926461</c:v>
                </c:pt>
                <c:pt idx="16">
                  <c:v>46664.336955810439</c:v>
                </c:pt>
                <c:pt idx="17">
                  <c:v>46670.410265694409</c:v>
                </c:pt>
                <c:pt idx="18">
                  <c:v>46671.474575578381</c:v>
                </c:pt>
                <c:pt idx="19">
                  <c:v>46673.661885462345</c:v>
                </c:pt>
                <c:pt idx="20">
                  <c:v>46752.706195346305</c:v>
                </c:pt>
                <c:pt idx="21">
                  <c:v>46869.51750523028</c:v>
                </c:pt>
                <c:pt idx="22">
                  <c:v>46998.435815114251</c:v>
                </c:pt>
                <c:pt idx="23">
                  <c:v>47142.266124998219</c:v>
                </c:pt>
                <c:pt idx="24">
                  <c:v>47414.700632142463</c:v>
                </c:pt>
                <c:pt idx="25">
                  <c:v>47932.917380382605</c:v>
                </c:pt>
                <c:pt idx="26">
                  <c:v>48340.088572037712</c:v>
                </c:pt>
                <c:pt idx="27">
                  <c:v>48428.709039964735</c:v>
                </c:pt>
                <c:pt idx="28">
                  <c:v>48482.09034984871</c:v>
                </c:pt>
                <c:pt idx="29">
                  <c:v>48535.571659732675</c:v>
                </c:pt>
                <c:pt idx="30">
                  <c:v>48593.633969616647</c:v>
                </c:pt>
                <c:pt idx="31">
                  <c:v>48645.648279500623</c:v>
                </c:pt>
                <c:pt idx="32">
                  <c:v>48696.219589384586</c:v>
                </c:pt>
                <c:pt idx="33">
                  <c:v>48719.27889926856</c:v>
                </c:pt>
                <c:pt idx="34">
                  <c:v>48736.911209152524</c:v>
                </c:pt>
                <c:pt idx="35">
                  <c:v>48744.977519036496</c:v>
                </c:pt>
                <c:pt idx="36">
                  <c:v>48729.947828920464</c:v>
                </c:pt>
                <c:pt idx="37">
                  <c:v>48719.333138804439</c:v>
                </c:pt>
                <c:pt idx="38">
                  <c:v>48696.308448688411</c:v>
                </c:pt>
                <c:pt idx="39">
                  <c:v>48661.887758572375</c:v>
                </c:pt>
                <c:pt idx="40">
                  <c:v>48629.518068456346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7F-4122-8230-CCCF96F84815}"/>
            </c:ext>
          </c:extLst>
        </c:ser>
        <c:ser>
          <c:idx val="3"/>
          <c:order val="3"/>
          <c:tx>
            <c:strRef>
              <c:f>Calculations!$AI$2</c:f>
              <c:strCache>
                <c:ptCount val="1"/>
                <c:pt idx="0">
                  <c:v>ONS (old)</c:v>
                </c:pt>
              </c:strCache>
            </c:strRef>
          </c:tx>
          <c:spPr>
            <a:ln w="38100">
              <a:solidFill>
                <a:srgbClr val="002060"/>
              </a:solidFill>
              <a:prstDash val="dash"/>
            </a:ln>
          </c:spPr>
          <c:marker>
            <c:symbol val="none"/>
          </c:marker>
          <c:cat>
            <c:numRef>
              <c:f>Calculations!$AE$3:$AE$43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Calculations!$AI$3:$AI$43</c:f>
              <c:numCache>
                <c:formatCode>0</c:formatCode>
                <c:ptCount val="41"/>
                <c:pt idx="0">
                  <c:v>42614.900500000003</c:v>
                </c:pt>
                <c:pt idx="1">
                  <c:v>42845.915000000001</c:v>
                </c:pt>
                <c:pt idx="2">
                  <c:v>43199.199999999997</c:v>
                </c:pt>
                <c:pt idx="3">
                  <c:v>43617.552000000003</c:v>
                </c:pt>
                <c:pt idx="4">
                  <c:v>44364.505999999994</c:v>
                </c:pt>
                <c:pt idx="5">
                  <c:v>44764.259999999995</c:v>
                </c:pt>
                <c:pt idx="6">
                  <c:v>45214.791136612024</c:v>
                </c:pt>
                <c:pt idx="7">
                  <c:v>45879.42242465754</c:v>
                </c:pt>
                <c:pt idx="8">
                  <c:v>46359.850000000006</c:v>
                </c:pt>
                <c:pt idx="9">
                  <c:v>46509.866999999998</c:v>
                </c:pt>
                <c:pt idx="10">
                  <c:v>46626.214999999997</c:v>
                </c:pt>
                <c:pt idx="11">
                  <c:v>46724.464999999997</c:v>
                </c:pt>
                <c:pt idx="12">
                  <c:v>46822.337</c:v>
                </c:pt>
                <c:pt idx="13">
                  <c:v>46908.339000000007</c:v>
                </c:pt>
                <c:pt idx="14">
                  <c:v>46978.284000000007</c:v>
                </c:pt>
                <c:pt idx="15">
                  <c:v>47047.245999999999</c:v>
                </c:pt>
                <c:pt idx="16">
                  <c:v>47106.945000000007</c:v>
                </c:pt>
                <c:pt idx="17">
                  <c:v>47164.945000000007</c:v>
                </c:pt>
                <c:pt idx="18">
                  <c:v>47217.936000000009</c:v>
                </c:pt>
                <c:pt idx="19">
                  <c:v>47272.05</c:v>
                </c:pt>
                <c:pt idx="20">
                  <c:v>47403.020999999993</c:v>
                </c:pt>
                <c:pt idx="21">
                  <c:v>47571.758999999998</c:v>
                </c:pt>
                <c:pt idx="22">
                  <c:v>47752.603999999999</c:v>
                </c:pt>
                <c:pt idx="23">
                  <c:v>47948.360999999997</c:v>
                </c:pt>
                <c:pt idx="24">
                  <c:v>48272.722197260271</c:v>
                </c:pt>
                <c:pt idx="25">
                  <c:v>48842.865635616443</c:v>
                </c:pt>
                <c:pt idx="26">
                  <c:v>49301.910000000011</c:v>
                </c:pt>
                <c:pt idx="27">
                  <c:v>49442.434999999998</c:v>
                </c:pt>
                <c:pt idx="28">
                  <c:v>49547.743000000002</c:v>
                </c:pt>
                <c:pt idx="29">
                  <c:v>49653.150999999998</c:v>
                </c:pt>
                <c:pt idx="30">
                  <c:v>49763.14</c:v>
                </c:pt>
                <c:pt idx="31">
                  <c:v>49867.081000000006</c:v>
                </c:pt>
                <c:pt idx="32">
                  <c:v>49969.578999999998</c:v>
                </c:pt>
                <c:pt idx="33">
                  <c:v>50044.565000000002</c:v>
                </c:pt>
                <c:pt idx="34">
                  <c:v>50114.123999999996</c:v>
                </c:pt>
                <c:pt idx="35">
                  <c:v>50174.116999999998</c:v>
                </c:pt>
                <c:pt idx="36">
                  <c:v>50211.013999999996</c:v>
                </c:pt>
                <c:pt idx="37">
                  <c:v>50252.326000000001</c:v>
                </c:pt>
                <c:pt idx="38">
                  <c:v>50281.228000000003</c:v>
                </c:pt>
                <c:pt idx="39">
                  <c:v>50298.733999999997</c:v>
                </c:pt>
                <c:pt idx="40">
                  <c:v>50318.290999999997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F-4122-8230-CCCF96F84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5"/>
        <c:noMultiLvlLbl val="0"/>
      </c:catAx>
      <c:valAx>
        <c:axId val="263608576"/>
        <c:scaling>
          <c:orientation val="minMax"/>
          <c:max val="51000"/>
          <c:min val="42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13518651221254777"/>
          <c:y val="8.0294161343039669E-2"/>
          <c:w val="0.76644595696724349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FE3F1D-85C4-4171-9F6F-EC900215B6C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E78E5B-CFC5-4B06-98E2-B76C56C1E11F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3DCCE1-A097-4082-8B7B-12E99567356D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4C3ED7-670F-44C7-A654-0753D09EE2A2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3A7DDB-4B0A-4697-900D-871A3F475D9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5DB7EA-EBC0-4884-911E-E42A1CF3BDE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9E30EF-EF9C-4715-9DD9-DD2C713CA0E6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0B4059-9B9E-44DE-BBFD-13B68D0EE9C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D38CB3-889C-40FF-A723-8E8A1315B8F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C98ED4-ED86-46D6-B258-DAF2B3EEEE5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954E5-B102-BD12-8747-80887B942C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1F950-7FFC-5506-9D13-9F6EB569071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Total population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0384A70-F47A-692C-592F-86704F7276BC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Economics/Haver Analytics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0.21353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9680B5B-463C-4CBA-C823-FF5AA55A1AD9}"/>
            </a:ext>
          </a:extLst>
        </cdr:cNvPr>
        <cdr:cNvSpPr txBox="1"/>
      </cdr:nvSpPr>
      <cdr:spPr>
        <a:xfrm xmlns:a="http://schemas.openxmlformats.org/drawingml/2006/main">
          <a:off x="0" y="507521"/>
          <a:ext cx="1800000" cy="342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5E293-7553-7FB4-5B5E-0A78CF1E1C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430545-2AB2-0128-C5EC-AD9923E459E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Net inward migration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A1654F6-651C-10CE-9C44-2AD70BFA0739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Economics/Haver Analytics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0.21353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E4C1362-0E09-0F36-E6FB-72D8A7ECAC63}"/>
            </a:ext>
          </a:extLst>
        </cdr:cNvPr>
        <cdr:cNvSpPr txBox="1"/>
      </cdr:nvSpPr>
      <cdr:spPr>
        <a:xfrm xmlns:a="http://schemas.openxmlformats.org/drawingml/2006/main">
          <a:off x="0" y="507521"/>
          <a:ext cx="1800000" cy="342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40A27-93F3-8434-F8DA-5471B5017A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3FA16D-45C3-6D83-939A-2C5E0DBA908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Nautral change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60700D6-A1A3-44D5-A889-B14BDBE93E1E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Economics/Haver Analytics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1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EC2D267-CFE7-890B-5067-64901605282F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B60C7-E8C7-CA27-7F07-439235CE81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49A7F-3285-D92B-2A0F-42005F94BC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ONS principal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projections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total population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AFF44F-0E59-AECF-F05D-B10D33B85AAB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0.21353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E08682D-A45F-214B-2BA6-CC76478773C0}"/>
            </a:ext>
          </a:extLst>
        </cdr:cNvPr>
        <cdr:cNvSpPr txBox="1"/>
      </cdr:nvSpPr>
      <cdr:spPr>
        <a:xfrm xmlns:a="http://schemas.openxmlformats.org/drawingml/2006/main">
          <a:off x="0" y="507521"/>
          <a:ext cx="1800000" cy="342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Millions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48D79-6650-BDCC-F745-F55D971175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49A7F-3285-D92B-2A0F-42005F94BC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ONS principal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projections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net inward migration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AFF44F-0E59-AECF-F05D-B10D33B85AAB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0.21353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E08682D-A45F-214B-2BA6-CC76478773C0}"/>
            </a:ext>
          </a:extLst>
        </cdr:cNvPr>
        <cdr:cNvSpPr txBox="1"/>
      </cdr:nvSpPr>
      <cdr:spPr>
        <a:xfrm xmlns:a="http://schemas.openxmlformats.org/drawingml/2006/main">
          <a:off x="0" y="507521"/>
          <a:ext cx="1800000" cy="342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7A428-9E81-84C8-4E70-B016DCACC7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49A7F-3285-D92B-2A0F-42005F94BC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ONS principal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projections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natural change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AFF44F-0E59-AECF-F05D-B10D33B85AAB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0.21353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E08682D-A45F-214B-2BA6-CC76478773C0}"/>
            </a:ext>
          </a:extLst>
        </cdr:cNvPr>
        <cdr:cNvSpPr txBox="1"/>
      </cdr:nvSpPr>
      <cdr:spPr>
        <a:xfrm xmlns:a="http://schemas.openxmlformats.org/drawingml/2006/main">
          <a:off x="0" y="507521"/>
          <a:ext cx="1800000" cy="342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880D5-76AC-4462-076C-C5EB89237E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49A7F-3285-D92B-2A0F-42005F94BC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ONS principal population projections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AFF44F-0E59-AECF-F05D-B10D33B85AAB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0.21353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E08682D-A45F-214B-2BA6-CC76478773C0}"/>
            </a:ext>
          </a:extLst>
        </cdr:cNvPr>
        <cdr:cNvSpPr txBox="1"/>
      </cdr:nvSpPr>
      <cdr:spPr>
        <a:xfrm xmlns:a="http://schemas.openxmlformats.org/drawingml/2006/main">
          <a:off x="0" y="507521"/>
          <a:ext cx="1800000" cy="342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  <cdr:relSizeAnchor xmlns:cdr="http://schemas.openxmlformats.org/drawingml/2006/chartDrawing">
    <cdr:from>
      <cdr:x>0.52542</cdr:x>
      <cdr:y>0</cdr:y>
    </cdr:from>
    <cdr:to>
      <cdr:x>1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C1C791D2-5681-2E35-4B07-3910458D654A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0.0904</cdr:x>
      <cdr:y>0.10231</cdr:y>
    </cdr:from>
    <cdr:to>
      <cdr:x>0.4678</cdr:x>
      <cdr:y>0.15326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000E72A-1419-3AD7-1234-4CE55DC112E5}"/>
            </a:ext>
          </a:extLst>
        </cdr:cNvPr>
        <cdr:cNvSpPr txBox="1"/>
      </cdr:nvSpPr>
      <cdr:spPr>
        <a:xfrm xmlns:a="http://schemas.openxmlformats.org/drawingml/2006/main">
          <a:off x="761999" y="688975"/>
          <a:ext cx="3181351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Net inward migration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</cdr:x>
      <cdr:y>0.10231</cdr:y>
    </cdr:from>
    <cdr:to>
      <cdr:x>0.91429</cdr:x>
      <cdr:y>0.15326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23EE5E3-4775-5F7A-DDBB-BAEC6FF03C01}"/>
            </a:ext>
          </a:extLst>
        </cdr:cNvPr>
        <cdr:cNvSpPr txBox="1"/>
      </cdr:nvSpPr>
      <cdr:spPr>
        <a:xfrm xmlns:a="http://schemas.openxmlformats.org/drawingml/2006/main">
          <a:off x="400050" y="688975"/>
          <a:ext cx="3257549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Natural change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C38EB-75B1-4C96-B521-C52080EB75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49A7F-3285-D92B-2A0F-42005F94BC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ONS principal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projections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natural change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AFF44F-0E59-AECF-F05D-B10D33B85AAB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0.21353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E08682D-A45F-214B-2BA6-CC76478773C0}"/>
            </a:ext>
          </a:extLst>
        </cdr:cNvPr>
        <cdr:cNvSpPr txBox="1"/>
      </cdr:nvSpPr>
      <cdr:spPr>
        <a:xfrm xmlns:a="http://schemas.openxmlformats.org/drawingml/2006/main">
          <a:off x="0" y="507521"/>
          <a:ext cx="1800000" cy="342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B7F73-BA9A-FCF9-5CDE-D3F6B78879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DB5FAC6-11E5-EFA0-1509-C1F68FE34E9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Total population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6D83B04-8601-039F-063F-37FDA14D772F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Economics/Haver Analytics</a:t>
          </a:r>
        </a:p>
      </cdr:txBody>
    </cdr:sp>
  </cdr:relSizeAnchor>
  <cdr:relSizeAnchor xmlns:cdr="http://schemas.openxmlformats.org/drawingml/2006/chartDrawing">
    <cdr:from>
      <cdr:x>0.00226</cdr:x>
      <cdr:y>0.07406</cdr:y>
    </cdr:from>
    <cdr:to>
      <cdr:x>0.21585</cdr:x>
      <cdr:y>0.125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38E7BDE-8F60-4A56-2086-41A97B4F8589}"/>
            </a:ext>
          </a:extLst>
        </cdr:cNvPr>
        <cdr:cNvSpPr txBox="1"/>
      </cdr:nvSpPr>
      <cdr:spPr>
        <a:xfrm xmlns:a="http://schemas.openxmlformats.org/drawingml/2006/main">
          <a:off x="19050" y="49847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Millions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3A3CA-9F4B-B543-F381-1472BCC9FD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DB5FAC6-11E5-EFA0-1509-C1F68FE34E9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Working age population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6D83B04-8601-039F-063F-37FDA14D772F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ONS</a:t>
          </a:r>
        </a:p>
      </cdr:txBody>
    </cdr:sp>
  </cdr:relSizeAnchor>
  <cdr:relSizeAnchor xmlns:cdr="http://schemas.openxmlformats.org/drawingml/2006/chartDrawing">
    <cdr:from>
      <cdr:x>0.00226</cdr:x>
      <cdr:y>0.07406</cdr:y>
    </cdr:from>
    <cdr:to>
      <cdr:x>0.21585</cdr:x>
      <cdr:y>0.125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38E7BDE-8F60-4A56-2086-41A97B4F8589}"/>
            </a:ext>
          </a:extLst>
        </cdr:cNvPr>
        <cdr:cNvSpPr txBox="1"/>
      </cdr:nvSpPr>
      <cdr:spPr>
        <a:xfrm xmlns:a="http://schemas.openxmlformats.org/drawingml/2006/main">
          <a:off x="19050" y="49847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0.27571</cdr:x>
      <cdr:y>0.73692</cdr:y>
    </cdr:from>
    <cdr:to>
      <cdr:x>0.59435</cdr:x>
      <cdr:y>0.85007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E3E27BB-6D9A-D3B9-CB62-2E2055A8DD96}"/>
            </a:ext>
          </a:extLst>
        </cdr:cNvPr>
        <cdr:cNvSpPr txBox="1"/>
      </cdr:nvSpPr>
      <cdr:spPr>
        <a:xfrm xmlns:a="http://schemas.openxmlformats.org/drawingml/2006/main">
          <a:off x="2324138" y="4962548"/>
          <a:ext cx="2686015" cy="7619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Increases in state pension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age</a:t>
          </a:r>
          <a:endParaRPr lang="en-GB" sz="18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0.53333</cdr:x>
      <cdr:y>0.79632</cdr:y>
    </cdr:from>
    <cdr:to>
      <cdr:x>0.59312</cdr:x>
      <cdr:y>0.79632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6A25724B-2414-297A-8DE7-3D88A7371C1B}"/>
            </a:ext>
          </a:extLst>
        </cdr:cNvPr>
        <cdr:cNvCxnSpPr/>
      </cdr:nvCxnSpPr>
      <cdr:spPr>
        <a:xfrm xmlns:a="http://schemas.openxmlformats.org/drawingml/2006/main">
          <a:off x="4495784" y="5362551"/>
          <a:ext cx="504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0.26667</cdr:x>
      <cdr:y>0.79538</cdr:y>
    </cdr:from>
    <cdr:to>
      <cdr:x>0.32646</cdr:x>
      <cdr:y>0.79538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62CC5237-0CC7-5C8D-8B75-C8E72C1B4454}"/>
            </a:ext>
          </a:extLst>
        </cdr:cNvPr>
        <cdr:cNvCxnSpPr/>
      </cdr:nvCxnSpPr>
      <cdr:spPr>
        <a:xfrm xmlns:a="http://schemas.openxmlformats.org/drawingml/2006/main" flipH="1">
          <a:off x="2247928" y="5356228"/>
          <a:ext cx="504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ow\Jan25\Population%20Calculations.xlsx" TargetMode="External"/><Relationship Id="rId1" Type="http://schemas.openxmlformats.org/officeDocument/2006/relationships/externalLinkPath" Target="file:///C:\now\Jan25\Population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DATA"/>
      <sheetName val="COVID"/>
      <sheetName val="&gt;&gt;2022-BASED"/>
      <sheetName val="2022-based"/>
      <sheetName val="2022 calcs"/>
      <sheetName val="2022 popproj"/>
      <sheetName val="2022 popproj migration"/>
      <sheetName val="&gt;&gt;2021-BASED"/>
      <sheetName val="2021-based"/>
      <sheetName val="2021 calcs"/>
      <sheetName val="2021 popproj"/>
      <sheetName val="2021 popproj migration"/>
      <sheetName val="2023 estimation"/>
      <sheetName val="MYEUK12-22"/>
      <sheetName val="EW history"/>
      <sheetName val="&gt;&gt;2020-BASED"/>
      <sheetName val="2020-based"/>
      <sheetName val="2020 calcs"/>
      <sheetName val="2020 PERSONS"/>
      <sheetName val="2020 MALES"/>
      <sheetName val="2020 FEMALES"/>
      <sheetName val="Pension calculations - females"/>
      <sheetName val="Pension calculations - Males"/>
    </sheetNames>
    <sheetDataSet>
      <sheetData sheetId="0" refreshError="1"/>
      <sheetData sheetId="1" refreshError="1"/>
      <sheetData sheetId="2" refreshError="1"/>
      <sheetData sheetId="3">
        <row r="27">
          <cell r="Q27">
            <v>66744.066999999995</v>
          </cell>
          <cell r="R27">
            <v>42614.900500000003</v>
          </cell>
        </row>
        <row r="28">
          <cell r="Q28">
            <v>66983.487999999998</v>
          </cell>
          <cell r="R28">
            <v>42845.915000000001</v>
          </cell>
        </row>
        <row r="29">
          <cell r="B29">
            <v>67602.760999999999</v>
          </cell>
          <cell r="C29">
            <v>43198.555999999997</v>
          </cell>
          <cell r="Q29">
            <v>67603.460999999996</v>
          </cell>
          <cell r="R29">
            <v>43199.199999999997</v>
          </cell>
        </row>
        <row r="30">
          <cell r="B30">
            <v>68492.494999999995</v>
          </cell>
          <cell r="C30">
            <v>43917.531000000003</v>
          </cell>
          <cell r="Q30">
            <v>68265.209000000003</v>
          </cell>
          <cell r="R30">
            <v>43617.552000000003</v>
          </cell>
        </row>
        <row r="31">
          <cell r="B31">
            <v>69226.231</v>
          </cell>
          <cell r="C31">
            <v>44500.020000000004</v>
          </cell>
          <cell r="Q31">
            <v>69226.209000000003</v>
          </cell>
          <cell r="R31">
            <v>44199.397000000012</v>
          </cell>
        </row>
        <row r="32">
          <cell r="B32">
            <v>69867.978999999992</v>
          </cell>
          <cell r="C32">
            <v>44981.953000000001</v>
          </cell>
          <cell r="Q32">
            <v>69867.956999999995</v>
          </cell>
          <cell r="R32">
            <v>44681.33</v>
          </cell>
        </row>
        <row r="33">
          <cell r="B33">
            <v>70414.3</v>
          </cell>
          <cell r="C33">
            <v>45495.340207650268</v>
          </cell>
          <cell r="Q33">
            <v>70307.518000000011</v>
          </cell>
          <cell r="R33">
            <v>45105.289786272362</v>
          </cell>
        </row>
        <row r="34">
          <cell r="B34">
            <v>70861.913</v>
          </cell>
          <cell r="C34">
            <v>46199.298887671233</v>
          </cell>
          <cell r="Q34">
            <v>70667.791000000012</v>
          </cell>
          <cell r="R34">
            <v>45736.221927745035</v>
          </cell>
        </row>
        <row r="35">
          <cell r="B35">
            <v>71208.100999999995</v>
          </cell>
          <cell r="C35">
            <v>46700.663</v>
          </cell>
          <cell r="Q35">
            <v>70945.978999999992</v>
          </cell>
          <cell r="R35">
            <v>46180.929210456292</v>
          </cell>
        </row>
        <row r="36">
          <cell r="B36">
            <v>71547.661999999997</v>
          </cell>
          <cell r="C36">
            <v>46873.019</v>
          </cell>
          <cell r="Q36">
            <v>71217.540000000008</v>
          </cell>
          <cell r="R36">
            <v>46296.628380838782</v>
          </cell>
        </row>
        <row r="37">
          <cell r="B37">
            <v>71879.988000000012</v>
          </cell>
          <cell r="C37">
            <v>47012.023000000001</v>
          </cell>
          <cell r="Q37">
            <v>71481.866000000024</v>
          </cell>
          <cell r="R37">
            <v>46378.975551221272</v>
          </cell>
        </row>
        <row r="38">
          <cell r="B38">
            <v>72204.573999999993</v>
          </cell>
          <cell r="C38">
            <v>47133.953999999998</v>
          </cell>
          <cell r="Q38">
            <v>71738.45199999999</v>
          </cell>
          <cell r="R38">
            <v>46444.249721603759</v>
          </cell>
        </row>
        <row r="39">
          <cell r="B39">
            <v>72521.17300000001</v>
          </cell>
          <cell r="C39">
            <v>47257.508000000002</v>
          </cell>
          <cell r="Q39">
            <v>71987.051000000007</v>
          </cell>
          <cell r="R39">
            <v>46511.146891986253</v>
          </cell>
        </row>
        <row r="40">
          <cell r="B40">
            <v>72830.021000000008</v>
          </cell>
          <cell r="C40">
            <v>47370.116000000002</v>
          </cell>
          <cell r="Q40">
            <v>72227.899000000005</v>
          </cell>
          <cell r="R40">
            <v>46567.09806236875</v>
          </cell>
        </row>
        <row r="41">
          <cell r="B41">
            <v>73131.597000000009</v>
          </cell>
          <cell r="C41">
            <v>47468.243000000002</v>
          </cell>
          <cell r="Q41">
            <v>72461.475000000006</v>
          </cell>
          <cell r="R41">
            <v>46608.56823275124</v>
          </cell>
        </row>
        <row r="42">
          <cell r="B42">
            <v>73426.168000000005</v>
          </cell>
          <cell r="C42">
            <v>47568.751000000004</v>
          </cell>
          <cell r="Q42">
            <v>72688.046000000002</v>
          </cell>
          <cell r="R42">
            <v>46652.419403133725</v>
          </cell>
        </row>
        <row r="43">
          <cell r="B43">
            <v>73714.089000000007</v>
          </cell>
          <cell r="C43">
            <v>47659.073000000004</v>
          </cell>
          <cell r="Q43">
            <v>72907.967000000004</v>
          </cell>
          <cell r="R43">
            <v>46686.084573516215</v>
          </cell>
        </row>
        <row r="44">
          <cell r="B44">
            <v>73995.940999999992</v>
          </cell>
          <cell r="C44">
            <v>47752.104999999996</v>
          </cell>
          <cell r="Q44">
            <v>73121.818999999989</v>
          </cell>
          <cell r="R44">
            <v>46722.459743898697</v>
          </cell>
        </row>
        <row r="45">
          <cell r="B45">
            <v>74272.334000000003</v>
          </cell>
          <cell r="C45">
            <v>47834.514999999999</v>
          </cell>
          <cell r="Q45">
            <v>73330.212</v>
          </cell>
          <cell r="R45">
            <v>46748.21291428119</v>
          </cell>
        </row>
        <row r="46">
          <cell r="B46">
            <v>74543.737999999998</v>
          </cell>
          <cell r="C46">
            <v>47915.62</v>
          </cell>
          <cell r="Q46">
            <v>73533.616000000009</v>
          </cell>
          <cell r="R46">
            <v>46772.66108466369</v>
          </cell>
        </row>
        <row r="47">
          <cell r="B47">
            <v>74810.478000000003</v>
          </cell>
          <cell r="C47">
            <v>48026.638999999996</v>
          </cell>
          <cell r="Q47">
            <v>73732.356000000014</v>
          </cell>
          <cell r="R47">
            <v>46827.023255046173</v>
          </cell>
        </row>
        <row r="48">
          <cell r="B48">
            <v>75072.891999999993</v>
          </cell>
          <cell r="C48">
            <v>48171.252</v>
          </cell>
          <cell r="Q48">
            <v>73926.770000000019</v>
          </cell>
          <cell r="R48">
            <v>46914.979425428668</v>
          </cell>
        </row>
        <row r="49">
          <cell r="B49">
            <v>75331.209000000003</v>
          </cell>
          <cell r="C49">
            <v>48327.740000000005</v>
          </cell>
          <cell r="Q49">
            <v>74117.087000000029</v>
          </cell>
          <cell r="R49">
            <v>47014.810595811163</v>
          </cell>
        </row>
        <row r="50">
          <cell r="B50">
            <v>75585.236000000004</v>
          </cell>
          <cell r="C50">
            <v>48498.331000000006</v>
          </cell>
          <cell r="Q50">
            <v>74303.114000000031</v>
          </cell>
          <cell r="R50">
            <v>47128.74476619366</v>
          </cell>
        </row>
        <row r="51">
          <cell r="B51">
            <v>75834.506999999998</v>
          </cell>
          <cell r="C51">
            <v>48796.494358904107</v>
          </cell>
          <cell r="Q51">
            <v>74484.385000000038</v>
          </cell>
          <cell r="R51">
            <v>47370.251295480251</v>
          </cell>
        </row>
        <row r="52">
          <cell r="B52">
            <v>76078.686000000002</v>
          </cell>
          <cell r="C52">
            <v>49339.458687671235</v>
          </cell>
          <cell r="Q52">
            <v>74660.564000000057</v>
          </cell>
          <cell r="R52">
            <v>47856.558794629877</v>
          </cell>
        </row>
        <row r="53">
          <cell r="B53">
            <v>76317.48</v>
          </cell>
          <cell r="C53">
            <v>49772.296999999999</v>
          </cell>
          <cell r="Q53">
            <v>74831.358000000051</v>
          </cell>
          <cell r="R53">
            <v>48232.801947033608</v>
          </cell>
        </row>
        <row r="54">
          <cell r="B54">
            <v>76550.535000000003</v>
          </cell>
          <cell r="C54">
            <v>49887.751000000004</v>
          </cell>
          <cell r="Q54">
            <v>74996.413000000044</v>
          </cell>
          <cell r="R54">
            <v>48291.624650794387</v>
          </cell>
        </row>
        <row r="55">
          <cell r="B55">
            <v>76776.460000000006</v>
          </cell>
          <cell r="C55">
            <v>49968.728000000003</v>
          </cell>
          <cell r="Q55">
            <v>75154.338000000047</v>
          </cell>
          <cell r="R55">
            <v>48315.944821176883</v>
          </cell>
        </row>
        <row r="56">
          <cell r="B56">
            <v>76993.637000000002</v>
          </cell>
          <cell r="C56">
            <v>50049.577000000005</v>
          </cell>
          <cell r="Q56">
            <v>75303.515000000029</v>
          </cell>
          <cell r="R56">
            <v>48340.136991559375</v>
          </cell>
        </row>
        <row r="57">
          <cell r="B57">
            <v>77201.483000000007</v>
          </cell>
          <cell r="C57">
            <v>50136.778999999995</v>
          </cell>
          <cell r="Q57">
            <v>75443.361000000019</v>
          </cell>
          <cell r="R57">
            <v>48370.682161941855</v>
          </cell>
        </row>
        <row r="58">
          <cell r="B58">
            <v>77399.645000000004</v>
          </cell>
          <cell r="C58">
            <v>50217.145999999993</v>
          </cell>
          <cell r="Q58">
            <v>75573.523000000016</v>
          </cell>
          <cell r="R58">
            <v>48394.392332324343</v>
          </cell>
        </row>
        <row r="59">
          <cell r="B59">
            <v>77588.048999999999</v>
          </cell>
          <cell r="C59">
            <v>50295.133000000002</v>
          </cell>
          <cell r="Q59">
            <v>75693.927000000011</v>
          </cell>
          <cell r="R59">
            <v>48415.722502706842</v>
          </cell>
        </row>
        <row r="60">
          <cell r="B60">
            <v>77766.709999999992</v>
          </cell>
          <cell r="C60">
            <v>50344.11</v>
          </cell>
          <cell r="Q60">
            <v>75804.587999999989</v>
          </cell>
          <cell r="R60">
            <v>48408.04267308933</v>
          </cell>
        </row>
        <row r="61">
          <cell r="B61">
            <v>77935.834000000003</v>
          </cell>
          <cell r="C61">
            <v>50385.971000000005</v>
          </cell>
          <cell r="Q61">
            <v>75905.712</v>
          </cell>
          <cell r="R61">
            <v>48393.246843471825</v>
          </cell>
        </row>
        <row r="62">
          <cell r="B62">
            <v>78096.133000000002</v>
          </cell>
          <cell r="C62">
            <v>50417.361000000004</v>
          </cell>
          <cell r="Q62">
            <v>75998.010999999999</v>
          </cell>
          <cell r="R62">
            <v>48367.980013854314</v>
          </cell>
        </row>
        <row r="63">
          <cell r="B63">
            <v>78248.758000000002</v>
          </cell>
          <cell r="C63">
            <v>50423.455999999998</v>
          </cell>
          <cell r="Q63">
            <v>76082.635999999999</v>
          </cell>
          <cell r="R63">
            <v>48317.418184236791</v>
          </cell>
        </row>
        <row r="64">
          <cell r="B64">
            <v>78394.896000000008</v>
          </cell>
          <cell r="C64">
            <v>50433.572</v>
          </cell>
          <cell r="Q64">
            <v>76160.774000000005</v>
          </cell>
          <cell r="R64">
            <v>48270.877354619282</v>
          </cell>
        </row>
        <row r="65">
          <cell r="B65">
            <v>78535.61</v>
          </cell>
          <cell r="C65">
            <v>50431.39</v>
          </cell>
          <cell r="Q65">
            <v>76233.488000000012</v>
          </cell>
          <cell r="R65">
            <v>48212.038525001764</v>
          </cell>
        </row>
        <row r="66">
          <cell r="B66">
            <v>78672.035999999993</v>
          </cell>
          <cell r="C66">
            <v>50416.845000000001</v>
          </cell>
          <cell r="Q66">
            <v>76301.914000000004</v>
          </cell>
          <cell r="R66">
            <v>48140.836695384256</v>
          </cell>
        </row>
        <row r="67">
          <cell r="B67">
            <v>78805.31700000001</v>
          </cell>
          <cell r="C67">
            <v>50402.898000000001</v>
          </cell>
          <cell r="Q67">
            <v>76367.195000000036</v>
          </cell>
          <cell r="R67">
            <v>48070.232865766746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27">
          <cell r="D27">
            <v>66744.066999999995</v>
          </cell>
          <cell r="E27">
            <v>42614.900500000003</v>
          </cell>
          <cell r="Q27">
            <v>66744.066999999995</v>
          </cell>
          <cell r="R27">
            <v>42614.900500000003</v>
          </cell>
        </row>
        <row r="28">
          <cell r="D28">
            <v>66983.487999999998</v>
          </cell>
          <cell r="E28">
            <v>42845.915000000001</v>
          </cell>
          <cell r="Q28">
            <v>66983.487999999998</v>
          </cell>
          <cell r="R28">
            <v>42845.915000000001</v>
          </cell>
        </row>
        <row r="29">
          <cell r="D29">
            <v>67603.460999999996</v>
          </cell>
          <cell r="E29">
            <v>43199.199999999997</v>
          </cell>
          <cell r="Q29">
            <v>67603.460999999996</v>
          </cell>
          <cell r="R29">
            <v>43199.199999999997</v>
          </cell>
        </row>
        <row r="30">
          <cell r="D30">
            <v>68265.209000000003</v>
          </cell>
          <cell r="E30">
            <v>43617.552000000003</v>
          </cell>
          <cell r="Q30">
            <v>68265.209000000003</v>
          </cell>
          <cell r="R30">
            <v>43617.552000000003</v>
          </cell>
        </row>
        <row r="31">
          <cell r="D31">
            <v>69025.203000000009</v>
          </cell>
          <cell r="E31">
            <v>44364.505999999994</v>
          </cell>
          <cell r="Q31">
            <v>69154.229000000007</v>
          </cell>
          <cell r="R31">
            <v>44484.053030766227</v>
          </cell>
        </row>
        <row r="32">
          <cell r="D32">
            <v>69630.375999999989</v>
          </cell>
          <cell r="E32">
            <v>44764.259999999995</v>
          </cell>
          <cell r="Q32">
            <v>69734.140999999989</v>
          </cell>
          <cell r="R32">
            <v>44862.592295538838</v>
          </cell>
        </row>
        <row r="33">
          <cell r="D33">
            <v>70160.187000000005</v>
          </cell>
          <cell r="E33">
            <v>45214.791136612024</v>
          </cell>
          <cell r="Q33">
            <v>70226.295000000013</v>
          </cell>
          <cell r="R33">
            <v>45281.521466483529</v>
          </cell>
        </row>
        <row r="34">
          <cell r="D34">
            <v>70612.833000000013</v>
          </cell>
          <cell r="E34">
            <v>45879.42242465754</v>
          </cell>
          <cell r="Q34">
            <v>70628.86500000002</v>
          </cell>
          <cell r="R34">
            <v>45904.154591512241</v>
          </cell>
        </row>
        <row r="35">
          <cell r="D35">
            <v>70985.959000000017</v>
          </cell>
          <cell r="E35">
            <v>46359.850000000006</v>
          </cell>
          <cell r="Q35">
            <v>70939.986000000019</v>
          </cell>
          <cell r="R35">
            <v>46332.655476738677</v>
          </cell>
        </row>
        <row r="36">
          <cell r="D36">
            <v>71350.151000000013</v>
          </cell>
          <cell r="E36">
            <v>46509.866999999998</v>
          </cell>
          <cell r="Q36">
            <v>71242.17300000001</v>
          </cell>
          <cell r="R36">
            <v>46430.74578662264</v>
          </cell>
        </row>
        <row r="37">
          <cell r="D37">
            <v>71705.282000000021</v>
          </cell>
          <cell r="E37">
            <v>46626.214999999997</v>
          </cell>
          <cell r="Q37">
            <v>71535.299000000014</v>
          </cell>
          <cell r="R37">
            <v>46495.167096506608</v>
          </cell>
        </row>
        <row r="38">
          <cell r="D38">
            <v>72051.458000000013</v>
          </cell>
          <cell r="E38">
            <v>46724.464999999997</v>
          </cell>
          <cell r="Q38">
            <v>71819.47</v>
          </cell>
          <cell r="R38">
            <v>46541.490406390578</v>
          </cell>
        </row>
        <row r="39">
          <cell r="D39">
            <v>72388.988000000027</v>
          </cell>
          <cell r="E39">
            <v>46822.337</v>
          </cell>
          <cell r="Q39">
            <v>72094.99500000001</v>
          </cell>
          <cell r="R39">
            <v>46587.435716274551</v>
          </cell>
        </row>
        <row r="40">
          <cell r="D40">
            <v>72717.937000000034</v>
          </cell>
          <cell r="E40">
            <v>46908.339000000007</v>
          </cell>
          <cell r="Q40">
            <v>72361.939000000013</v>
          </cell>
          <cell r="R40">
            <v>46621.511026158529</v>
          </cell>
        </row>
        <row r="41">
          <cell r="D41">
            <v>73038.609000000026</v>
          </cell>
          <cell r="E41">
            <v>46978.284000000007</v>
          </cell>
          <cell r="Q41">
            <v>72620.606</v>
          </cell>
          <cell r="R41">
            <v>46639.529336042498</v>
          </cell>
        </row>
        <row r="42">
          <cell r="D42">
            <v>73351.61500000002</v>
          </cell>
          <cell r="E42">
            <v>47047.245999999999</v>
          </cell>
          <cell r="Q42">
            <v>72871.606999999989</v>
          </cell>
          <cell r="R42">
            <v>46656.564645926461</v>
          </cell>
        </row>
        <row r="43">
          <cell r="D43">
            <v>73658.795000000042</v>
          </cell>
          <cell r="E43">
            <v>47106.945000000007</v>
          </cell>
          <cell r="Q43">
            <v>73116.782000000007</v>
          </cell>
          <cell r="R43">
            <v>46664.336955810439</v>
          </cell>
        </row>
        <row r="44">
          <cell r="D44">
            <v>73962.122000000047</v>
          </cell>
          <cell r="E44">
            <v>47164.945000000007</v>
          </cell>
          <cell r="Q44">
            <v>73358.104000000007</v>
          </cell>
          <cell r="R44">
            <v>46670.410265694409</v>
          </cell>
        </row>
        <row r="45">
          <cell r="D45">
            <v>74262.408000000025</v>
          </cell>
          <cell r="E45">
            <v>47217.936000000009</v>
          </cell>
          <cell r="Q45">
            <v>73596.38499999998</v>
          </cell>
          <cell r="R45">
            <v>46671.474575578381</v>
          </cell>
        </row>
        <row r="46">
          <cell r="D46">
            <v>74560.211000000039</v>
          </cell>
          <cell r="E46">
            <v>47272.05</v>
          </cell>
          <cell r="Q46">
            <v>73832.18299999999</v>
          </cell>
          <cell r="R46">
            <v>46673.661885462345</v>
          </cell>
        </row>
        <row r="47">
          <cell r="D47">
            <v>74855.850000000035</v>
          </cell>
          <cell r="E47">
            <v>47403.020999999993</v>
          </cell>
          <cell r="Q47">
            <v>74065.816999999981</v>
          </cell>
          <cell r="R47">
            <v>46752.706195346305</v>
          </cell>
        </row>
        <row r="48">
          <cell r="D48">
            <v>75148.911000000022</v>
          </cell>
          <cell r="E48">
            <v>47571.758999999998</v>
          </cell>
          <cell r="Q48">
            <v>74296.872999999963</v>
          </cell>
          <cell r="R48">
            <v>46869.51750523028</v>
          </cell>
        </row>
        <row r="49">
          <cell r="D49">
            <v>75438.895000000048</v>
          </cell>
          <cell r="E49">
            <v>47752.603999999999</v>
          </cell>
          <cell r="Q49">
            <v>74524.851999999984</v>
          </cell>
          <cell r="R49">
            <v>46998.435815114251</v>
          </cell>
        </row>
        <row r="50">
          <cell r="D50">
            <v>75725.757000000056</v>
          </cell>
          <cell r="E50">
            <v>47948.360999999997</v>
          </cell>
          <cell r="Q50">
            <v>74749.708999999988</v>
          </cell>
          <cell r="R50">
            <v>47142.266124998219</v>
          </cell>
        </row>
        <row r="51">
          <cell r="D51">
            <v>76009.334000000075</v>
          </cell>
          <cell r="E51">
            <v>48272.722197260271</v>
          </cell>
          <cell r="Q51">
            <v>74971.281000000003</v>
          </cell>
          <cell r="R51">
            <v>47414.700632142463</v>
          </cell>
        </row>
        <row r="52">
          <cell r="D52">
            <v>76288.178000000073</v>
          </cell>
          <cell r="E52">
            <v>48842.865635616443</v>
          </cell>
          <cell r="Q52">
            <v>75188.12</v>
          </cell>
          <cell r="R52">
            <v>47932.917380382605</v>
          </cell>
        </row>
        <row r="53">
          <cell r="D53">
            <v>76560.631000000067</v>
          </cell>
          <cell r="E53">
            <v>49301.910000000011</v>
          </cell>
          <cell r="Q53">
            <v>75398.567999999985</v>
          </cell>
          <cell r="R53">
            <v>48340.088572037712</v>
          </cell>
        </row>
        <row r="54">
          <cell r="D54">
            <v>76826.213000000076</v>
          </cell>
          <cell r="E54">
            <v>49442.434999999998</v>
          </cell>
          <cell r="Q54">
            <v>75602.14499999999</v>
          </cell>
          <cell r="R54">
            <v>48428.709039964735</v>
          </cell>
        </row>
        <row r="55">
          <cell r="D55">
            <v>77084.491000000082</v>
          </cell>
          <cell r="E55">
            <v>49547.743000000002</v>
          </cell>
          <cell r="Q55">
            <v>75798.417999999991</v>
          </cell>
          <cell r="R55">
            <v>48482.09034984871</v>
          </cell>
        </row>
        <row r="56">
          <cell r="D56">
            <v>77334.961000000098</v>
          </cell>
          <cell r="E56">
            <v>49653.150999999998</v>
          </cell>
          <cell r="Q56">
            <v>75986.883000000002</v>
          </cell>
          <cell r="R56">
            <v>48535.571659732675</v>
          </cell>
        </row>
        <row r="57">
          <cell r="D57">
            <v>77577.467000000092</v>
          </cell>
          <cell r="E57">
            <v>49763.14</v>
          </cell>
          <cell r="Q57">
            <v>76167.383999999991</v>
          </cell>
          <cell r="R57">
            <v>48593.633969616647</v>
          </cell>
        </row>
        <row r="58">
          <cell r="D58">
            <v>77812.181000000099</v>
          </cell>
          <cell r="E58">
            <v>49867.081000000006</v>
          </cell>
          <cell r="Q58">
            <v>76340.092999999993</v>
          </cell>
          <cell r="R58">
            <v>48645.648279500623</v>
          </cell>
        </row>
        <row r="59">
          <cell r="D59">
            <v>78039.3480000001</v>
          </cell>
          <cell r="E59">
            <v>49969.578999999998</v>
          </cell>
          <cell r="Q59">
            <v>76505.25499999999</v>
          </cell>
          <cell r="R59">
            <v>48696.219589384586</v>
          </cell>
        </row>
        <row r="60">
          <cell r="D60">
            <v>78259.294000000111</v>
          </cell>
          <cell r="E60">
            <v>50044.565000000002</v>
          </cell>
          <cell r="Q60">
            <v>76663.195999999996</v>
          </cell>
          <cell r="R60">
            <v>48719.27889926856</v>
          </cell>
        </row>
        <row r="61">
          <cell r="D61">
            <v>78472.657000000123</v>
          </cell>
          <cell r="E61">
            <v>50114.123999999996</v>
          </cell>
          <cell r="Q61">
            <v>76814.554000000004</v>
          </cell>
          <cell r="R61">
            <v>48736.911209152524</v>
          </cell>
        </row>
        <row r="62">
          <cell r="D62">
            <v>78680.453000000125</v>
          </cell>
          <cell r="E62">
            <v>50174.116999999998</v>
          </cell>
          <cell r="Q62">
            <v>76960.345000000001</v>
          </cell>
          <cell r="R62">
            <v>48744.977519036496</v>
          </cell>
        </row>
        <row r="63">
          <cell r="D63">
            <v>78883.741000000125</v>
          </cell>
          <cell r="E63">
            <v>50211.013999999996</v>
          </cell>
          <cell r="Q63">
            <v>77101.627999999997</v>
          </cell>
          <cell r="R63">
            <v>48729.947828920464</v>
          </cell>
        </row>
        <row r="64">
          <cell r="D64">
            <v>79083.702000000107</v>
          </cell>
          <cell r="E64">
            <v>50252.326000000001</v>
          </cell>
          <cell r="Q64">
            <v>77239.583999999973</v>
          </cell>
          <cell r="R64">
            <v>48719.333138804439</v>
          </cell>
        </row>
        <row r="65">
          <cell r="D65">
            <v>79281.150000000111</v>
          </cell>
          <cell r="E65">
            <v>50281.228000000003</v>
          </cell>
          <cell r="Q65">
            <v>77375.026999999973</v>
          </cell>
          <cell r="R65">
            <v>48696.308448688411</v>
          </cell>
        </row>
        <row r="66">
          <cell r="D66">
            <v>79477.080000000104</v>
          </cell>
          <cell r="E66">
            <v>50298.733999999997</v>
          </cell>
          <cell r="Q66">
            <v>77508.951999999961</v>
          </cell>
          <cell r="R66">
            <v>48661.887758572375</v>
          </cell>
        </row>
        <row r="67">
          <cell r="D67">
            <v>79672.491000000111</v>
          </cell>
          <cell r="E67">
            <v>50318.290999999997</v>
          </cell>
          <cell r="Q67">
            <v>77642.357999999964</v>
          </cell>
          <cell r="R67">
            <v>48629.518068456346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CF315-CE2E-4EAB-B5DC-B6C702B080BA}" name="Table1" displayName="Table1" ref="A7:CX24" totalsRowShown="0" headerRowDxfId="623" dataDxfId="622" dataCellStyle="Normal_WebframesCC">
  <autoFilter ref="A7:CX24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</autoFilter>
  <tableColumns count="102">
    <tableColumn id="1" xr3:uid="{7E8DF4C7-B4CF-4B16-B098-17C5475FC9C2}" name="Components" dataDxfId="621"/>
    <tableColumn id="2" xr3:uid="{6433C865-941E-474D-A8F1-4E8C22898992}" name="2022 [note 2]" dataDxfId="620" dataCellStyle="Normal_WebframesCC"/>
    <tableColumn id="3" xr3:uid="{22E68DA8-DF24-4A77-B883-8F16567055CA}" name="2023" dataDxfId="619" dataCellStyle="Normal_WebframesCC"/>
    <tableColumn id="4" xr3:uid="{EBC2E5E9-FFCA-4900-9E6F-BD3E7097C48B}" name="2024" dataDxfId="618" dataCellStyle="Normal_WebframesCC"/>
    <tableColumn id="5" xr3:uid="{2FDBD8F5-5431-4F55-84E9-5643F3B46D05}" name="2025" dataDxfId="617" dataCellStyle="Normal_WebframesCC"/>
    <tableColumn id="6" xr3:uid="{53F517C6-5E5B-49D2-8B09-A93ECB140508}" name="2026" dataDxfId="616" dataCellStyle="Normal_WebframesCC"/>
    <tableColumn id="7" xr3:uid="{DC0BF813-B2A9-4E9E-88BA-A5DD169CF801}" name="2027" dataDxfId="615" dataCellStyle="Normal_WebframesCC"/>
    <tableColumn id="8" xr3:uid="{D0C7003B-7D5A-4879-808F-3F6959BC0E50}" name="2028" dataDxfId="614" dataCellStyle="Normal_WebframesCC"/>
    <tableColumn id="9" xr3:uid="{B7553979-5B2F-46DE-91DC-D6D45767B95F}" name="2029" dataDxfId="613" dataCellStyle="Normal_WebframesCC"/>
    <tableColumn id="10" xr3:uid="{76FA5FDA-FC43-4A60-8573-82C9A06FA941}" name="2030" dataDxfId="612" dataCellStyle="Normal_WebframesCC"/>
    <tableColumn id="11" xr3:uid="{51190173-6101-48E3-95B9-940D69D7DDD0}" name="2031" dataDxfId="611" dataCellStyle="Normal_WebframesCC"/>
    <tableColumn id="12" xr3:uid="{75403E0C-F98A-48A5-BFA6-724A32468214}" name="2032" dataDxfId="610" dataCellStyle="Normal_WebframesCC"/>
    <tableColumn id="13" xr3:uid="{E4B4F334-3FE8-4A02-9F3D-F0173A011202}" name="2033" dataDxfId="609" dataCellStyle="Normal_WebframesCC"/>
    <tableColumn id="14" xr3:uid="{F3FBD006-7A7A-4390-A368-4E67A3A4BFEB}" name="2034" dataDxfId="608" dataCellStyle="Normal_WebframesCC"/>
    <tableColumn id="15" xr3:uid="{B8FD73B0-11F8-456D-B7D9-8F7023BC89C8}" name="2035" dataDxfId="607" dataCellStyle="Normal_WebframesCC"/>
    <tableColumn id="16" xr3:uid="{A982EA91-AED7-40C7-B267-A58870047BEE}" name="2036" dataDxfId="606" dataCellStyle="Normal_WebframesCC"/>
    <tableColumn id="17" xr3:uid="{ACA07F19-B7E5-4ED5-8C32-53131BAA0E73}" name="2037" dataDxfId="605" dataCellStyle="Normal_WebframesCC"/>
    <tableColumn id="18" xr3:uid="{98050E99-134E-40CA-94C7-3B4C4783DC80}" name="2038" dataDxfId="604" dataCellStyle="Normal_WebframesCC"/>
    <tableColumn id="19" xr3:uid="{472881FD-F123-4949-A775-C496EBC7FBAE}" name="2039" dataDxfId="603" dataCellStyle="Normal_WebframesCC"/>
    <tableColumn id="20" xr3:uid="{64CA59C2-E824-4B6C-9439-EE8C76D234A0}" name="2040" dataDxfId="602" dataCellStyle="Normal_WebframesCC"/>
    <tableColumn id="21" xr3:uid="{29C687CD-45AF-4851-86A8-1F2BDB33D0A5}" name="2041" dataDxfId="601" dataCellStyle="Normal_WebframesCC"/>
    <tableColumn id="22" xr3:uid="{A8B305A0-75FF-4858-BA46-5C156602B09F}" name="2042" dataDxfId="600" dataCellStyle="Normal_WebframesCC"/>
    <tableColumn id="23" xr3:uid="{62F4CE93-137C-4537-B95C-641052905CAA}" name="2043" dataDxfId="599" dataCellStyle="Normal_WebframesCC"/>
    <tableColumn id="24" xr3:uid="{E0C1DD34-8AFA-4287-A9B5-F72B36B02EE3}" name="2044" dataDxfId="598" dataCellStyle="Normal_WebframesCC"/>
    <tableColumn id="25" xr3:uid="{9883DA35-4BE9-4F11-B379-16FCA1E3DA2B}" name="2045" dataDxfId="597" dataCellStyle="Normal_WebframesCC"/>
    <tableColumn id="26" xr3:uid="{2F671C77-86E4-420D-ABF5-6FAFE22B0E96}" name="2046" dataDxfId="596" dataCellStyle="Normal_WebframesCC"/>
    <tableColumn id="27" xr3:uid="{E532A2CC-AF6A-4079-BB50-F81F6226119A}" name="2047" dataDxfId="595" dataCellStyle="Normal_WebframesCC"/>
    <tableColumn id="28" xr3:uid="{2665B9B2-DF1F-4E5B-BC00-187C10CE92A5}" name="2048" dataDxfId="594" dataCellStyle="Normal_WebframesCC"/>
    <tableColumn id="29" xr3:uid="{6E708DDD-6699-4F1D-B600-A9C96A98216F}" name="2049" dataDxfId="593" dataCellStyle="Normal_WebframesCC"/>
    <tableColumn id="30" xr3:uid="{E9799CE2-9679-438E-8CF9-60839AA2DA58}" name="2050" dataDxfId="592" dataCellStyle="Normal_WebframesCC"/>
    <tableColumn id="31" xr3:uid="{230155FD-74AC-4C18-B5C2-2CA642833163}" name="2051" dataDxfId="591" dataCellStyle="Normal_WebframesCC"/>
    <tableColumn id="32" xr3:uid="{4F819F96-4725-4BC4-ACBF-F902B1C035D1}" name="2052" dataDxfId="590" dataCellStyle="Normal_WebframesCC"/>
    <tableColumn id="33" xr3:uid="{9B5593EF-3C4C-42DE-A340-C19A7F8098AA}" name="2053" dataDxfId="589" dataCellStyle="Normal_WebframesCC"/>
    <tableColumn id="34" xr3:uid="{C203419F-8618-4F9E-B817-F1F113275E26}" name="2054" dataDxfId="588" dataCellStyle="Normal_WebframesCC"/>
    <tableColumn id="35" xr3:uid="{D3279BF4-C9B7-4B7B-B632-B9D43E932FE1}" name="2055" dataDxfId="587" dataCellStyle="Normal_WebframesCC"/>
    <tableColumn id="36" xr3:uid="{21815C23-86EB-468F-BCD7-60CD0585EA14}" name="2056" dataDxfId="586" dataCellStyle="Normal_WebframesCC"/>
    <tableColumn id="37" xr3:uid="{D68D73A5-A12C-429B-B369-CB0DE081C46E}" name="2057" dataDxfId="585" dataCellStyle="Normal_WebframesCC"/>
    <tableColumn id="38" xr3:uid="{85B94063-AB36-4B46-BF29-57617AC2A601}" name="2058" dataDxfId="584" dataCellStyle="Normal_WebframesCC"/>
    <tableColumn id="39" xr3:uid="{EF24A454-6E42-4129-9179-7CEE6779F5C7}" name="2059" dataDxfId="583" dataCellStyle="Normal_WebframesCC"/>
    <tableColumn id="40" xr3:uid="{EEBA2013-6019-4F4E-8EE3-EE9940E0103C}" name="2060" dataDxfId="582" dataCellStyle="Normal_WebframesCC"/>
    <tableColumn id="41" xr3:uid="{05CE61D5-0D35-4285-9999-D5A932F50190}" name="2061" dataDxfId="581" dataCellStyle="Normal_WebframesCC"/>
    <tableColumn id="42" xr3:uid="{E0FADD8D-9F1C-4496-A441-0C4893E1E783}" name="2062" dataDxfId="580" dataCellStyle="Normal_WebframesCC"/>
    <tableColumn id="43" xr3:uid="{75F27C30-9959-48FA-B045-29547CB19211}" name="2063" dataDxfId="579" dataCellStyle="Normal_WebframesCC"/>
    <tableColumn id="44" xr3:uid="{0876B1E4-D0D1-48E1-B72E-107ABEBDBB74}" name="2064" dataDxfId="578" dataCellStyle="Normal_WebframesCC"/>
    <tableColumn id="45" xr3:uid="{2CA561F9-F530-490F-89F5-0C54A0503A4D}" name="2065" dataDxfId="577" dataCellStyle="Normal_WebframesCC"/>
    <tableColumn id="46" xr3:uid="{E443C5CA-E0B2-4EA8-BD39-33F8690F06CA}" name="2066" dataDxfId="576" dataCellStyle="Normal_WebframesCC"/>
    <tableColumn id="47" xr3:uid="{25041B65-1B9A-482C-8C58-A2ADF4E5DF3A}" name="2067" dataDxfId="575" dataCellStyle="Normal_WebframesCC"/>
    <tableColumn id="48" xr3:uid="{8255F91E-BE33-4BDD-BA8C-E57337A315E7}" name="2068" dataDxfId="574" dataCellStyle="Normal_WebframesCC"/>
    <tableColumn id="49" xr3:uid="{6A9AFF7E-A82D-4DA6-B884-7C13C1E9B94F}" name="2069" dataDxfId="573" dataCellStyle="Normal_WebframesCC"/>
    <tableColumn id="50" xr3:uid="{456DAFBA-0152-4237-AF17-A533C8776AD7}" name="2070" dataDxfId="572" dataCellStyle="Normal_WebframesCC"/>
    <tableColumn id="51" xr3:uid="{99009844-6124-4CE2-9D54-F7B57BA34D74}" name="2071" dataDxfId="571" dataCellStyle="Normal_WebframesCC"/>
    <tableColumn id="52" xr3:uid="{A4840FE7-C37C-4FDF-AA06-1C76D1E05B61}" name="2072" dataDxfId="570" dataCellStyle="Normal_WebframesCC"/>
    <tableColumn id="53" xr3:uid="{6880ED5A-73EC-4FA1-B62C-6FA9BEB84FFD}" name="2073" dataDxfId="569" dataCellStyle="Normal_WebframesCC"/>
    <tableColumn id="54" xr3:uid="{F1D35304-0283-4C30-86A1-A679257C1373}" name="2074" dataDxfId="568" dataCellStyle="Normal_WebframesCC"/>
    <tableColumn id="55" xr3:uid="{46FAB826-D233-40F1-9F85-E76DEB61F1F6}" name="2075" dataDxfId="567" dataCellStyle="Normal_WebframesCC"/>
    <tableColumn id="56" xr3:uid="{457B3136-01C3-4A17-AA27-1816C101E5A7}" name="2076" dataDxfId="566" dataCellStyle="Normal_WebframesCC"/>
    <tableColumn id="57" xr3:uid="{DD70670F-6D12-46CE-BD4B-33775A375D6B}" name="2077" dataDxfId="565" dataCellStyle="Normal_WebframesCC"/>
    <tableColumn id="58" xr3:uid="{56347412-0658-4D00-973D-653EEBAA8AE9}" name="2078" dataDxfId="564" dataCellStyle="Normal_WebframesCC"/>
    <tableColumn id="59" xr3:uid="{F4D62233-3DA7-49A8-9C8E-FD79EFEB8274}" name="2079" dataDxfId="563" dataCellStyle="Normal_WebframesCC"/>
    <tableColumn id="60" xr3:uid="{C54D0B7F-CEC6-4BDC-BE00-85439F6DAD5C}" name="2080" dataDxfId="562" dataCellStyle="Normal_WebframesCC"/>
    <tableColumn id="61" xr3:uid="{6D5E3993-1979-486D-B200-B230A17341ED}" name="2081" dataDxfId="561" dataCellStyle="Normal_WebframesCC"/>
    <tableColumn id="62" xr3:uid="{FDEB57C6-1D88-4A9F-BEA0-5E746D7F9F82}" name="2082" dataDxfId="560" dataCellStyle="Normal_WebframesCC"/>
    <tableColumn id="63" xr3:uid="{11304633-8DA3-4EAE-B914-666D1199ABC8}" name="2083" dataDxfId="559" dataCellStyle="Normal_WebframesCC"/>
    <tableColumn id="64" xr3:uid="{1C90E033-C846-4D68-AC05-7D1299BC54DB}" name="2084" dataDxfId="558" dataCellStyle="Normal_WebframesCC"/>
    <tableColumn id="65" xr3:uid="{24735C17-BA96-4D07-89FC-875734D1286B}" name="2085" dataDxfId="557" dataCellStyle="Normal_WebframesCC"/>
    <tableColumn id="66" xr3:uid="{6D96F425-13FD-40A8-B070-76BE07E9586B}" name="2086" dataDxfId="556" dataCellStyle="Normal_WebframesCC"/>
    <tableColumn id="67" xr3:uid="{F3D78104-8DC3-4B78-84C3-E0393A65FB8E}" name="2087" dataDxfId="555" dataCellStyle="Normal_WebframesCC"/>
    <tableColumn id="68" xr3:uid="{59149990-B959-42B3-A065-397E20F7B411}" name="2088" dataDxfId="554" dataCellStyle="Normal_WebframesCC"/>
    <tableColumn id="69" xr3:uid="{A8154246-BE46-4A67-8D89-15A2AFA19B89}" name="2089" dataDxfId="553" dataCellStyle="Normal_WebframesCC"/>
    <tableColumn id="70" xr3:uid="{F6297F6B-ADB9-4CFE-B595-4B7539E919E5}" name="2090" dataDxfId="552" dataCellStyle="Normal_WebframesCC"/>
    <tableColumn id="71" xr3:uid="{FF407830-6A3D-49B0-828D-6978CA5BF53A}" name="2091" dataDxfId="551" dataCellStyle="Normal_WebframesCC"/>
    <tableColumn id="72" xr3:uid="{C0A735E4-6448-4B04-8B99-49C5AC514410}" name="2092" dataDxfId="550" dataCellStyle="Normal_WebframesCC"/>
    <tableColumn id="73" xr3:uid="{FC71961D-380C-4BEA-BD8A-83C6C981795E}" name="2093" dataDxfId="549" dataCellStyle="Normal_WebframesCC"/>
    <tableColumn id="74" xr3:uid="{DD89489F-7265-46CB-B1E4-05108B8444F5}" name="2094" dataDxfId="548" dataCellStyle="Normal_WebframesCC"/>
    <tableColumn id="75" xr3:uid="{8280CD9E-F447-4C13-8E99-4FAE86705A81}" name="2095" dataDxfId="547" dataCellStyle="Normal_WebframesCC"/>
    <tableColumn id="76" xr3:uid="{614ADC54-2BD4-44AE-9B99-EBC271BBF92E}" name="2096" dataDxfId="546" dataCellStyle="Normal_WebframesCC"/>
    <tableColumn id="77" xr3:uid="{3EBEDC27-3B48-4648-B667-09B8E6F62472}" name="2097" dataDxfId="545" dataCellStyle="Normal_WebframesCC"/>
    <tableColumn id="78" xr3:uid="{A122DBFF-A9E7-4E4E-80F4-C522728F3830}" name="2098" dataDxfId="544" dataCellStyle="Normal_WebframesCC"/>
    <tableColumn id="79" xr3:uid="{3E967F6B-42A4-442E-B629-E12D1CC75AEB}" name="2099" dataDxfId="543" dataCellStyle="Normal_WebframesCC"/>
    <tableColumn id="80" xr3:uid="{EFDDE7A4-F457-4723-AAAB-96932C2982C3}" name="2100" dataDxfId="542" dataCellStyle="Normal_WebframesCC"/>
    <tableColumn id="81" xr3:uid="{ED639AC0-B907-4968-834C-3FD49F29B974}" name="2101" dataDxfId="541" dataCellStyle="Normal_WebframesCC"/>
    <tableColumn id="82" xr3:uid="{949C3471-D47D-416D-AC63-E1C09926A29D}" name="2102" dataDxfId="540" dataCellStyle="Normal_WebframesCC"/>
    <tableColumn id="83" xr3:uid="{89766496-2A32-419A-B947-50AA453C31ED}" name="2103" dataDxfId="539" dataCellStyle="Normal_WebframesCC"/>
    <tableColumn id="84" xr3:uid="{5E04F720-9574-42C3-922F-92EC2FD4FDF1}" name="2104" dataDxfId="538" dataCellStyle="Normal_WebframesCC"/>
    <tableColumn id="85" xr3:uid="{ECA59FC6-63DA-4CD7-819A-3544696D736D}" name="2105" dataDxfId="537" dataCellStyle="Normal_WebframesCC"/>
    <tableColumn id="86" xr3:uid="{FF579A1A-D61B-4532-A0A0-0D55B900F035}" name="2106" dataDxfId="536" dataCellStyle="Normal_WebframesCC"/>
    <tableColumn id="87" xr3:uid="{92C1E7C0-4C6E-4547-B7F9-134EC16EB8DF}" name="2107" dataDxfId="535" dataCellStyle="Normal_WebframesCC"/>
    <tableColumn id="88" xr3:uid="{4138D987-5921-45B5-9583-0CC9577D3E91}" name="2108" dataDxfId="534" dataCellStyle="Normal_WebframesCC"/>
    <tableColumn id="89" xr3:uid="{0CBB3576-6DEF-43E1-9DE2-0FF076E45461}" name="2109" dataDxfId="533" dataCellStyle="Normal_WebframesCC"/>
    <tableColumn id="90" xr3:uid="{6FF8BA62-CD0D-4201-9224-C7A8E4846E2A}" name="2110" dataDxfId="532" dataCellStyle="Normal_WebframesCC"/>
    <tableColumn id="91" xr3:uid="{5C475109-93D1-4D09-BCD5-C9B45844B7F5}" name="2111" dataDxfId="531" dataCellStyle="Normal_WebframesCC"/>
    <tableColumn id="92" xr3:uid="{86F0284C-36AE-4C65-A963-9F2B500A6617}" name="2112" dataDxfId="530" dataCellStyle="Normal_WebframesCC"/>
    <tableColumn id="93" xr3:uid="{3C413F54-3E31-4304-9665-00E5E46A247C}" name="2113" dataDxfId="529" dataCellStyle="Normal_WebframesCC"/>
    <tableColumn id="94" xr3:uid="{22FA23D9-3DD1-405C-9357-95FC137D8930}" name="2114" dataDxfId="528" dataCellStyle="Normal_WebframesCC"/>
    <tableColumn id="95" xr3:uid="{D54E5362-1C4E-4CE5-8D96-55D77891D561}" name="2115" dataDxfId="527" dataCellStyle="Normal_WebframesCC"/>
    <tableColumn id="96" xr3:uid="{397893EA-84E4-4EAE-8D98-5D9249C773C0}" name="2116" dataDxfId="526" dataCellStyle="Normal_WebframesCC"/>
    <tableColumn id="97" xr3:uid="{75A92A88-991A-4953-A101-85A63D05EC77}" name="2117" dataDxfId="525" dataCellStyle="Normal_WebframesCC"/>
    <tableColumn id="98" xr3:uid="{D55DC458-0A80-4F2B-AAE8-D34E783D564A}" name="2118" dataDxfId="524" dataCellStyle="Normal_WebframesCC"/>
    <tableColumn id="99" xr3:uid="{94525969-3913-4A3A-8FEA-AD4EDB782AAE}" name="2119" dataDxfId="523" dataCellStyle="Normal_WebframesCC"/>
    <tableColumn id="100" xr3:uid="{1E1F2756-3EB3-4DD2-BCC5-4045349E33B0}" name="2120" dataDxfId="522" dataCellStyle="Normal_WebframesCC"/>
    <tableColumn id="101" xr3:uid="{69EA12A0-8A80-465B-90C3-D79F0C40D2F5}" name="2121" dataDxfId="521" dataCellStyle="Normal_WebframesCC"/>
    <tableColumn id="102" xr3:uid="{06CE3ABD-8CD2-4E41-9680-773862B07D94}" name="2122" dataDxfId="520" dataCellStyle="Normal_WebframesCC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ED092-37AA-4067-B0F8-0C3E9391C874}" name="Table2" displayName="Table2" ref="A27:CX43" totalsRowShown="0" headerRowDxfId="519" dataDxfId="518">
  <autoFilter ref="A27:CX43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</autoFilter>
  <tableColumns count="102">
    <tableColumn id="1" xr3:uid="{4657712C-79B1-41A4-AECD-E3CD895DFBAE}" name="Ages" dataDxfId="517"/>
    <tableColumn id="2" xr3:uid="{6CF07365-716C-4CCA-8762-63B5A6826BA9}" name="2022" dataDxfId="516"/>
    <tableColumn id="3" xr3:uid="{D2B381D2-E35B-4589-A036-271EE5DDE95E}" name="2023" dataDxfId="515"/>
    <tableColumn id="4" xr3:uid="{B831892B-C266-4A69-A461-0A6EC282EABB}" name="2024" dataDxfId="514"/>
    <tableColumn id="5" xr3:uid="{16D2B8F7-C8F5-42AF-9DBC-E84E448AA5F1}" name="2025" dataDxfId="513"/>
    <tableColumn id="6" xr3:uid="{EC380E87-1FD1-4ACC-A284-BE520D1BB9FE}" name="2026" dataDxfId="512"/>
    <tableColumn id="7" xr3:uid="{1A791FD9-1500-4655-B350-79B6464EBA6E}" name="2027" dataDxfId="511"/>
    <tableColumn id="8" xr3:uid="{A4DC1B6E-5D77-4EB9-AA0F-236CA42A7C82}" name="2028" dataDxfId="510"/>
    <tableColumn id="9" xr3:uid="{592D3DD3-2237-46E6-91F1-1B1CC20458B9}" name="2029" dataDxfId="509"/>
    <tableColumn id="10" xr3:uid="{ADF70812-9AB6-43C8-A8AA-193EBC019270}" name="2030" dataDxfId="508"/>
    <tableColumn id="11" xr3:uid="{7F7BE396-DB98-4F33-828A-499B9026F218}" name="2031" dataDxfId="507"/>
    <tableColumn id="12" xr3:uid="{FC9F6CF0-61D4-4CB7-941F-6E80CFE4D42C}" name="2032" dataDxfId="506"/>
    <tableColumn id="13" xr3:uid="{F922A0E3-B0F4-4CA0-9005-EE76FACB32B8}" name="2033" dataDxfId="505"/>
    <tableColumn id="14" xr3:uid="{F305A109-A58A-4B4C-B08B-19AB6C1E6177}" name="2034" dataDxfId="504"/>
    <tableColumn id="15" xr3:uid="{AEB69451-5F8C-44EE-86EE-5C83D39D8714}" name="2035" dataDxfId="503"/>
    <tableColumn id="16" xr3:uid="{F110BB25-6DC2-4083-9267-BA5A9CBB593C}" name="2036" dataDxfId="502"/>
    <tableColumn id="17" xr3:uid="{2F279934-1F5C-4CC0-B87A-A49DA31E809F}" name="2037" dataDxfId="501"/>
    <tableColumn id="18" xr3:uid="{9ACC1CD0-9738-468B-9FF8-D9C4BF5BB569}" name="2038" dataDxfId="500"/>
    <tableColumn id="19" xr3:uid="{DA30F49B-5310-4654-9ECB-94289F1AFCD0}" name="2039" dataDxfId="499"/>
    <tableColumn id="20" xr3:uid="{682C330D-38F8-44F6-8D99-6A6F448C2179}" name="2040" dataDxfId="498"/>
    <tableColumn id="21" xr3:uid="{3EB947CA-EA31-45DB-848C-7545F250878E}" name="2041" dataDxfId="497"/>
    <tableColumn id="22" xr3:uid="{9F0F4588-2F0E-4FCF-A5FE-B9CE9B5A0DFB}" name="2042" dataDxfId="496"/>
    <tableColumn id="23" xr3:uid="{571AC3A1-041C-49F5-A690-506F117EDA8A}" name="2043" dataDxfId="495"/>
    <tableColumn id="24" xr3:uid="{6F279CF3-9943-4B4C-999E-A82A845D750F}" name="2044" dataDxfId="494"/>
    <tableColumn id="25" xr3:uid="{A6680473-2971-4C7D-ABF1-47FE23A7120F}" name="2045" dataDxfId="493"/>
    <tableColumn id="26" xr3:uid="{7CF090D5-54CF-45A4-9F06-8AAE8E1AF876}" name="2046" dataDxfId="492"/>
    <tableColumn id="27" xr3:uid="{C2D8D80F-3A6D-4500-9773-09E15BD72037}" name="2047" dataDxfId="491"/>
    <tableColumn id="28" xr3:uid="{56B2DF72-3FCF-4821-BFDA-91055E916788}" name="2048" dataDxfId="490"/>
    <tableColumn id="29" xr3:uid="{D52D886F-D1E4-4827-8029-CD0A47FA7EDF}" name="2049" dataDxfId="489"/>
    <tableColumn id="30" xr3:uid="{EA714F29-65DA-4A5C-AF97-714529D2C82A}" name="2050" dataDxfId="488"/>
    <tableColumn id="31" xr3:uid="{64EEDEA9-B3F8-439D-BADF-4DFE145C3CED}" name="2051" dataDxfId="487"/>
    <tableColumn id="32" xr3:uid="{621193F9-1AB1-4D10-86F4-3FD678A4FA52}" name="2052" dataDxfId="486"/>
    <tableColumn id="33" xr3:uid="{2982B7AD-020D-4DCC-9C3A-3149DCAFD708}" name="2053" dataDxfId="485"/>
    <tableColumn id="34" xr3:uid="{9B7FC521-BF6F-484D-B781-86C7986BB1B2}" name="2054" dataDxfId="484"/>
    <tableColumn id="35" xr3:uid="{1A9884E7-A657-476C-8724-856C19D207D2}" name="2055" dataDxfId="483"/>
    <tableColumn id="36" xr3:uid="{B1CD084B-7B98-466C-817A-8FA975FE226E}" name="2056" dataDxfId="482"/>
    <tableColumn id="37" xr3:uid="{FD5E4149-6950-445C-B523-03F48407008E}" name="2057" dataDxfId="481"/>
    <tableColumn id="38" xr3:uid="{386289A3-E7BC-480E-A620-2FE5ADED53EA}" name="2058" dataDxfId="480"/>
    <tableColumn id="39" xr3:uid="{7BE84FC6-F350-4C5C-B296-5C00C1DA2441}" name="2059" dataDxfId="479"/>
    <tableColumn id="40" xr3:uid="{1F98B9A2-098C-4E34-BE47-4320CD20B118}" name="2060" dataDxfId="478"/>
    <tableColumn id="41" xr3:uid="{A2381CE6-C6E0-4F5F-867A-F819D543EA17}" name="2061" dataDxfId="477"/>
    <tableColumn id="42" xr3:uid="{CC5D1921-E41C-443C-BB6B-5B74B4E96F32}" name="2062" dataDxfId="476"/>
    <tableColumn id="43" xr3:uid="{1F4BA0BD-00DB-45D3-A23B-08F7A638FFEB}" name="2063" dataDxfId="475"/>
    <tableColumn id="44" xr3:uid="{B0AC6686-A72D-46A9-B130-E311D9388C9C}" name="2064" dataDxfId="474"/>
    <tableColumn id="45" xr3:uid="{6147CDEB-7964-4FDE-AA3A-4F2916BCBCB8}" name="2065" dataDxfId="473"/>
    <tableColumn id="46" xr3:uid="{88A289B8-7582-4FE1-865B-239B53354B75}" name="2066" dataDxfId="472"/>
    <tableColumn id="47" xr3:uid="{B9B8D842-41E5-4C75-A37B-30C295397215}" name="2067" dataDxfId="471"/>
    <tableColumn id="48" xr3:uid="{0FD620B6-78C3-4B7B-A040-D5F5FCD02BF3}" name="2068" dataDxfId="470"/>
    <tableColumn id="49" xr3:uid="{CADEBA31-0742-4F79-ADAE-38C68E411505}" name="2069" dataDxfId="469"/>
    <tableColumn id="50" xr3:uid="{2FD2E933-D943-46A3-885B-FF5E8F04A2A5}" name="2070" dataDxfId="468"/>
    <tableColumn id="51" xr3:uid="{4DA2E97D-4B33-452F-AB6C-8F81B9B0059F}" name="2071" dataDxfId="467"/>
    <tableColumn id="52" xr3:uid="{DBBB475A-AD40-4EAF-93C8-AF7CEA16E485}" name="2072" dataDxfId="466"/>
    <tableColumn id="53" xr3:uid="{F1254BE5-0446-49E0-9954-D2047D732B2C}" name="2073" dataDxfId="465"/>
    <tableColumn id="54" xr3:uid="{52DA40E8-990A-4FDB-B326-410EF90ECF25}" name="2074" dataDxfId="464"/>
    <tableColumn id="55" xr3:uid="{8762F161-144F-4F27-853B-3A2FC12DED26}" name="2075" dataDxfId="463"/>
    <tableColumn id="56" xr3:uid="{6E3D70B6-5E93-404D-BDCC-4FF1751A1161}" name="2076" dataDxfId="462"/>
    <tableColumn id="57" xr3:uid="{5F9251A5-7728-48C4-A23D-9B23C0CC34D5}" name="2077" dataDxfId="461"/>
    <tableColumn id="58" xr3:uid="{1030122A-F7E5-4B5B-A729-53B0246DE9EE}" name="2078" dataDxfId="460"/>
    <tableColumn id="59" xr3:uid="{AC283E5B-36B9-4630-B2E6-A64F67A6676B}" name="2079" dataDxfId="459"/>
    <tableColumn id="60" xr3:uid="{7BB3D4AE-EAC5-4028-9180-E1FE7B9632AD}" name="2080" dataDxfId="458"/>
    <tableColumn id="61" xr3:uid="{74D9A1A3-2B63-4BF1-B104-62E33E827982}" name="2081" dataDxfId="457"/>
    <tableColumn id="62" xr3:uid="{42F116CE-A88F-4A7D-8E96-EC410842CDA5}" name="2082" dataDxfId="456"/>
    <tableColumn id="63" xr3:uid="{3A1D9FFB-8EDE-47C8-AC8A-B82C55BD6B5C}" name="2083" dataDxfId="455"/>
    <tableColumn id="64" xr3:uid="{75376C7D-CAC2-4820-BA62-1E13D0BF226C}" name="2084" dataDxfId="454"/>
    <tableColumn id="65" xr3:uid="{64438E56-8D11-43B2-A559-677477154889}" name="2085" dataDxfId="453"/>
    <tableColumn id="66" xr3:uid="{3E7F46E9-762A-42A3-903B-29536E86E5CA}" name="2086" dataDxfId="452"/>
    <tableColumn id="67" xr3:uid="{072F851D-A181-4F6F-9BC8-1E0C95D9C053}" name="2087" dataDxfId="451"/>
    <tableColumn id="68" xr3:uid="{98CA1772-5C5C-49C1-9DA1-838804AE5B28}" name="2088" dataDxfId="450"/>
    <tableColumn id="69" xr3:uid="{47E06A77-D148-4745-9ADB-000563C47A23}" name="2089" dataDxfId="449"/>
    <tableColumn id="70" xr3:uid="{E6677A31-1825-48A9-B900-6168F87919FA}" name="2090" dataDxfId="448"/>
    <tableColumn id="71" xr3:uid="{8BC8EDDD-035A-47EE-B8D6-B2C760A16647}" name="2091" dataDxfId="447"/>
    <tableColumn id="72" xr3:uid="{1E63D5F1-B342-49E2-9F42-AC1D1805F0D7}" name="2092" dataDxfId="446"/>
    <tableColumn id="73" xr3:uid="{AA4B6492-BE52-4FE4-B2F5-1E9BFDC2A4CA}" name="2093" dataDxfId="445"/>
    <tableColumn id="74" xr3:uid="{2D5ADC91-8D32-48CB-8E1A-A3DF2535E013}" name="2094" dataDxfId="444"/>
    <tableColumn id="75" xr3:uid="{EF05FFDC-DE15-4F38-B8CB-D73B1A18FE26}" name="2095" dataDxfId="443"/>
    <tableColumn id="76" xr3:uid="{CF3F6F60-0CBF-44AB-B43A-3A28219B9104}" name="2096" dataDxfId="442"/>
    <tableColumn id="77" xr3:uid="{C684FBBF-9F0D-4F8E-AD01-4A8A9AFCA87D}" name="2097" dataDxfId="441"/>
    <tableColumn id="78" xr3:uid="{9B6B80F8-0FB9-4E44-96A2-C3DE617AC37B}" name="2098" dataDxfId="440"/>
    <tableColumn id="79" xr3:uid="{989E4E9D-43AB-40F8-BE6E-21705D705AE8}" name="2099" dataDxfId="439"/>
    <tableColumn id="80" xr3:uid="{C2552F83-A6E8-461E-B08A-F4307642BD46}" name="2100" dataDxfId="438"/>
    <tableColumn id="81" xr3:uid="{D69B9B2A-3837-4A5E-8F1B-D6D7DB6B579C}" name="2101" dataDxfId="437"/>
    <tableColumn id="82" xr3:uid="{2C686642-BFB9-4657-9A00-8243006524AE}" name="2102" dataDxfId="436"/>
    <tableColumn id="83" xr3:uid="{0C962717-63BA-498C-ABA0-E84553E827FC}" name="2103" dataDxfId="435"/>
    <tableColumn id="84" xr3:uid="{62B3F6A8-7D52-4133-AE9F-E54BBAA88896}" name="2104" dataDxfId="434"/>
    <tableColumn id="85" xr3:uid="{8FB26CBA-6BA5-4CC8-9EE9-0C263C976E14}" name="2105" dataDxfId="433"/>
    <tableColumn id="86" xr3:uid="{EE6835BC-7500-4589-B144-6C12152037B3}" name="2106" dataDxfId="432"/>
    <tableColumn id="87" xr3:uid="{9EF09356-3959-4BAC-94C0-92489FB71EE4}" name="2107" dataDxfId="431"/>
    <tableColumn id="88" xr3:uid="{F91213FB-458D-47C9-8F93-23133A2B2A4D}" name="2108" dataDxfId="430"/>
    <tableColumn id="89" xr3:uid="{AFCB985B-4A07-4166-AA3E-393E2701C003}" name="2109" dataDxfId="429"/>
    <tableColumn id="90" xr3:uid="{F33E34D7-258D-4863-81F9-9F10934BD9B2}" name="2110" dataDxfId="428"/>
    <tableColumn id="91" xr3:uid="{1263B3CA-C595-47B4-8E59-4B4A09264CE1}" name="2111" dataDxfId="427"/>
    <tableColumn id="92" xr3:uid="{2EAF2DF8-84FF-459D-9A06-0030AFCF5422}" name="2112" dataDxfId="426"/>
    <tableColumn id="93" xr3:uid="{D75A8EB0-3BDA-4F6E-AF18-48E900EA4C24}" name="2113" dataDxfId="425"/>
    <tableColumn id="94" xr3:uid="{F76B4E61-8266-45A2-B622-BC0F806976E5}" name="2114" dataDxfId="424"/>
    <tableColumn id="95" xr3:uid="{D858BFFB-4AFA-41DC-B9FD-0931FF730766}" name="2115" dataDxfId="423"/>
    <tableColumn id="96" xr3:uid="{C230E34A-6B0C-44EC-8D1F-923ECD76A063}" name="2116" dataDxfId="422"/>
    <tableColumn id="97" xr3:uid="{978D164D-45CC-4773-8F0C-211DA788D704}" name="2117" dataDxfId="421"/>
    <tableColumn id="98" xr3:uid="{D2AE27DB-841B-4444-8779-93058C5AB5DD}" name="2118" dataDxfId="420"/>
    <tableColumn id="99" xr3:uid="{CE7CE02D-23F9-4867-B27B-8C27C4927A85}" name="2119" dataDxfId="419"/>
    <tableColumn id="100" xr3:uid="{9A58B42D-86A3-4B03-A7D5-8C455118CB2E}" name="2120" dataDxfId="418"/>
    <tableColumn id="101" xr3:uid="{AA929E67-0306-4B68-829E-6AC8B4C66C87}" name="2121" dataDxfId="417"/>
    <tableColumn id="102" xr3:uid="{D4A454BE-FB6E-46F5-8DF7-86BF51B389A4}" name="2122" dataDxfId="416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8B2E7C-0A4E-4300-8E01-5CCF5D606E20}" name="Table3" displayName="Table3" ref="A46:CX57" totalsRowShown="0" headerRowDxfId="415" dataDxfId="414" headerRowCellStyle="Percent">
  <autoFilter ref="A46:CX57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</autoFilter>
  <tableColumns count="102">
    <tableColumn id="1" xr3:uid="{DD7DA92D-5B48-4341-9FC0-52A95366E283}" name="Age groups" dataDxfId="413"/>
    <tableColumn id="2" xr3:uid="{393327A2-BCF6-43FE-98E3-1C72F2532AD8}" name="2022" dataDxfId="412"/>
    <tableColumn id="3" xr3:uid="{7423426B-CF88-41CE-B1EE-599BF988D0CE}" name="2023" dataDxfId="411"/>
    <tableColumn id="4" xr3:uid="{31665FB4-93D6-48F4-A822-5A362A01B1C9}" name="2024" dataDxfId="410"/>
    <tableColumn id="5" xr3:uid="{95DD978B-BB1E-4F7F-B3C5-7D61D36E7DD3}" name="2025" dataDxfId="409"/>
    <tableColumn id="6" xr3:uid="{3800E7B1-E4CC-4865-8F7F-9A96D43A79FA}" name="2026" dataDxfId="408"/>
    <tableColumn id="7" xr3:uid="{9A670DF3-BD79-434F-900C-B616FE698D56}" name="2027" dataDxfId="407"/>
    <tableColumn id="8" xr3:uid="{DA5C52D7-9152-4A8D-93C7-B4F3ACF4F057}" name="2028" dataDxfId="406"/>
    <tableColumn id="9" xr3:uid="{912DE0AD-F667-4B46-8588-8DF98B98C3BC}" name="2029" dataDxfId="405"/>
    <tableColumn id="10" xr3:uid="{4E8E837A-6710-4E6B-93EF-F00E075476E4}" name="2030" dataDxfId="404"/>
    <tableColumn id="11" xr3:uid="{020AD0F5-4EFF-48ED-97C6-092F68B68CC3}" name="2031" dataDxfId="403"/>
    <tableColumn id="12" xr3:uid="{39CCB71B-FC63-41F3-9AAD-B6F421DAE936}" name="2032" dataDxfId="402"/>
    <tableColumn id="13" xr3:uid="{A8BB23F1-D6BB-4FA0-AE81-DE8EC278EDFA}" name="2033" dataDxfId="401"/>
    <tableColumn id="14" xr3:uid="{65050D83-3A13-4DB9-AB2E-D41BBB1E6620}" name="2034" dataDxfId="400"/>
    <tableColumn id="15" xr3:uid="{48223B16-A921-48A6-851D-AF9B067E27B2}" name="2035" dataDxfId="399"/>
    <tableColumn id="16" xr3:uid="{CB733AE7-F4AE-4DDA-A297-8167B7700CD4}" name="2036" dataDxfId="398"/>
    <tableColumn id="17" xr3:uid="{61743068-359E-4DFF-B524-67C1A1CCB8E0}" name="2037" dataDxfId="397"/>
    <tableColumn id="18" xr3:uid="{35650878-F4A1-4959-AC38-52E18BFC5371}" name="2038" dataDxfId="396"/>
    <tableColumn id="19" xr3:uid="{492C4303-20EF-43FA-8BB9-A45917CE8DD7}" name="2039" dataDxfId="395"/>
    <tableColumn id="20" xr3:uid="{CBF9F2AC-7D37-452E-8761-5CEE554726FF}" name="2040" dataDxfId="394"/>
    <tableColumn id="21" xr3:uid="{E84054BD-0701-4541-BA90-3648A3F58A1B}" name="2041" dataDxfId="393"/>
    <tableColumn id="22" xr3:uid="{442EA06F-8CE1-4DDB-A53E-D4745258D68F}" name="2042" dataDxfId="392"/>
    <tableColumn id="23" xr3:uid="{DC79B74F-53FC-433D-848C-DBA19E3CEFC1}" name="2043" dataDxfId="391"/>
    <tableColumn id="24" xr3:uid="{FB7F5E56-DEE8-4A05-AEE7-DFE0C0FF3019}" name="2044" dataDxfId="390"/>
    <tableColumn id="25" xr3:uid="{2547238A-2BFD-4E01-8463-0ADEFB05B058}" name="2045" dataDxfId="389"/>
    <tableColumn id="26" xr3:uid="{C8CDC678-4B7B-4E34-BE83-8D49034C5E99}" name="2046" dataDxfId="388"/>
    <tableColumn id="27" xr3:uid="{DD42647F-4BBC-4070-8760-11998A853743}" name="2047" dataDxfId="387"/>
    <tableColumn id="28" xr3:uid="{27D6A4A7-7C55-4D73-813C-85978E215BDA}" name="2048" dataDxfId="386"/>
    <tableColumn id="29" xr3:uid="{212DE094-9896-4EC8-B268-730EEBF84642}" name="2049" dataDxfId="385"/>
    <tableColumn id="30" xr3:uid="{582E15C1-A01D-4688-9C7E-BDB322EC7E83}" name="2050" dataDxfId="384"/>
    <tableColumn id="31" xr3:uid="{1C72B0B8-2AA6-467E-A6E3-39C6FCEC7C09}" name="2051" dataDxfId="383"/>
    <tableColumn id="32" xr3:uid="{2A8637B9-EF64-4BCF-8236-7235C2DA7093}" name="2052" dataDxfId="382"/>
    <tableColumn id="33" xr3:uid="{5BA59A20-3734-4B00-AE33-F415B5D0CF9C}" name="2053" dataDxfId="381"/>
    <tableColumn id="34" xr3:uid="{A99C5EF5-1F1F-4EF6-B6C2-8B51EDF40D4B}" name="2054" dataDxfId="380"/>
    <tableColumn id="35" xr3:uid="{6F58D30B-900F-4069-B105-FED3637D8FEC}" name="2055" dataDxfId="379"/>
    <tableColumn id="36" xr3:uid="{95E5585E-133E-463C-B882-BF4E6C2C9F8B}" name="2056" dataDxfId="378"/>
    <tableColumn id="37" xr3:uid="{8341EC5C-E35C-4389-B820-0372CA3A16B6}" name="2057" dataDxfId="377"/>
    <tableColumn id="38" xr3:uid="{A50368E1-3579-4802-ADD7-97EF92FEF31D}" name="2058" dataDxfId="376"/>
    <tableColumn id="39" xr3:uid="{33DCF6E1-EF0B-4065-BA7F-6B50533EC43C}" name="2059" dataDxfId="375"/>
    <tableColumn id="40" xr3:uid="{3BDE7DF8-89FE-4AF6-9ECA-881036B1BCCC}" name="2060" dataDxfId="374"/>
    <tableColumn id="41" xr3:uid="{88000E6C-495D-4B4B-BA94-D4A8D3E7CDAE}" name="2061" dataDxfId="373"/>
    <tableColumn id="42" xr3:uid="{EA33AC94-3579-4141-AFDE-18E0C23D4CC6}" name="2062" dataDxfId="372"/>
    <tableColumn id="43" xr3:uid="{C609EF02-163F-4DD1-83F1-665593ED3A0B}" name="2063" dataDxfId="371"/>
    <tableColumn id="44" xr3:uid="{608F5B6B-EA5B-4275-824E-386CF369C4CF}" name="2064" dataDxfId="370"/>
    <tableColumn id="45" xr3:uid="{A61F48AF-EAC1-4E21-9466-F2CFC3A0E83E}" name="2065" dataDxfId="369"/>
    <tableColumn id="46" xr3:uid="{C9553F0A-4E0D-421A-8367-CB536C07AC52}" name="2066" dataDxfId="368"/>
    <tableColumn id="47" xr3:uid="{4DB654C1-0DD1-406A-8928-822BB921B6BA}" name="2067" dataDxfId="367"/>
    <tableColumn id="48" xr3:uid="{01241F5D-8CE7-4D4E-B5F2-62A96A883D85}" name="2068" dataDxfId="366"/>
    <tableColumn id="49" xr3:uid="{0DA3F74E-BE7E-43F1-ADB3-4E604079B307}" name="2069" dataDxfId="365"/>
    <tableColumn id="50" xr3:uid="{972BEA41-9CE4-4809-8A2A-F059811D3754}" name="2070" dataDxfId="364"/>
    <tableColumn id="51" xr3:uid="{DE821AD2-96B8-427E-8890-B3C6C2EDC772}" name="2071" dataDxfId="363"/>
    <tableColumn id="52" xr3:uid="{E0577384-EED0-4CCB-9BA6-D1FF60D51EC7}" name="2072" dataDxfId="362"/>
    <tableColumn id="53" xr3:uid="{DE892474-A493-4638-B098-267855FF7779}" name="2073" dataDxfId="361"/>
    <tableColumn id="54" xr3:uid="{D9A8A336-1F57-441B-9F93-27357A076E0E}" name="2074" dataDxfId="360"/>
    <tableColumn id="55" xr3:uid="{807C4F89-70D8-49D5-A60C-7D39FB501A2E}" name="2075" dataDxfId="359"/>
    <tableColumn id="56" xr3:uid="{9BA8A9BB-3E5E-45E6-B203-A10EF1A341A1}" name="2076" dataDxfId="358"/>
    <tableColumn id="57" xr3:uid="{BF97828C-DA6A-42B5-ABBC-A5C344C48896}" name="2077" dataDxfId="357"/>
    <tableColumn id="58" xr3:uid="{871F31AC-8D18-418C-AD50-D029587C8023}" name="2078" dataDxfId="356"/>
    <tableColumn id="59" xr3:uid="{D80F569F-F5B4-43FE-B6D1-BF8A4CD5127E}" name="2079" dataDxfId="355"/>
    <tableColumn id="60" xr3:uid="{49BFA35B-DD93-453A-B71B-4F995BF734C2}" name="2080" dataDxfId="354"/>
    <tableColumn id="61" xr3:uid="{AAA72B9C-C535-4893-9940-226926C7085F}" name="2081" dataDxfId="353"/>
    <tableColumn id="62" xr3:uid="{0E798245-F704-4D50-8811-E7A8B21B5713}" name="2082" dataDxfId="352"/>
    <tableColumn id="63" xr3:uid="{0561F9F3-56A4-4041-BB89-E7D6FC4D7050}" name="2083" dataDxfId="351"/>
    <tableColumn id="64" xr3:uid="{8B86CE64-9566-4E89-B983-C4DB08DAF523}" name="2084" dataDxfId="350"/>
    <tableColumn id="65" xr3:uid="{F0E688FE-A961-4E46-95E1-D0A17E0D4C4D}" name="2085" dataDxfId="349"/>
    <tableColumn id="66" xr3:uid="{2AFE101F-AE8C-4469-B142-E52E7D2945E4}" name="2086" dataDxfId="348"/>
    <tableColumn id="67" xr3:uid="{36450508-ED64-496E-A409-57CB129D27BA}" name="2087" dataDxfId="347"/>
    <tableColumn id="68" xr3:uid="{F5D7F03F-E709-49B2-BA1A-BA9668131E63}" name="2088" dataDxfId="346"/>
    <tableColumn id="69" xr3:uid="{931FD79B-3DF6-4948-A3E9-7C52CFD268FA}" name="2089" dataDxfId="345"/>
    <tableColumn id="70" xr3:uid="{80BFFCFC-993C-49B3-B916-57F8DF5A3315}" name="2090" dataDxfId="344"/>
    <tableColumn id="71" xr3:uid="{8FFAAC5D-C915-4F87-A5E9-19049AAA6C2A}" name="2091" dataDxfId="343"/>
    <tableColumn id="72" xr3:uid="{C0C16114-B6AE-4719-AA4E-06BA7E5B510F}" name="2092" dataDxfId="342"/>
    <tableColumn id="73" xr3:uid="{DFEACBC7-B119-4C6C-BF51-BCD49FC71057}" name="2093" dataDxfId="341"/>
    <tableColumn id="74" xr3:uid="{68716660-8636-4DCA-99DD-DBBA862D9187}" name="2094" dataDxfId="340"/>
    <tableColumn id="75" xr3:uid="{EF27459C-9AD3-488B-8CCA-553CDD6F9FE1}" name="2095" dataDxfId="339"/>
    <tableColumn id="76" xr3:uid="{A117308C-2E41-4FF4-840F-DBE92EB33BE2}" name="2096" dataDxfId="338"/>
    <tableColumn id="77" xr3:uid="{1EE36693-B8B9-41AD-8EF0-776A4AF971A8}" name="2097" dataDxfId="337"/>
    <tableColumn id="78" xr3:uid="{F2673FE1-27A1-41D6-AC7D-316244B31B50}" name="2098" dataDxfId="336"/>
    <tableColumn id="79" xr3:uid="{68A6753A-338E-4129-BD85-14B98CD35655}" name="2099" dataDxfId="335"/>
    <tableColumn id="80" xr3:uid="{A0316197-2D54-48D9-B1C4-272B8236F2F0}" name="2100" dataDxfId="334"/>
    <tableColumn id="81" xr3:uid="{9EE9723B-5A2A-4DFF-A48E-3D6BB37C17E0}" name="2101" dataDxfId="333"/>
    <tableColumn id="82" xr3:uid="{3771BDA1-CD6E-4437-9234-BF21D1C82BC2}" name="2102" dataDxfId="332"/>
    <tableColumn id="83" xr3:uid="{08AC6D76-8452-48D4-8C07-B6DD3A905D4A}" name="2103" dataDxfId="331"/>
    <tableColumn id="84" xr3:uid="{B29187BC-DB29-48BE-A65D-CE71F4839B72}" name="2104" dataDxfId="330"/>
    <tableColumn id="85" xr3:uid="{81BB804C-45A7-4D7E-BE36-16F3DF239D50}" name="2105" dataDxfId="329"/>
    <tableColumn id="86" xr3:uid="{E1B29FC5-CF34-436D-8083-268F539D2378}" name="2106" dataDxfId="328"/>
    <tableColumn id="87" xr3:uid="{F0FD5A40-35F8-4792-BF1F-2147F67D788D}" name="2107" dataDxfId="327"/>
    <tableColumn id="88" xr3:uid="{80DDE0D4-F5AC-4D0F-BA1A-4F41878FE593}" name="2108" dataDxfId="326"/>
    <tableColumn id="89" xr3:uid="{D654B6C1-27C0-4B48-8510-E941B37E7D22}" name="2109" dataDxfId="325"/>
    <tableColumn id="90" xr3:uid="{E3B84571-84F4-4430-A910-1D68112D7FEA}" name="2110" dataDxfId="324"/>
    <tableColumn id="91" xr3:uid="{C0F03544-19FA-4E24-AEC9-334CD780477B}" name="2111" dataDxfId="323"/>
    <tableColumn id="92" xr3:uid="{CA8E1E3B-1284-4EA8-85D6-7E40985045AE}" name="2112" dataDxfId="322"/>
    <tableColumn id="93" xr3:uid="{F20A8055-DC10-4BB4-9DEF-DDBB7389760B}" name="2113" dataDxfId="321"/>
    <tableColumn id="94" xr3:uid="{EE5FDBFA-7CD7-4DDE-A0A1-5BF82C03B6E1}" name="2114" dataDxfId="320"/>
    <tableColumn id="95" xr3:uid="{4F2269EC-7F6C-4C8C-AFAB-14DC9C901A3B}" name="2115" dataDxfId="319"/>
    <tableColumn id="96" xr3:uid="{D31FC9D0-14D9-4035-8171-526021D7A058}" name="2116" dataDxfId="318"/>
    <tableColumn id="97" xr3:uid="{7EA1C6A1-E881-4CC7-B57E-750A862F4690}" name="2117" dataDxfId="317"/>
    <tableColumn id="98" xr3:uid="{E7B6506C-0DE6-4FCA-9FB0-96D4DB6CEC1F}" name="2118" dataDxfId="316"/>
    <tableColumn id="99" xr3:uid="{59D34288-B3AF-43A2-BE83-B45B7A79D948}" name="2119" dataDxfId="315"/>
    <tableColumn id="100" xr3:uid="{AF4E0260-52C5-4DF8-A4C5-06248087A60E}" name="2120" dataDxfId="314"/>
    <tableColumn id="101" xr3:uid="{59B2A8DD-24F2-4D8E-BD89-9F964617EAD2}" name="2121" dataDxfId="313"/>
    <tableColumn id="102" xr3:uid="{A9CC6083-985A-4FCE-A93D-113815D3667A}" name="2122" dataDxfId="312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3495BB-542F-484D-909F-550B7D2C8E9B}" name="Table15" displayName="Table15" ref="A7:CX24" totalsRowShown="0" headerRowDxfId="311" dataDxfId="310" dataCellStyle="Normal_WebframesCC">
  <autoFilter ref="A7:CX24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</autoFilter>
  <tableColumns count="102">
    <tableColumn id="1" xr3:uid="{7117EA9E-22CE-4640-9632-89123F3D1599}" name="Components" dataDxfId="309"/>
    <tableColumn id="2" xr3:uid="{9313A7E4-BDBE-47DD-AABE-F6109B60F0E3}" name="2022 [note 2]" dataDxfId="308" dataCellStyle="Normal_WebframesCC"/>
    <tableColumn id="3" xr3:uid="{7362A878-44F2-4651-BA11-7E00851B0FEB}" name="2023" dataDxfId="307" dataCellStyle="Normal_WebframesCC"/>
    <tableColumn id="4" xr3:uid="{701F4C68-2033-4082-9BD5-3B4E2B9ADEE6}" name="2024" dataDxfId="306" dataCellStyle="Normal_WebframesCC"/>
    <tableColumn id="5" xr3:uid="{69437094-2119-4BDC-ABE8-67FE2093870C}" name="2025" dataDxfId="305" dataCellStyle="Normal_WebframesCC"/>
    <tableColumn id="6" xr3:uid="{4B3D7477-3A7C-467A-B6B4-0B86B247B700}" name="2026" dataDxfId="304" dataCellStyle="Normal_WebframesCC"/>
    <tableColumn id="7" xr3:uid="{720A074D-A9C6-4CEB-A59E-DE834532664E}" name="2027" dataDxfId="303" dataCellStyle="Normal_WebframesCC"/>
    <tableColumn id="8" xr3:uid="{224EA819-46DC-4D19-920C-4B5C14C86300}" name="2028" dataDxfId="302" dataCellStyle="Normal_WebframesCC"/>
    <tableColumn id="9" xr3:uid="{EA7A737B-E83B-4569-AC76-1BB5B7FABDC7}" name="2029" dataDxfId="301" dataCellStyle="Normal_WebframesCC"/>
    <tableColumn id="10" xr3:uid="{8990ED22-707A-4823-8E6C-289C40B6FB38}" name="2030" dataDxfId="300" dataCellStyle="Normal_WebframesCC"/>
    <tableColumn id="11" xr3:uid="{321AE310-BD63-4D39-BB90-9B5C9FB87749}" name="2031" dataDxfId="299" dataCellStyle="Normal_WebframesCC"/>
    <tableColumn id="12" xr3:uid="{7CBA18B6-0E73-4965-A7D9-D54C419FB4BD}" name="2032" dataDxfId="298" dataCellStyle="Normal_WebframesCC"/>
    <tableColumn id="13" xr3:uid="{C0BB8768-246D-443A-BEAD-6757686A471C}" name="2033" dataDxfId="297" dataCellStyle="Normal_WebframesCC"/>
    <tableColumn id="14" xr3:uid="{2D2E52E1-9105-463D-B8CF-377B4E7479FE}" name="2034" dataDxfId="296" dataCellStyle="Normal_WebframesCC"/>
    <tableColumn id="15" xr3:uid="{A0A4CF28-2E3D-4B0A-9563-8BFE9557F9CE}" name="2035" dataDxfId="295" dataCellStyle="Normal_WebframesCC"/>
    <tableColumn id="16" xr3:uid="{813DC35D-C763-4261-B239-CFE00C658056}" name="2036" dataDxfId="294" dataCellStyle="Normal_WebframesCC"/>
    <tableColumn id="17" xr3:uid="{AD0C3761-F085-462B-851C-E8D5A9E9A5C2}" name="2037" dataDxfId="293" dataCellStyle="Normal_WebframesCC"/>
    <tableColumn id="18" xr3:uid="{97627139-7157-41DA-A1F4-01B309245E1D}" name="2038" dataDxfId="292" dataCellStyle="Normal_WebframesCC"/>
    <tableColumn id="19" xr3:uid="{108F244C-D756-4032-9E0A-35F301FE32F6}" name="2039" dataDxfId="291" dataCellStyle="Normal_WebframesCC"/>
    <tableColumn id="20" xr3:uid="{1CBF7F70-2723-49F9-84EA-FF2F448DB0AD}" name="2040" dataDxfId="290" dataCellStyle="Normal_WebframesCC"/>
    <tableColumn id="21" xr3:uid="{0D35AED4-1185-487D-A148-8AF000225149}" name="2041" dataDxfId="289" dataCellStyle="Normal_WebframesCC"/>
    <tableColumn id="22" xr3:uid="{F63AC1C1-D355-4BE7-85A3-1022DF71023B}" name="2042" dataDxfId="288" dataCellStyle="Normal_WebframesCC"/>
    <tableColumn id="23" xr3:uid="{1ABEE8C5-C61A-46FD-AE1F-3938D56C704A}" name="2043" dataDxfId="287" dataCellStyle="Normal_WebframesCC"/>
    <tableColumn id="24" xr3:uid="{2306F329-B0A5-46AC-9215-18150ECAC779}" name="2044" dataDxfId="286" dataCellStyle="Normal_WebframesCC"/>
    <tableColumn id="25" xr3:uid="{C3A9825E-5C3E-416D-9EBD-278FBE6C463F}" name="2045" dataDxfId="285" dataCellStyle="Normal_WebframesCC"/>
    <tableColumn id="26" xr3:uid="{5BB85159-1D30-4283-B51A-18D20CD38E52}" name="2046" dataDxfId="284" dataCellStyle="Normal_WebframesCC"/>
    <tableColumn id="27" xr3:uid="{1C07609E-DE41-4AEA-A3D3-DD9614035C57}" name="2047" dataDxfId="283" dataCellStyle="Normal_WebframesCC"/>
    <tableColumn id="28" xr3:uid="{6CFF49C3-8A55-4995-AA3C-BF2E249F5BC7}" name="2048" dataDxfId="282" dataCellStyle="Normal_WebframesCC"/>
    <tableColumn id="29" xr3:uid="{494C94D3-BE69-4A7E-A0BA-80A7F78F2696}" name="2049" dataDxfId="281" dataCellStyle="Normal_WebframesCC"/>
    <tableColumn id="30" xr3:uid="{750189B0-FF40-4948-B3FE-B4E3B530EAEA}" name="2050" dataDxfId="280" dataCellStyle="Normal_WebframesCC"/>
    <tableColumn id="31" xr3:uid="{06FB9058-1942-4E55-9316-209343F0F61C}" name="2051" dataDxfId="279" dataCellStyle="Normal_WebframesCC"/>
    <tableColumn id="32" xr3:uid="{79C6B22B-CB4A-4C08-AC26-A62C46990BB7}" name="2052" dataDxfId="278" dataCellStyle="Normal_WebframesCC"/>
    <tableColumn id="33" xr3:uid="{F95D176B-8674-4B67-B368-91155E423F86}" name="2053" dataDxfId="277" dataCellStyle="Normal_WebframesCC"/>
    <tableColumn id="34" xr3:uid="{8ECF05B9-0C6E-4A1E-87A0-88E193E71F35}" name="2054" dataDxfId="276" dataCellStyle="Normal_WebframesCC"/>
    <tableColumn id="35" xr3:uid="{26312109-B349-4DA6-A05E-B9F3C40A503B}" name="2055" dataDxfId="275" dataCellStyle="Normal_WebframesCC"/>
    <tableColumn id="36" xr3:uid="{30D7B79F-8F76-4E75-B10D-93DD710F39A5}" name="2056" dataDxfId="274" dataCellStyle="Normal_WebframesCC"/>
    <tableColumn id="37" xr3:uid="{D936E266-CE13-4B9C-B068-9C62CA7F5530}" name="2057" dataDxfId="273" dataCellStyle="Normal_WebframesCC"/>
    <tableColumn id="38" xr3:uid="{A0D16302-96AC-4880-9580-2FE067BDBBA8}" name="2058" dataDxfId="272" dataCellStyle="Normal_WebframesCC"/>
    <tableColumn id="39" xr3:uid="{8C763CD2-6DB2-4C1E-8E74-18FEA326C4D2}" name="2059" dataDxfId="271" dataCellStyle="Normal_WebframesCC"/>
    <tableColumn id="40" xr3:uid="{D17FE4E6-75D1-43BF-93DE-F6CD5F2DB9A1}" name="2060" dataDxfId="270" dataCellStyle="Normal_WebframesCC"/>
    <tableColumn id="41" xr3:uid="{6F4D66EC-099A-46C3-85AE-ED890E338E5E}" name="2061" dataDxfId="269" dataCellStyle="Normal_WebframesCC"/>
    <tableColumn id="42" xr3:uid="{BB7ECEF0-C1E1-4881-917D-37EEB44372B5}" name="2062" dataDxfId="268" dataCellStyle="Normal_WebframesCC"/>
    <tableColumn id="43" xr3:uid="{8CC404E0-3D8E-4E73-8F48-561C49B24470}" name="2063" dataDxfId="267" dataCellStyle="Normal_WebframesCC"/>
    <tableColumn id="44" xr3:uid="{6D9450E2-833F-4C1F-9887-E31402E84C8C}" name="2064" dataDxfId="266" dataCellStyle="Normal_WebframesCC"/>
    <tableColumn id="45" xr3:uid="{BFD126DA-1F8D-4147-B198-6BCD3C5B05DA}" name="2065" dataDxfId="265" dataCellStyle="Normal_WebframesCC"/>
    <tableColumn id="46" xr3:uid="{68192B15-D8A1-4414-8253-805304301836}" name="2066" dataDxfId="264" dataCellStyle="Normal_WebframesCC"/>
    <tableColumn id="47" xr3:uid="{EBD6BC2D-1E29-46D2-8446-936EFB32BF87}" name="2067" dataDxfId="263" dataCellStyle="Normal_WebframesCC"/>
    <tableColumn id="48" xr3:uid="{1BB2214B-1BBF-4B34-B186-C14B40318DCF}" name="2068" dataDxfId="262" dataCellStyle="Normal_WebframesCC"/>
    <tableColumn id="49" xr3:uid="{A3B11623-9234-4034-AC28-E81E8D468730}" name="2069" dataDxfId="261" dataCellStyle="Normal_WebframesCC"/>
    <tableColumn id="50" xr3:uid="{6C20863E-8897-4FA0-AA6E-E36468DD3314}" name="2070" dataDxfId="260" dataCellStyle="Normal_WebframesCC"/>
    <tableColumn id="51" xr3:uid="{C2194D70-2A6B-4337-AA66-0B70F81B16A3}" name="2071" dataDxfId="259" dataCellStyle="Normal_WebframesCC"/>
    <tableColumn id="52" xr3:uid="{28009243-5FC3-4BF4-A33C-2388A1BB312A}" name="2072" dataDxfId="258" dataCellStyle="Normal_WebframesCC"/>
    <tableColumn id="53" xr3:uid="{1B5B8F52-B2D3-427D-A5F7-8481BE55DC50}" name="2073" dataDxfId="257" dataCellStyle="Normal_WebframesCC"/>
    <tableColumn id="54" xr3:uid="{D104FB38-9ADA-48F0-8E10-4EDEE22E101D}" name="2074" dataDxfId="256" dataCellStyle="Normal_WebframesCC"/>
    <tableColumn id="55" xr3:uid="{3C0146A8-D61E-460E-AF14-9629863C4F57}" name="2075" dataDxfId="255" dataCellStyle="Normal_WebframesCC"/>
    <tableColumn id="56" xr3:uid="{FEF0A241-EB80-4C2F-AA7C-82A3AFDBF0A2}" name="2076" dataDxfId="254" dataCellStyle="Normal_WebframesCC"/>
    <tableColumn id="57" xr3:uid="{DBEDB562-A3C7-4A2B-A605-33E29B80CFD6}" name="2077" dataDxfId="253" dataCellStyle="Normal_WebframesCC"/>
    <tableColumn id="58" xr3:uid="{E91B2EC7-B484-4A0E-BC75-30EBDF4DB017}" name="2078" dataDxfId="252" dataCellStyle="Normal_WebframesCC"/>
    <tableColumn id="59" xr3:uid="{BA0EFAA0-D73C-4B9E-84F4-271849CFEB66}" name="2079" dataDxfId="251" dataCellStyle="Normal_WebframesCC"/>
    <tableColumn id="60" xr3:uid="{9FD0C9C2-E040-4AD3-89AF-F9E7A74C1FD2}" name="2080" dataDxfId="250" dataCellStyle="Normal_WebframesCC"/>
    <tableColumn id="61" xr3:uid="{4CEE4A40-EF1E-4970-80AD-A6911589C9BE}" name="2081" dataDxfId="249" dataCellStyle="Normal_WebframesCC"/>
    <tableColumn id="62" xr3:uid="{3180E615-14C7-44B5-9165-5556CEE71BA4}" name="2082" dataDxfId="248" dataCellStyle="Normal_WebframesCC"/>
    <tableColumn id="63" xr3:uid="{433A7B79-8288-4F2B-A7FE-7B68F61E7FE5}" name="2083" dataDxfId="247" dataCellStyle="Normal_WebframesCC"/>
    <tableColumn id="64" xr3:uid="{72C0CEDB-DE5D-4E0C-98EB-452DB4497D68}" name="2084" dataDxfId="246" dataCellStyle="Normal_WebframesCC"/>
    <tableColumn id="65" xr3:uid="{33708CE6-B882-4105-B70F-FC55D2397FDC}" name="2085" dataDxfId="245" dataCellStyle="Normal_WebframesCC"/>
    <tableColumn id="66" xr3:uid="{5CD16F1B-993F-42FD-A4DE-A7AAE9984142}" name="2086" dataDxfId="244" dataCellStyle="Normal_WebframesCC"/>
    <tableColumn id="67" xr3:uid="{DFC3EC06-D174-4BCE-8205-34E0D90C4E8F}" name="2087" dataDxfId="243" dataCellStyle="Normal_WebframesCC"/>
    <tableColumn id="68" xr3:uid="{866C3F07-A850-4442-A310-D217AB28DDBE}" name="2088" dataDxfId="242" dataCellStyle="Normal_WebframesCC"/>
    <tableColumn id="69" xr3:uid="{4B6508B6-1D13-42FD-8FD4-E7611287BCA7}" name="2089" dataDxfId="241" dataCellStyle="Normal_WebframesCC"/>
    <tableColumn id="70" xr3:uid="{377C6CDF-F277-403F-B1B0-C14EDB1D6306}" name="2090" dataDxfId="240" dataCellStyle="Normal_WebframesCC"/>
    <tableColumn id="71" xr3:uid="{19D1EC8A-D75E-4C75-9A4C-BFD5B1594808}" name="2091" dataDxfId="239" dataCellStyle="Normal_WebframesCC"/>
    <tableColumn id="72" xr3:uid="{D7BA1BE8-F624-4151-B656-8F1DB0975ED0}" name="2092" dataDxfId="238" dataCellStyle="Normal_WebframesCC"/>
    <tableColumn id="73" xr3:uid="{3CF72452-3ABB-485C-BA8B-05F2B368E6E0}" name="2093" dataDxfId="237" dataCellStyle="Normal_WebframesCC"/>
    <tableColumn id="74" xr3:uid="{33C2DCC2-CD02-49ED-A531-1DFE71866C0F}" name="2094" dataDxfId="236" dataCellStyle="Normal_WebframesCC"/>
    <tableColumn id="75" xr3:uid="{760CA947-DC32-41CC-AF80-1CB9A16157AD}" name="2095" dataDxfId="235" dataCellStyle="Normal_WebframesCC"/>
    <tableColumn id="76" xr3:uid="{CBF9A34C-2222-439C-9DE7-ABCF47103C82}" name="2096" dataDxfId="234" dataCellStyle="Normal_WebframesCC"/>
    <tableColumn id="77" xr3:uid="{5FB75826-95B7-4593-9AFB-C57952E3F811}" name="2097" dataDxfId="233" dataCellStyle="Normal_WebframesCC"/>
    <tableColumn id="78" xr3:uid="{50BA5CA6-C565-47C4-AA6F-FB6E20C63DBB}" name="2098" dataDxfId="232" dataCellStyle="Normal_WebframesCC"/>
    <tableColumn id="79" xr3:uid="{69DAB53B-DE95-40E4-A764-B354116E2F41}" name="2099" dataDxfId="231" dataCellStyle="Normal_WebframesCC"/>
    <tableColumn id="80" xr3:uid="{E2AE9C10-DED3-4695-A61F-11E9766225CA}" name="2100" dataDxfId="230" dataCellStyle="Normal_WebframesCC"/>
    <tableColumn id="81" xr3:uid="{4EF89225-4749-42F5-915C-9218EE66F770}" name="2101" dataDxfId="229" dataCellStyle="Normal_WebframesCC"/>
    <tableColumn id="82" xr3:uid="{4E781B1F-0B1C-40AB-9BDD-5EE646D3BB2E}" name="2102" dataDxfId="228" dataCellStyle="Normal_WebframesCC"/>
    <tableColumn id="83" xr3:uid="{8B516DDD-9FFF-473B-8F0C-3F5CD6535933}" name="2103" dataDxfId="227" dataCellStyle="Normal_WebframesCC"/>
    <tableColumn id="84" xr3:uid="{131E025B-1414-4498-8591-F745AEFB9915}" name="2104" dataDxfId="226" dataCellStyle="Normal_WebframesCC"/>
    <tableColumn id="85" xr3:uid="{49DF02D2-C96F-4188-AD0A-E415463153F7}" name="2105" dataDxfId="225" dataCellStyle="Normal_WebframesCC"/>
    <tableColumn id="86" xr3:uid="{9BD37176-4835-4A2D-BAAB-40B34E013B77}" name="2106" dataDxfId="224" dataCellStyle="Normal_WebframesCC"/>
    <tableColumn id="87" xr3:uid="{C3D3E0CE-4238-4ED1-8363-13104E3C851E}" name="2107" dataDxfId="223" dataCellStyle="Normal_WebframesCC"/>
    <tableColumn id="88" xr3:uid="{A9252BA3-F35F-4B71-AEA2-42ADFF57957A}" name="2108" dataDxfId="222" dataCellStyle="Normal_WebframesCC"/>
    <tableColumn id="89" xr3:uid="{459547EF-CD8C-4EB5-BFF4-A6523DC35303}" name="2109" dataDxfId="221" dataCellStyle="Normal_WebframesCC"/>
    <tableColumn id="90" xr3:uid="{5EA3796F-5031-4DDA-82CD-A2D30A16B27C}" name="2110" dataDxfId="220" dataCellStyle="Normal_WebframesCC"/>
    <tableColumn id="91" xr3:uid="{34D341EA-0125-441D-84EF-800042EC3791}" name="2111" dataDxfId="219" dataCellStyle="Normal_WebframesCC"/>
    <tableColumn id="92" xr3:uid="{0A9D483F-F74A-4B1C-B90C-35F2527C9561}" name="2112" dataDxfId="218" dataCellStyle="Normal_WebframesCC"/>
    <tableColumn id="93" xr3:uid="{3E3F88C0-0C1A-43DC-8A22-1585459B8B3A}" name="2113" dataDxfId="217" dataCellStyle="Normal_WebframesCC"/>
    <tableColumn id="94" xr3:uid="{B867EE61-ABD3-4809-BF37-38925C12E9AA}" name="2114" dataDxfId="216" dataCellStyle="Normal_WebframesCC"/>
    <tableColumn id="95" xr3:uid="{5B55499F-575A-4DD2-8D39-8F9F064C5AD5}" name="2115" dataDxfId="215" dataCellStyle="Normal_WebframesCC"/>
    <tableColumn id="96" xr3:uid="{2AFF198A-3958-4B88-8A14-3DC427921E6D}" name="2116" dataDxfId="214" dataCellStyle="Normal_WebframesCC"/>
    <tableColumn id="97" xr3:uid="{B704AD25-AB84-42A9-9FF6-70AF8617593C}" name="2117" dataDxfId="213" dataCellStyle="Normal_WebframesCC"/>
    <tableColumn id="98" xr3:uid="{B31EEB70-C256-4FFB-9E82-2B80764E0184}" name="2118" dataDxfId="212" dataCellStyle="Normal_WebframesCC"/>
    <tableColumn id="99" xr3:uid="{A8FCE323-A4F9-4BE0-86C6-E5E0E2409A46}" name="2119" dataDxfId="211" dataCellStyle="Normal_WebframesCC"/>
    <tableColumn id="100" xr3:uid="{B7B5736D-351A-4309-870F-47A147B8E7C1}" name="2120" dataDxfId="210" dataCellStyle="Normal_WebframesCC"/>
    <tableColumn id="101" xr3:uid="{34CD532F-0707-4E52-AAF1-DA5B88EAF967}" name="2121" dataDxfId="209" dataCellStyle="Normal_WebframesCC"/>
    <tableColumn id="102" xr3:uid="{E07BEF9B-8BE7-463A-83EB-3FCE970E0DA3}" name="2122" dataDxfId="208" dataCellStyle="Normal_WebframesCC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AC176D-1EBC-49C2-ABB1-58C783A45BEC}" name="Table26" displayName="Table26" ref="A27:CX43" totalsRowShown="0" headerRowDxfId="207" dataDxfId="206">
  <autoFilter ref="A27:CX43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</autoFilter>
  <tableColumns count="102">
    <tableColumn id="1" xr3:uid="{F8C105E5-7765-4969-A8EC-11AED748C731}" name="Ages" dataDxfId="205"/>
    <tableColumn id="2" xr3:uid="{7A1E7C63-2E44-43B1-9F23-F36B22E173F0}" name="2022" dataDxfId="204"/>
    <tableColumn id="3" xr3:uid="{F3AA7600-06DD-4095-B038-64F669A5216F}" name="2023" dataDxfId="203"/>
    <tableColumn id="4" xr3:uid="{EA910F14-07A0-4DC8-9F96-93BEAD15F3AD}" name="2024" dataDxfId="202"/>
    <tableColumn id="5" xr3:uid="{B8DB563A-F13B-44BD-AD73-030AFE12AAA1}" name="2025" dataDxfId="201"/>
    <tableColumn id="6" xr3:uid="{3BDD2EBF-F4D7-4963-B0C7-CA2AE96780A7}" name="2026" dataDxfId="200"/>
    <tableColumn id="7" xr3:uid="{9C57271E-E5DB-47EF-9318-2713F2B9A0B0}" name="2027" dataDxfId="199"/>
    <tableColumn id="8" xr3:uid="{2C453701-CFEC-4BBD-90A3-3E8CE33D8ED0}" name="2028" dataDxfId="198"/>
    <tableColumn id="9" xr3:uid="{3F5C06B8-9DFC-4AAE-A865-7AEEAA8B2A01}" name="2029" dataDxfId="197"/>
    <tableColumn id="10" xr3:uid="{AA05E9C7-4AB3-4459-A21D-C62B8182021C}" name="2030" dataDxfId="196"/>
    <tableColumn id="11" xr3:uid="{73D4CA57-E7D3-40A2-BCF3-B8BF6D402D37}" name="2031" dataDxfId="195"/>
    <tableColumn id="12" xr3:uid="{DFA1E9BD-B86A-49C3-AD0D-6AC597DE3731}" name="2032" dataDxfId="194"/>
    <tableColumn id="13" xr3:uid="{6F2D0DB4-BB85-4D8F-B554-695752FBABE1}" name="2033" dataDxfId="193"/>
    <tableColumn id="14" xr3:uid="{FEAB9E6E-F3AB-4271-B8DE-F45FD50A3D5F}" name="2034" dataDxfId="192"/>
    <tableColumn id="15" xr3:uid="{7CDC009D-7C00-4D9E-9DC4-E4F522C6809D}" name="2035" dataDxfId="191"/>
    <tableColumn id="16" xr3:uid="{D1A845E7-2B8B-4F83-B2BA-D5DE383634FF}" name="2036" dataDxfId="190"/>
    <tableColumn id="17" xr3:uid="{303EABF9-4E45-41BF-AB31-3A971D60C288}" name="2037" dataDxfId="189"/>
    <tableColumn id="18" xr3:uid="{91BA44C1-42C8-4D2B-9C4E-369DFDCF9080}" name="2038" dataDxfId="188"/>
    <tableColumn id="19" xr3:uid="{7F4E8EC1-0D2E-4047-9C0E-F4773A4FFADE}" name="2039" dataDxfId="187"/>
    <tableColumn id="20" xr3:uid="{EFD986DF-4A35-4439-A9B3-1A6E891DF646}" name="2040" dataDxfId="186"/>
    <tableColumn id="21" xr3:uid="{0878FD7E-4547-427D-AD32-5F758C10E98C}" name="2041" dataDxfId="185"/>
    <tableColumn id="22" xr3:uid="{31BBFF96-6C15-499B-A8E8-BB930BBA461A}" name="2042" dataDxfId="184"/>
    <tableColumn id="23" xr3:uid="{2E280B5C-B0E5-4BF4-B4B5-C852174CFD40}" name="2043" dataDxfId="183"/>
    <tableColumn id="24" xr3:uid="{D92D8F2F-EEDB-4649-AF52-B79B3B5C7D27}" name="2044" dataDxfId="182"/>
    <tableColumn id="25" xr3:uid="{5DDC11CA-9966-4B0B-8F52-C9DDA5957554}" name="2045" dataDxfId="181"/>
    <tableColumn id="26" xr3:uid="{CB3AACA9-5554-4288-9782-F5BB2F404D4A}" name="2046" dataDxfId="180"/>
    <tableColumn id="27" xr3:uid="{48DB44CA-132E-4138-95DC-AEAC0E5CFD27}" name="2047" dataDxfId="179"/>
    <tableColumn id="28" xr3:uid="{13D3E58A-AC30-4E2C-A350-DE9B77E68119}" name="2048" dataDxfId="178"/>
    <tableColumn id="29" xr3:uid="{D456DE2C-2BC9-4C93-BD36-001FF8B6D26C}" name="2049" dataDxfId="177"/>
    <tableColumn id="30" xr3:uid="{C2440CD0-442D-4BF9-94F5-9EA607158989}" name="2050" dataDxfId="176"/>
    <tableColumn id="31" xr3:uid="{58C914BB-5EDA-47BB-9AAD-6E0C6893CB87}" name="2051" dataDxfId="175"/>
    <tableColumn id="32" xr3:uid="{BCE56854-EC22-4772-8691-BAFC749DDA82}" name="2052" dataDxfId="174"/>
    <tableColumn id="33" xr3:uid="{53CA605E-FD21-4E7C-B8BB-41803F73450B}" name="2053" dataDxfId="173"/>
    <tableColumn id="34" xr3:uid="{42987C97-6377-4F27-9ACE-FAACC2F14070}" name="2054" dataDxfId="172"/>
    <tableColumn id="35" xr3:uid="{94766A49-D1A9-4C2F-83EA-F38303528DCA}" name="2055" dataDxfId="171"/>
    <tableColumn id="36" xr3:uid="{47176283-3680-4197-9430-51D36C9107F6}" name="2056" dataDxfId="170"/>
    <tableColumn id="37" xr3:uid="{D97E5560-740B-438B-B810-550DBB11C6F0}" name="2057" dataDxfId="169"/>
    <tableColumn id="38" xr3:uid="{F0786248-9DC9-4CB5-9819-5AFCB8FF929A}" name="2058" dataDxfId="168"/>
    <tableColumn id="39" xr3:uid="{22E8DCC5-784B-4837-845A-20DD1BD5D6F2}" name="2059" dataDxfId="167"/>
    <tableColumn id="40" xr3:uid="{C5076E11-F201-4ABE-860D-639EC15768B8}" name="2060" dataDxfId="166"/>
    <tableColumn id="41" xr3:uid="{84135072-F965-4E42-B28D-3DE3AF4A09FA}" name="2061" dataDxfId="165"/>
    <tableColumn id="42" xr3:uid="{AA173957-D119-413D-B247-2B62AA72FE7A}" name="2062" dataDxfId="164"/>
    <tableColumn id="43" xr3:uid="{9A46A5A4-8342-4BC9-AA4E-8DB50ADD1F21}" name="2063" dataDxfId="163"/>
    <tableColumn id="44" xr3:uid="{4858A658-9CCB-4B7C-82E5-9F2AFF8E400A}" name="2064" dataDxfId="162"/>
    <tableColumn id="45" xr3:uid="{5837C91C-A75B-454E-9A5F-EAC5567CFF70}" name="2065" dataDxfId="161"/>
    <tableColumn id="46" xr3:uid="{5845BF79-2EFD-4510-9665-9BB4D3DF02D7}" name="2066" dataDxfId="160"/>
    <tableColumn id="47" xr3:uid="{032894D9-77C0-44EC-9E25-F887B87814A9}" name="2067" dataDxfId="159"/>
    <tableColumn id="48" xr3:uid="{D6B3544F-49CC-4855-B642-3E02347AC44C}" name="2068" dataDxfId="158"/>
    <tableColumn id="49" xr3:uid="{2838248A-5B1E-477E-A517-CC436DD31931}" name="2069" dataDxfId="157"/>
    <tableColumn id="50" xr3:uid="{C5A1DB69-40B4-468C-985A-A1EC62D758FC}" name="2070" dataDxfId="156"/>
    <tableColumn id="51" xr3:uid="{A19E5948-9C8A-4965-A0CB-87FB19C06D15}" name="2071" dataDxfId="155"/>
    <tableColumn id="52" xr3:uid="{9C394054-19BE-4B6B-9AAA-EC125A36E1FF}" name="2072" dataDxfId="154"/>
    <tableColumn id="53" xr3:uid="{AB13A598-1800-4BEC-94D3-0C8030A725A8}" name="2073" dataDxfId="153"/>
    <tableColumn id="54" xr3:uid="{F8B68259-67AE-439B-9C8D-041C11969EAC}" name="2074" dataDxfId="152"/>
    <tableColumn id="55" xr3:uid="{7850A5BB-FC5D-458E-90B6-8D85386E26C6}" name="2075" dataDxfId="151"/>
    <tableColumn id="56" xr3:uid="{A4FBE8C7-821E-4D74-8809-0D7ECEC1505B}" name="2076" dataDxfId="150"/>
    <tableColumn id="57" xr3:uid="{0B5A9D11-E1CE-4EF8-980A-B65DB667DDB8}" name="2077" dataDxfId="149"/>
    <tableColumn id="58" xr3:uid="{3E978FCB-D6AC-41B6-A0E1-0D6228A29DAA}" name="2078" dataDxfId="148"/>
    <tableColumn id="59" xr3:uid="{D1314A74-8C1D-4622-B223-2EC750CB4A79}" name="2079" dataDxfId="147"/>
    <tableColumn id="60" xr3:uid="{6917E310-F71C-438E-AFD3-8D3D1364D63A}" name="2080" dataDxfId="146"/>
    <tableColumn id="61" xr3:uid="{A7B92766-904D-456C-B937-CC4118264098}" name="2081" dataDxfId="145"/>
    <tableColumn id="62" xr3:uid="{506F33BA-6270-47C6-A364-6D619D99E365}" name="2082" dataDxfId="144"/>
    <tableColumn id="63" xr3:uid="{931F6935-DD09-425B-8B35-ADFF69A2107A}" name="2083" dataDxfId="143"/>
    <tableColumn id="64" xr3:uid="{69EA4968-9743-46AB-B893-E317024DDEF8}" name="2084" dataDxfId="142"/>
    <tableColumn id="65" xr3:uid="{FAC20077-2F67-4F08-B5E8-03191DF18A3C}" name="2085" dataDxfId="141"/>
    <tableColumn id="66" xr3:uid="{53493EA2-BC7A-451F-BEBA-1A2DAFF312BD}" name="2086" dataDxfId="140"/>
    <tableColumn id="67" xr3:uid="{E305FE57-1402-47F5-8F79-E60F462942D9}" name="2087" dataDxfId="139"/>
    <tableColumn id="68" xr3:uid="{19396A89-076C-4D7E-8868-ADEB7FABB17A}" name="2088" dataDxfId="138"/>
    <tableColumn id="69" xr3:uid="{55E2999D-27ED-4636-8678-7141C3ABB57E}" name="2089" dataDxfId="137"/>
    <tableColumn id="70" xr3:uid="{39846065-710C-470B-9C56-F5E85B174502}" name="2090" dataDxfId="136"/>
    <tableColumn id="71" xr3:uid="{EC7F643E-36AD-4698-8C57-A5AE1FE6EE6B}" name="2091" dataDxfId="135"/>
    <tableColumn id="72" xr3:uid="{AB6B31F0-444E-4B95-BC80-E37B2F2FCBBB}" name="2092" dataDxfId="134"/>
    <tableColumn id="73" xr3:uid="{52AD8A9C-9B5F-4E9D-8505-913450AC4B5F}" name="2093" dataDxfId="133"/>
    <tableColumn id="74" xr3:uid="{B2E7F8EC-564B-4A2D-A241-99E11AA1DBC0}" name="2094" dataDxfId="132"/>
    <tableColumn id="75" xr3:uid="{BDBE0599-D307-457A-838E-D6B9B01EF8AC}" name="2095" dataDxfId="131"/>
    <tableColumn id="76" xr3:uid="{14CAA93D-1AE1-4933-9B17-2E31C6295320}" name="2096" dataDxfId="130"/>
    <tableColumn id="77" xr3:uid="{DCC5C3A9-40EF-4183-AB6C-694939899057}" name="2097" dataDxfId="129"/>
    <tableColumn id="78" xr3:uid="{B0B6F867-6FAE-4FE8-A7E8-E76928874DF7}" name="2098" dataDxfId="128"/>
    <tableColumn id="79" xr3:uid="{62825D6C-56F6-4AD1-9A9B-75BD7224F58A}" name="2099" dataDxfId="127"/>
    <tableColumn id="80" xr3:uid="{B4537467-9C06-494F-8034-85AB5889FC5E}" name="2100" dataDxfId="126"/>
    <tableColumn id="81" xr3:uid="{F40C208B-84C2-4704-A894-FB228C007011}" name="2101" dataDxfId="125"/>
    <tableColumn id="82" xr3:uid="{939F3C1B-6C59-4AF6-9FCF-8D1C3778FFAF}" name="2102" dataDxfId="124"/>
    <tableColumn id="83" xr3:uid="{521AA0C5-6EEE-4C5A-BE17-018694B07254}" name="2103" dataDxfId="123"/>
    <tableColumn id="84" xr3:uid="{B9BC84E1-D691-41E5-905E-261A6A3E881B}" name="2104" dataDxfId="122"/>
    <tableColumn id="85" xr3:uid="{292C1CF6-8317-4BA6-B91C-FD2B56233970}" name="2105" dataDxfId="121"/>
    <tableColumn id="86" xr3:uid="{11F891A9-A402-4F7C-9CFD-6861E0AC46CB}" name="2106" dataDxfId="120"/>
    <tableColumn id="87" xr3:uid="{A29D8265-7711-4615-AA7D-5809515EF02D}" name="2107" dataDxfId="119"/>
    <tableColumn id="88" xr3:uid="{943739D9-F080-43D8-B1A9-2EEBB913AC55}" name="2108" dataDxfId="118"/>
    <tableColumn id="89" xr3:uid="{B9823758-14E3-4A44-8547-B72CB5FBB126}" name="2109" dataDxfId="117"/>
    <tableColumn id="90" xr3:uid="{396ABE34-3E5B-49DC-9C56-C7D6191FC794}" name="2110" dataDxfId="116"/>
    <tableColumn id="91" xr3:uid="{57AED3CF-9110-4EC7-8998-B46C3E492E36}" name="2111" dataDxfId="115"/>
    <tableColumn id="92" xr3:uid="{97596414-3DC9-4B9B-A45C-F07B9F99EF9C}" name="2112" dataDxfId="114"/>
    <tableColumn id="93" xr3:uid="{C5A891AE-ECF7-4DA4-B9B8-8513E60802AC}" name="2113" dataDxfId="113"/>
    <tableColumn id="94" xr3:uid="{81A284DE-1CDB-41F2-B151-CA8885C0FAAB}" name="2114" dataDxfId="112"/>
    <tableColumn id="95" xr3:uid="{169CD721-50CB-4B8E-9413-F84B80D8B55F}" name="2115" dataDxfId="111"/>
    <tableColumn id="96" xr3:uid="{E735F998-AE2B-418D-9562-53F294D72F96}" name="2116" dataDxfId="110"/>
    <tableColumn id="97" xr3:uid="{85E70E60-1A36-4C4C-A025-C1EA0C7CFEFB}" name="2117" dataDxfId="109"/>
    <tableColumn id="98" xr3:uid="{BF4D9CCB-E3D3-419C-888F-11127713E7E5}" name="2118" dataDxfId="108"/>
    <tableColumn id="99" xr3:uid="{7FCF73A3-AEAF-44DD-A4FA-1C693BF70BE1}" name="2119" dataDxfId="107"/>
    <tableColumn id="100" xr3:uid="{8F3E7114-B2A7-406D-993C-3B4C5E49E86B}" name="2120" dataDxfId="106"/>
    <tableColumn id="101" xr3:uid="{EC50F8BE-7D48-4A37-A22B-251F4BF802D1}" name="2121" dataDxfId="105"/>
    <tableColumn id="102" xr3:uid="{4C9C611D-87B8-4EF6-ACD4-6EA9A72AE1BD}" name="2122" dataDxfId="104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6254FD-BAA9-45DD-ACED-59AA1F0C4EA0}" name="Table37" displayName="Table37" ref="A46:CX57" totalsRowShown="0" headerRowDxfId="103" dataDxfId="102" headerRowCellStyle="Percent">
  <autoFilter ref="A46:CX57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</autoFilter>
  <tableColumns count="102">
    <tableColumn id="1" xr3:uid="{7DCA2820-2BB2-4B8C-83B4-2D4971862A13}" name="Age groups" dataDxfId="101"/>
    <tableColumn id="2" xr3:uid="{B9A5A077-0797-4F0A-BB4C-AB60B7DAA469}" name="2022" dataDxfId="100"/>
    <tableColumn id="3" xr3:uid="{A77F5500-2EF3-41A8-AD94-1F15A4B30B02}" name="2023" dataDxfId="99"/>
    <tableColumn id="4" xr3:uid="{049A7BA2-245E-43A0-8C06-5420867AFE68}" name="2024" dataDxfId="98"/>
    <tableColumn id="5" xr3:uid="{CCC33E3A-7AD1-44A7-AE7D-6265B2F31E74}" name="2025" dataDxfId="97"/>
    <tableColumn id="6" xr3:uid="{92329A11-FEE6-421A-A255-59E6E48193CE}" name="2026" dataDxfId="96"/>
    <tableColumn id="7" xr3:uid="{4B9EEAA7-B18D-495B-8802-8B3A2EF3B126}" name="2027" dataDxfId="95"/>
    <tableColumn id="8" xr3:uid="{976D7D32-E487-4959-9F74-C0E5F759A02C}" name="2028" dataDxfId="94"/>
    <tableColumn id="9" xr3:uid="{78556916-FCED-43C7-B89A-BEEF2310294E}" name="2029" dataDxfId="93"/>
    <tableColumn id="10" xr3:uid="{4AD3BCE4-991C-48BE-A137-0A6569973851}" name="2030" dataDxfId="92"/>
    <tableColumn id="11" xr3:uid="{DF380C54-33BA-4F8A-AF8E-AB01E5CB6C5A}" name="2031" dataDxfId="91"/>
    <tableColumn id="12" xr3:uid="{2B21FBE7-1D9A-4A4B-B465-A40AD0854835}" name="2032" dataDxfId="90"/>
    <tableColumn id="13" xr3:uid="{AA1AB597-6B49-46A4-B194-AE7B68ECC3E4}" name="2033" dataDxfId="89"/>
    <tableColumn id="14" xr3:uid="{3C9BB6BD-0786-46D3-80EA-5B786AB48898}" name="2034" dataDxfId="88"/>
    <tableColumn id="15" xr3:uid="{F9EF843D-62A9-470C-9201-14ECEDF43BA0}" name="2035" dataDxfId="87"/>
    <tableColumn id="16" xr3:uid="{D1728A7A-B426-45C7-8C90-A0F92116B9FF}" name="2036" dataDxfId="86"/>
    <tableColumn id="17" xr3:uid="{5CF126C3-259F-4C3E-95F5-AAB34FE8B9B4}" name="2037" dataDxfId="85"/>
    <tableColumn id="18" xr3:uid="{94F97705-EADC-416D-95D7-4B0D5CBE2C1B}" name="2038" dataDxfId="84"/>
    <tableColumn id="19" xr3:uid="{F498D3CF-DFFF-48B1-B7CD-9CFE9417AA11}" name="2039" dataDxfId="83"/>
    <tableColumn id="20" xr3:uid="{102CF49E-D3E2-4373-8F18-4A1A5EA786C4}" name="2040" dataDxfId="82"/>
    <tableColumn id="21" xr3:uid="{ED255630-4506-4DB2-A6D5-DE82C0477A1C}" name="2041" dataDxfId="81"/>
    <tableColumn id="22" xr3:uid="{632603CA-AC21-428D-AC76-F1112B01A8D2}" name="2042" dataDxfId="80"/>
    <tableColumn id="23" xr3:uid="{B02B32B5-95F0-47B9-8D47-CC7CA1A8EC56}" name="2043" dataDxfId="79"/>
    <tableColumn id="24" xr3:uid="{7EE01490-8A42-4DB9-87C2-AC4CAD53BF6F}" name="2044" dataDxfId="78"/>
    <tableColumn id="25" xr3:uid="{8067DB2A-4B47-4B07-9AEB-5598FAEB8813}" name="2045" dataDxfId="77"/>
    <tableColumn id="26" xr3:uid="{D169BF63-D628-41C2-8C69-BFD20AFBAC63}" name="2046" dataDxfId="76"/>
    <tableColumn id="27" xr3:uid="{27F3AA5D-8ECA-477A-88A3-25669D35DA3B}" name="2047" dataDxfId="75"/>
    <tableColumn id="28" xr3:uid="{803AD6A9-C8E6-49AD-98A4-F311A8A0E743}" name="2048" dataDxfId="74"/>
    <tableColumn id="29" xr3:uid="{50C9F0BF-D9B3-48AD-BED8-B23C18538A46}" name="2049" dataDxfId="73"/>
    <tableColumn id="30" xr3:uid="{638DE059-7940-46E2-9288-01CF8848D26E}" name="2050" dataDxfId="72"/>
    <tableColumn id="31" xr3:uid="{D91D1EB4-9A69-4542-82EC-20EEE8831E8C}" name="2051" dataDxfId="71"/>
    <tableColumn id="32" xr3:uid="{17AEE36D-0ADC-458A-B147-4AB11EB1C811}" name="2052" dataDxfId="70"/>
    <tableColumn id="33" xr3:uid="{EC56905A-57FA-4749-99BD-F51A7560889E}" name="2053" dataDxfId="69"/>
    <tableColumn id="34" xr3:uid="{ACC43F9E-6A0B-44B7-B7D4-85994B3D0EA0}" name="2054" dataDxfId="68"/>
    <tableColumn id="35" xr3:uid="{8C86D0F4-3071-455E-87E3-8E6A3D0F83FF}" name="2055" dataDxfId="67"/>
    <tableColumn id="36" xr3:uid="{4F16BE04-623B-41F4-B0E2-0A1B2FFE6F6C}" name="2056" dataDxfId="66"/>
    <tableColumn id="37" xr3:uid="{B69162B7-B8ED-46FF-AFC1-FCB141968219}" name="2057" dataDxfId="65"/>
    <tableColumn id="38" xr3:uid="{C3CB0C4A-A845-4972-A558-4744C1ACE728}" name="2058" dataDxfId="64"/>
    <tableColumn id="39" xr3:uid="{ADD9387B-AA2D-4DF1-ADC9-9A48C042CAEC}" name="2059" dataDxfId="63"/>
    <tableColumn id="40" xr3:uid="{73E56565-F90C-4E9C-AE43-CCAB413A66FC}" name="2060" dataDxfId="62"/>
    <tableColumn id="41" xr3:uid="{CF4A1490-109F-4CE5-8466-41C55E082397}" name="2061" dataDxfId="61"/>
    <tableColumn id="42" xr3:uid="{CD2D6E64-46D7-4FBC-80D0-D9160D7734DE}" name="2062" dataDxfId="60"/>
    <tableColumn id="43" xr3:uid="{8297B5CF-0ECC-4A52-9B56-F84A01A1AA27}" name="2063" dataDxfId="59"/>
    <tableColumn id="44" xr3:uid="{3F2A97D9-112F-474A-A2BD-A7FF5290BFC9}" name="2064" dataDxfId="58"/>
    <tableColumn id="45" xr3:uid="{57700ED3-9183-411F-A14C-1E49DCB941E3}" name="2065" dataDxfId="57"/>
    <tableColumn id="46" xr3:uid="{0D77713C-E43B-4C24-9A5B-D4F986FFBC8B}" name="2066" dataDxfId="56"/>
    <tableColumn id="47" xr3:uid="{FF206B87-034E-49F6-ADB6-74B22DEA074E}" name="2067" dataDxfId="55"/>
    <tableColumn id="48" xr3:uid="{2C65B32E-CB50-4536-BD7C-B1828F5810B6}" name="2068" dataDxfId="54"/>
    <tableColumn id="49" xr3:uid="{6861255D-157A-4698-AA27-20DC2FC737B9}" name="2069" dataDxfId="53"/>
    <tableColumn id="50" xr3:uid="{EAB4EF30-CCCD-44FD-B613-30F410B67DC0}" name="2070" dataDxfId="52"/>
    <tableColumn id="51" xr3:uid="{52937F2B-D9DB-4E28-9270-79A91D754C32}" name="2071" dataDxfId="51"/>
    <tableColumn id="52" xr3:uid="{8C1EE9E6-DCA3-41A8-B9E8-93671090921E}" name="2072" dataDxfId="50"/>
    <tableColumn id="53" xr3:uid="{A0927D12-5F47-4E39-8BD4-269E6919316B}" name="2073" dataDxfId="49"/>
    <tableColumn id="54" xr3:uid="{C17A3DF8-819E-45C2-8E81-22C2D3A0DE74}" name="2074" dataDxfId="48"/>
    <tableColumn id="55" xr3:uid="{7F8ED4DA-F60C-48AB-B607-02D273212988}" name="2075" dataDxfId="47"/>
    <tableColumn id="56" xr3:uid="{9C517681-2915-439C-88A3-9EF0BACD3C4E}" name="2076" dataDxfId="46"/>
    <tableColumn id="57" xr3:uid="{4481306B-AEBE-4C37-AB54-889E61C79563}" name="2077" dataDxfId="45"/>
    <tableColumn id="58" xr3:uid="{B7638541-FC54-4EE3-99A7-07BA655B2E92}" name="2078" dataDxfId="44"/>
    <tableColumn id="59" xr3:uid="{01F78136-F7DE-4834-8B8F-AEAEE0EEEAB9}" name="2079" dataDxfId="43"/>
    <tableColumn id="60" xr3:uid="{903A5210-5121-4277-A7E0-0C7A089615BE}" name="2080" dataDxfId="42"/>
    <tableColumn id="61" xr3:uid="{2415AC6A-1DB3-4FCB-BC66-26F5BB7132B4}" name="2081" dataDxfId="41"/>
    <tableColumn id="62" xr3:uid="{4A86B95F-FBA5-44EB-97B0-B416E043DFB9}" name="2082" dataDxfId="40"/>
    <tableColumn id="63" xr3:uid="{B51D938F-0AD9-4979-9A04-24BF1BB7A94D}" name="2083" dataDxfId="39"/>
    <tableColumn id="64" xr3:uid="{F5F5A86B-2F57-4E79-8BB6-97DA09D9B00E}" name="2084" dataDxfId="38"/>
    <tableColumn id="65" xr3:uid="{DF4B4183-4443-4E10-9D6D-058EC528BB45}" name="2085" dataDxfId="37"/>
    <tableColumn id="66" xr3:uid="{79F7092C-F081-47B2-873E-AF22324908C9}" name="2086" dataDxfId="36"/>
    <tableColumn id="67" xr3:uid="{6E98AA8F-F61D-4886-BB46-4D883CB3AB05}" name="2087" dataDxfId="35"/>
    <tableColumn id="68" xr3:uid="{370C2AF5-74C5-45EC-A1FB-4E1F8DF305E1}" name="2088" dataDxfId="34"/>
    <tableColumn id="69" xr3:uid="{80248F6C-6516-468D-992F-6D43C52CF34A}" name="2089" dataDxfId="33"/>
    <tableColumn id="70" xr3:uid="{D7AFB245-74CF-4D97-A18D-C9207F662B73}" name="2090" dataDxfId="32"/>
    <tableColumn id="71" xr3:uid="{4CC2102D-3DF1-4E11-8E8F-8A31D0D9D1BC}" name="2091" dataDxfId="31"/>
    <tableColumn id="72" xr3:uid="{16FE3D25-A4DF-456A-9F63-091B1A3DE675}" name="2092" dataDxfId="30"/>
    <tableColumn id="73" xr3:uid="{47CDA989-7EC7-479C-856D-8CD7D3996C7A}" name="2093" dataDxfId="29"/>
    <tableColumn id="74" xr3:uid="{7DD063FE-BAE3-47C8-AD6C-58945C02CC65}" name="2094" dataDxfId="28"/>
    <tableColumn id="75" xr3:uid="{4B7D439B-2FAF-4CAC-A792-57CC4DB76BD9}" name="2095" dataDxfId="27"/>
    <tableColumn id="76" xr3:uid="{83DF93FD-3846-490C-8EBC-806C243085AA}" name="2096" dataDxfId="26"/>
    <tableColumn id="77" xr3:uid="{86BFC917-71B9-443B-84B1-B8EA62F73083}" name="2097" dataDxfId="25"/>
    <tableColumn id="78" xr3:uid="{A0E7F26C-4A6A-4D4B-8249-ECA8E90F908E}" name="2098" dataDxfId="24"/>
    <tableColumn id="79" xr3:uid="{F12F33D6-40B9-44E5-9785-2BF70EC5EF7B}" name="2099" dataDxfId="23"/>
    <tableColumn id="80" xr3:uid="{66B95717-4FBE-44AC-BCF5-A37FECC20701}" name="2100" dataDxfId="22"/>
    <tableColumn id="81" xr3:uid="{7723FADD-A08F-48A3-BCD1-F04810B9D28A}" name="2101" dataDxfId="21"/>
    <tableColumn id="82" xr3:uid="{5CEE7030-A2BD-488F-96E7-DA65ABDED5A9}" name="2102" dataDxfId="20"/>
    <tableColumn id="83" xr3:uid="{8CEC55AA-E9F0-478D-B97B-FC7530C95560}" name="2103" dataDxfId="19"/>
    <tableColumn id="84" xr3:uid="{159D52A4-09D4-4231-A19C-2BAFE6751557}" name="2104" dataDxfId="18"/>
    <tableColumn id="85" xr3:uid="{C6DD8CF4-94A8-4F8D-90A0-C5D8ED298A33}" name="2105" dataDxfId="17"/>
    <tableColumn id="86" xr3:uid="{F686EE7E-C6D4-46BF-A45B-10EDD27F8ED2}" name="2106" dataDxfId="16"/>
    <tableColumn id="87" xr3:uid="{E87FC6FC-CF4E-48A4-9CE6-5372EC1903AD}" name="2107" dataDxfId="15"/>
    <tableColumn id="88" xr3:uid="{59EE2C50-2EB5-4607-924B-42CE25753319}" name="2108" dataDxfId="14"/>
    <tableColumn id="89" xr3:uid="{F04D464B-755E-460E-9CF8-1AB727CAEDD6}" name="2109" dataDxfId="13"/>
    <tableColumn id="90" xr3:uid="{6C535018-1ACE-4DEA-9CC1-7B9C27B63365}" name="2110" dataDxfId="12"/>
    <tableColumn id="91" xr3:uid="{1F06CAFA-D24D-4079-BA47-C533B85F6832}" name="2111" dataDxfId="11"/>
    <tableColumn id="92" xr3:uid="{F6517EA4-1A2B-4ED8-9C97-1E0F35A9AADC}" name="2112" dataDxfId="10"/>
    <tableColumn id="93" xr3:uid="{CF240616-38A6-47DD-B183-BBAA6EC56A94}" name="2113" dataDxfId="9"/>
    <tableColumn id="94" xr3:uid="{BC2CFB91-AE61-46E6-AE3F-3569827BF1FC}" name="2114" dataDxfId="8"/>
    <tableColumn id="95" xr3:uid="{A24FBB18-18B5-4012-9F58-648E2D00367C}" name="2115" dataDxfId="7"/>
    <tableColumn id="96" xr3:uid="{1287520E-1828-430D-9CE5-8537D342B4A7}" name="2116" dataDxfId="6"/>
    <tableColumn id="97" xr3:uid="{BC6BE822-7F6A-481D-A8D8-DBC22AF7155F}" name="2117" dataDxfId="5"/>
    <tableColumn id="98" xr3:uid="{7229E763-AD96-4562-9E8E-0EF1E9CEB71B}" name="2118" dataDxfId="4"/>
    <tableColumn id="99" xr3:uid="{96F47447-318A-45B4-B4A9-59FA551D4BA1}" name="2119" dataDxfId="3"/>
    <tableColumn id="100" xr3:uid="{C46CC9BD-B80D-4A25-BDC0-D9F012B28788}" name="2120" dataDxfId="2"/>
    <tableColumn id="101" xr3:uid="{9BCAFDFA-F0D9-4DFA-8084-1C0503B698D7}" name="2121" dataDxfId="1"/>
    <tableColumn id="102" xr3:uid="{AB3D963F-DA53-4743-875A-69AB95BF2931}" name="2122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E65F-BEEC-4A15-B7A2-AB48332EE7FB}">
  <dimension ref="A1:S44"/>
  <sheetViews>
    <sheetView workbookViewId="0">
      <pane ySplit="2" topLeftCell="A3" activePane="bottomLeft" state="frozen"/>
      <selection pane="bottomLeft" activeCell="N8" sqref="N8"/>
    </sheetView>
  </sheetViews>
  <sheetFormatPr defaultRowHeight="15" x14ac:dyDescent="0.2"/>
  <cols>
    <col min="5" max="5" width="2.77734375" customWidth="1"/>
    <col min="10" max="10" width="2.77734375" customWidth="1"/>
    <col min="15" max="15" width="2.77734375" customWidth="1"/>
  </cols>
  <sheetData>
    <row r="1" spans="1:19" ht="15.75" x14ac:dyDescent="0.25">
      <c r="A1" s="34" t="s">
        <v>324</v>
      </c>
      <c r="F1" s="34" t="s">
        <v>177</v>
      </c>
      <c r="K1" s="34" t="s">
        <v>178</v>
      </c>
      <c r="P1" s="34" t="s">
        <v>110</v>
      </c>
    </row>
    <row r="2" spans="1:19" x14ac:dyDescent="0.2">
      <c r="B2" t="s">
        <v>325</v>
      </c>
      <c r="C2" t="s">
        <v>326</v>
      </c>
      <c r="D2" t="s">
        <v>327</v>
      </c>
      <c r="G2" t="s">
        <v>325</v>
      </c>
      <c r="H2" t="s">
        <v>326</v>
      </c>
      <c r="I2" t="s">
        <v>327</v>
      </c>
      <c r="L2" t="s">
        <v>325</v>
      </c>
      <c r="M2" t="s">
        <v>326</v>
      </c>
      <c r="N2" t="s">
        <v>327</v>
      </c>
      <c r="Q2" t="s">
        <v>325</v>
      </c>
      <c r="R2" t="s">
        <v>326</v>
      </c>
      <c r="S2" t="s">
        <v>327</v>
      </c>
    </row>
    <row r="3" spans="1:19" x14ac:dyDescent="0.2">
      <c r="A3">
        <v>2020</v>
      </c>
      <c r="B3" s="88">
        <v>67081.233999999997</v>
      </c>
      <c r="C3" s="88">
        <v>67081.233999999997</v>
      </c>
      <c r="D3" s="88">
        <v>66744.066999999995</v>
      </c>
      <c r="F3">
        <v>2020</v>
      </c>
      <c r="G3" s="88">
        <v>247</v>
      </c>
      <c r="H3" s="88">
        <v>111</v>
      </c>
      <c r="I3" s="88">
        <v>111</v>
      </c>
      <c r="K3">
        <v>2020</v>
      </c>
      <c r="L3" s="88">
        <v>37.426999999996042</v>
      </c>
      <c r="M3" s="88">
        <f>-L3</f>
        <v>-37.426999999996042</v>
      </c>
      <c r="N3" s="88">
        <v>2.3600000000005821</v>
      </c>
      <c r="P3">
        <v>2020</v>
      </c>
      <c r="Q3" s="33"/>
      <c r="R3" s="33"/>
      <c r="S3" s="33"/>
    </row>
    <row r="4" spans="1:19" x14ac:dyDescent="0.2">
      <c r="A4">
        <v>2021</v>
      </c>
      <c r="B4" s="33" cm="1">
        <f t="array" ref="B4:B43">TRANSPOSE('2020-based principal'!C26:AP26)</f>
        <v>67350.695000000007</v>
      </c>
      <c r="C4" s="88">
        <v>67026.292000000001</v>
      </c>
      <c r="D4" s="88">
        <v>66983.487999999998</v>
      </c>
      <c r="F4">
        <v>2021</v>
      </c>
      <c r="G4" s="88">
        <v>244.49799999999999</v>
      </c>
      <c r="H4" s="88">
        <v>221</v>
      </c>
      <c r="I4" s="88">
        <v>221</v>
      </c>
      <c r="K4">
        <v>2021</v>
      </c>
      <c r="L4" s="88">
        <v>24.96299999998115</v>
      </c>
      <c r="M4" s="88">
        <f>-L4</f>
        <v>-24.96299999998115</v>
      </c>
      <c r="N4" s="88">
        <v>18.421000000002095</v>
      </c>
      <c r="P4">
        <v>2021</v>
      </c>
      <c r="Q4" s="33"/>
      <c r="R4" s="33"/>
      <c r="S4" s="33"/>
    </row>
    <row r="5" spans="1:19" x14ac:dyDescent="0.2">
      <c r="A5">
        <v>2022</v>
      </c>
      <c r="B5" s="33">
        <v>67595.823999999993</v>
      </c>
      <c r="C5" s="88">
        <v>67661.747455160497</v>
      </c>
      <c r="D5" s="33" cm="1">
        <f t="array" ref="D5:D43">TRANSPOSE('2022-based principal'!B34:AN34)</f>
        <v>67602.760999999999</v>
      </c>
      <c r="F5">
        <v>2022</v>
      </c>
      <c r="G5" s="33" cm="1">
        <f t="array" ref="G5:G44">TRANSPOSE('2020-based principal'!C19:AP19)</f>
        <v>244.49799999999999</v>
      </c>
      <c r="H5" s="88">
        <v>595.84</v>
      </c>
      <c r="I5" s="88">
        <v>607</v>
      </c>
      <c r="K5">
        <v>2022</v>
      </c>
      <c r="L5" s="33" cm="1">
        <f t="array" ref="L5:L44">TRANSPOSE('2020-based principal'!C13:AP13)</f>
        <v>24.963000000000001</v>
      </c>
      <c r="M5" s="88">
        <v>39.615455160496026</v>
      </c>
      <c r="N5" s="88">
        <v>12.972999999998137</v>
      </c>
      <c r="P5">
        <v>2022</v>
      </c>
      <c r="Q5" s="33" cm="1">
        <f t="array" ref="Q5:Q44">TRANSPOSE('2020-based principal'!C10:AP10)</f>
        <v>671.37400000000002</v>
      </c>
      <c r="R5" s="33"/>
      <c r="S5" s="33"/>
    </row>
    <row r="6" spans="1:19" x14ac:dyDescent="0.2">
      <c r="A6">
        <v>2023</v>
      </c>
      <c r="B6" s="33">
        <v>67844.315000000002</v>
      </c>
      <c r="C6" s="33" cm="1">
        <f t="array" ref="C6:C43">TRANSPOSE('2021-based principal'!D26:AO26)</f>
        <v>68350.236000000004</v>
      </c>
      <c r="D6" s="33">
        <v>68492.494999999995</v>
      </c>
      <c r="F6">
        <v>2023</v>
      </c>
      <c r="G6" s="33">
        <v>236.989</v>
      </c>
      <c r="H6" s="33" cm="1">
        <f t="array" ref="H6:H43">TRANSPOSE('2021-based principal'!D19:AO19)</f>
        <v>670.12800000000004</v>
      </c>
      <c r="I6" s="33" cm="1">
        <f t="array" ref="I6:I43">TRANSPOSE('2022-based principal'!C18:AN18)</f>
        <v>906</v>
      </c>
      <c r="K6">
        <v>2023</v>
      </c>
      <c r="L6" s="33">
        <v>8.14</v>
      </c>
      <c r="M6" s="33" cm="1">
        <f t="array" ref="M6:M43">TRANSPOSE('2021-based principal'!D13:AO13)</f>
        <v>0.91600000000000004</v>
      </c>
      <c r="N6" s="33" cm="1">
        <f t="array" ref="N6:N43">TRANSPOSE('2022-based principal'!C11:AN11)</f>
        <v>-16.263000000000002</v>
      </c>
      <c r="P6">
        <v>2023</v>
      </c>
      <c r="Q6" s="33">
        <v>663.44299999999998</v>
      </c>
      <c r="R6" s="33" cm="1">
        <f t="array" ref="R6:R43">TRANSPOSE('2021-based principal'!D10:AO10)</f>
        <v>665.53899999999999</v>
      </c>
      <c r="S6" s="33" cm="1">
        <f t="array" ref="S6:S43">TRANSPOSE('2022-based principal'!C9:AN9)</f>
        <v>664.46400000000006</v>
      </c>
    </row>
    <row r="7" spans="1:19" x14ac:dyDescent="0.2">
      <c r="A7">
        <v>2024</v>
      </c>
      <c r="B7" s="33">
        <v>68081.792000000001</v>
      </c>
      <c r="C7" s="33">
        <v>69025.202999999994</v>
      </c>
      <c r="D7" s="33">
        <v>69226.231</v>
      </c>
      <c r="F7">
        <v>2024</v>
      </c>
      <c r="G7" s="33">
        <v>231.01499999999999</v>
      </c>
      <c r="H7" s="33">
        <v>598.97400000000005</v>
      </c>
      <c r="I7" s="33">
        <v>728</v>
      </c>
      <c r="K7">
        <v>2024</v>
      </c>
      <c r="L7" s="33">
        <v>17.475999999999999</v>
      </c>
      <c r="M7" s="33">
        <v>75.986999999999995</v>
      </c>
      <c r="N7" s="33">
        <v>5.7439999999999998</v>
      </c>
      <c r="P7">
        <v>2024</v>
      </c>
      <c r="Q7" s="33">
        <v>659.31600000000003</v>
      </c>
      <c r="R7" s="33">
        <v>713.92</v>
      </c>
      <c r="S7" s="33">
        <v>667.90899999999999</v>
      </c>
    </row>
    <row r="8" spans="1:19" x14ac:dyDescent="0.2">
      <c r="A8">
        <v>2025</v>
      </c>
      <c r="B8" s="33">
        <v>68304.932000000001</v>
      </c>
      <c r="C8" s="33">
        <v>69630.376000000004</v>
      </c>
      <c r="D8" s="33">
        <v>69867.979000000007</v>
      </c>
      <c r="F8">
        <v>2025</v>
      </c>
      <c r="G8" s="33">
        <v>224.00399999999999</v>
      </c>
      <c r="H8" s="33">
        <v>528.46100000000001</v>
      </c>
      <c r="I8" s="33">
        <v>630.9</v>
      </c>
      <c r="K8">
        <v>2025</v>
      </c>
      <c r="L8" s="33">
        <v>13.473000000000001</v>
      </c>
      <c r="M8" s="33">
        <v>76.728999999999999</v>
      </c>
      <c r="N8" s="33">
        <v>10.849</v>
      </c>
      <c r="P8">
        <v>2025</v>
      </c>
      <c r="Q8" s="33">
        <v>662.48500000000001</v>
      </c>
      <c r="R8" s="33">
        <v>723.17600000000004</v>
      </c>
      <c r="S8" s="33">
        <v>674.82100000000003</v>
      </c>
    </row>
    <row r="9" spans="1:19" x14ac:dyDescent="0.2">
      <c r="A9">
        <v>2026</v>
      </c>
      <c r="B9" s="33">
        <v>68512.085999999996</v>
      </c>
      <c r="C9" s="33">
        <v>70160.187000000005</v>
      </c>
      <c r="D9" s="33">
        <v>70414.3</v>
      </c>
      <c r="F9">
        <v>2026</v>
      </c>
      <c r="G9" s="33">
        <v>217</v>
      </c>
      <c r="H9" s="33">
        <v>457.45699999999999</v>
      </c>
      <c r="I9" s="33">
        <v>533.79999999999995</v>
      </c>
      <c r="K9">
        <v>2026</v>
      </c>
      <c r="L9" s="33">
        <v>6.14</v>
      </c>
      <c r="M9" s="33">
        <v>72.355000000000004</v>
      </c>
      <c r="N9" s="33">
        <v>12.519</v>
      </c>
      <c r="P9">
        <v>2026</v>
      </c>
      <c r="Q9" s="33">
        <v>662.63199999999995</v>
      </c>
      <c r="R9" s="33">
        <v>727.44899999999996</v>
      </c>
      <c r="S9" s="33">
        <v>679.53599999999994</v>
      </c>
    </row>
    <row r="10" spans="1:19" x14ac:dyDescent="0.2">
      <c r="A10">
        <v>2027</v>
      </c>
      <c r="B10" s="33">
        <v>68701.986000000004</v>
      </c>
      <c r="C10" s="33">
        <v>70612.832999999999</v>
      </c>
      <c r="D10" s="33">
        <v>70861.913</v>
      </c>
      <c r="F10">
        <v>2027</v>
      </c>
      <c r="G10" s="33">
        <v>211.51400000000001</v>
      </c>
      <c r="H10" s="33">
        <v>386.476</v>
      </c>
      <c r="I10" s="33">
        <v>436.7</v>
      </c>
      <c r="K10">
        <v>2027</v>
      </c>
      <c r="L10" s="33">
        <v>-4.3600000000000003</v>
      </c>
      <c r="M10" s="33">
        <v>66.147999999999996</v>
      </c>
      <c r="N10" s="33">
        <v>10.891999999999999</v>
      </c>
      <c r="P10">
        <v>2027</v>
      </c>
      <c r="Q10" s="33">
        <v>659.85500000000002</v>
      </c>
      <c r="R10" s="33">
        <v>730</v>
      </c>
      <c r="S10" s="33">
        <v>682.03300000000002</v>
      </c>
    </row>
    <row r="11" spans="1:19" x14ac:dyDescent="0.2">
      <c r="A11">
        <v>2028</v>
      </c>
      <c r="B11" s="33">
        <v>68881.062000000005</v>
      </c>
      <c r="C11" s="33">
        <v>70985.959000000003</v>
      </c>
      <c r="D11" s="33">
        <v>71208.100999999995</v>
      </c>
      <c r="F11">
        <v>2028</v>
      </c>
      <c r="G11" s="33">
        <v>205.011</v>
      </c>
      <c r="H11" s="33">
        <v>315.005</v>
      </c>
      <c r="I11" s="33">
        <v>340</v>
      </c>
      <c r="K11">
        <v>2028</v>
      </c>
      <c r="L11" s="33">
        <v>-15.111000000000001</v>
      </c>
      <c r="M11" s="33">
        <v>58.143999999999998</v>
      </c>
      <c r="N11" s="33">
        <v>6.1849999999999996</v>
      </c>
      <c r="P11">
        <v>2028</v>
      </c>
      <c r="Q11" s="33">
        <v>657.13499999999999</v>
      </c>
      <c r="R11" s="33">
        <v>730.91600000000005</v>
      </c>
      <c r="S11" s="33">
        <v>683.07799999999997</v>
      </c>
    </row>
    <row r="12" spans="1:19" x14ac:dyDescent="0.2">
      <c r="A12">
        <v>2029</v>
      </c>
      <c r="B12" s="33">
        <v>69049.388999999996</v>
      </c>
      <c r="C12" s="33">
        <v>71350.150999999998</v>
      </c>
      <c r="D12" s="33">
        <v>71547.661999999997</v>
      </c>
      <c r="F12">
        <v>2029</v>
      </c>
      <c r="G12" s="33">
        <v>205.011</v>
      </c>
      <c r="H12" s="33">
        <v>315.005</v>
      </c>
      <c r="I12" s="33">
        <v>340</v>
      </c>
      <c r="K12">
        <v>2029</v>
      </c>
      <c r="L12" s="33">
        <v>-25.934999999999999</v>
      </c>
      <c r="M12" s="33">
        <v>49.195</v>
      </c>
      <c r="N12" s="33">
        <v>-0.434</v>
      </c>
      <c r="P12">
        <v>2029</v>
      </c>
      <c r="Q12" s="33">
        <v>654.59799999999996</v>
      </c>
      <c r="R12" s="33">
        <v>731.01499999999999</v>
      </c>
      <c r="S12" s="33">
        <v>683.71199999999999</v>
      </c>
    </row>
    <row r="13" spans="1:19" x14ac:dyDescent="0.2">
      <c r="A13">
        <v>2030</v>
      </c>
      <c r="B13" s="33">
        <v>69207.197</v>
      </c>
      <c r="C13" s="33">
        <v>71705.282000000007</v>
      </c>
      <c r="D13" s="33">
        <v>71879.987999999998</v>
      </c>
      <c r="F13">
        <v>2030</v>
      </c>
      <c r="G13" s="33">
        <v>205.011</v>
      </c>
      <c r="H13" s="33">
        <v>315.005</v>
      </c>
      <c r="I13" s="33">
        <v>340</v>
      </c>
      <c r="K13">
        <v>2030</v>
      </c>
      <c r="L13" s="33">
        <v>-36.683999999999997</v>
      </c>
      <c r="M13" s="33">
        <v>40.142000000000003</v>
      </c>
      <c r="N13" s="33">
        <v>-7.67</v>
      </c>
      <c r="P13">
        <v>2030</v>
      </c>
      <c r="Q13" s="33">
        <v>652.40800000000002</v>
      </c>
      <c r="R13" s="33">
        <v>731.12</v>
      </c>
      <c r="S13" s="33">
        <v>684.29600000000005</v>
      </c>
    </row>
    <row r="14" spans="1:19" x14ac:dyDescent="0.2">
      <c r="A14">
        <v>2031</v>
      </c>
      <c r="B14" s="33">
        <v>69355.073999999993</v>
      </c>
      <c r="C14" s="33">
        <v>72051.457999999999</v>
      </c>
      <c r="D14" s="33">
        <v>72204.573999999993</v>
      </c>
      <c r="F14">
        <v>2031</v>
      </c>
      <c r="G14" s="33">
        <v>205.011</v>
      </c>
      <c r="H14" s="33">
        <v>315.005</v>
      </c>
      <c r="I14" s="33">
        <v>340</v>
      </c>
      <c r="K14">
        <v>2031</v>
      </c>
      <c r="L14" s="33">
        <v>-47.203000000000003</v>
      </c>
      <c r="M14" s="33">
        <v>31.166</v>
      </c>
      <c r="N14" s="33">
        <v>-15.409000000000001</v>
      </c>
      <c r="P14">
        <v>2031</v>
      </c>
      <c r="Q14" s="33">
        <v>650.62400000000002</v>
      </c>
      <c r="R14" s="33">
        <v>731.346</v>
      </c>
      <c r="S14" s="33">
        <v>684.84199999999998</v>
      </c>
    </row>
    <row r="15" spans="1:19" x14ac:dyDescent="0.2">
      <c r="A15">
        <v>2032</v>
      </c>
      <c r="B15" s="33">
        <v>69493.865999999995</v>
      </c>
      <c r="C15" s="33">
        <v>72388.987999999998</v>
      </c>
      <c r="D15" s="33">
        <v>72521.172999999995</v>
      </c>
      <c r="F15">
        <v>2032</v>
      </c>
      <c r="G15" s="33">
        <v>205.011</v>
      </c>
      <c r="H15" s="33">
        <v>315.005</v>
      </c>
      <c r="I15" s="33">
        <v>340</v>
      </c>
      <c r="K15">
        <v>2032</v>
      </c>
      <c r="L15" s="33">
        <v>-57.134</v>
      </c>
      <c r="M15" s="33">
        <v>22.515999999999998</v>
      </c>
      <c r="N15" s="33">
        <v>-23.387</v>
      </c>
      <c r="P15">
        <v>2032</v>
      </c>
      <c r="Q15" s="33">
        <v>649.51599999999996</v>
      </c>
      <c r="R15" s="33">
        <v>731.85</v>
      </c>
      <c r="S15" s="33">
        <v>685.38800000000003</v>
      </c>
    </row>
    <row r="16" spans="1:19" x14ac:dyDescent="0.2">
      <c r="A16">
        <v>2033</v>
      </c>
      <c r="B16" s="33">
        <v>69624.160000000003</v>
      </c>
      <c r="C16" s="33">
        <v>72717.937000000005</v>
      </c>
      <c r="D16" s="33">
        <v>72830.020999999993</v>
      </c>
      <c r="F16">
        <v>2033</v>
      </c>
      <c r="G16" s="33">
        <v>205.011</v>
      </c>
      <c r="H16" s="33">
        <v>315.005</v>
      </c>
      <c r="I16" s="33">
        <v>340</v>
      </c>
      <c r="K16">
        <v>2033</v>
      </c>
      <c r="L16" s="33">
        <v>-66.218999999999994</v>
      </c>
      <c r="M16" s="33">
        <v>13.951000000000001</v>
      </c>
      <c r="N16" s="33">
        <v>-31.138999999999999</v>
      </c>
      <c r="P16">
        <v>2033</v>
      </c>
      <c r="Q16" s="33">
        <v>649.25199999999995</v>
      </c>
      <c r="R16" s="33">
        <v>732.327</v>
      </c>
      <c r="S16" s="33">
        <v>686.34100000000001</v>
      </c>
    </row>
    <row r="17" spans="1:19" x14ac:dyDescent="0.2">
      <c r="A17">
        <v>2034</v>
      </c>
      <c r="B17" s="33">
        <v>69746.769</v>
      </c>
      <c r="C17" s="33">
        <v>73038.608999999997</v>
      </c>
      <c r="D17" s="33">
        <v>73131.596999999994</v>
      </c>
      <c r="F17">
        <v>2034</v>
      </c>
      <c r="G17" s="33">
        <v>205.011</v>
      </c>
      <c r="H17" s="33">
        <v>315.005</v>
      </c>
      <c r="I17" s="33">
        <v>340</v>
      </c>
      <c r="K17">
        <v>2034</v>
      </c>
      <c r="L17" s="33">
        <v>-74.716999999999999</v>
      </c>
      <c r="M17" s="33">
        <v>5.64</v>
      </c>
      <c r="N17" s="33">
        <v>-38.414000000000001</v>
      </c>
      <c r="P17">
        <v>2034</v>
      </c>
      <c r="Q17" s="33">
        <v>649.45100000000002</v>
      </c>
      <c r="R17" s="33">
        <v>732.81500000000005</v>
      </c>
      <c r="S17" s="33">
        <v>687.82399999999996</v>
      </c>
    </row>
    <row r="18" spans="1:19" x14ac:dyDescent="0.2">
      <c r="A18">
        <v>2035</v>
      </c>
      <c r="B18" s="33">
        <v>69862.985000000001</v>
      </c>
      <c r="C18" s="33">
        <v>73351.615000000005</v>
      </c>
      <c r="D18" s="33">
        <v>73426.168000000005</v>
      </c>
      <c r="F18">
        <v>2035</v>
      </c>
      <c r="G18" s="33">
        <v>205.011</v>
      </c>
      <c r="H18" s="33">
        <v>315.005</v>
      </c>
      <c r="I18" s="33">
        <v>340</v>
      </c>
      <c r="K18">
        <v>2035</v>
      </c>
      <c r="L18" s="33">
        <v>-82.402000000000001</v>
      </c>
      <c r="M18" s="33">
        <v>-1.9950000000000001</v>
      </c>
      <c r="N18" s="33">
        <v>-45.439</v>
      </c>
      <c r="P18">
        <v>2035</v>
      </c>
      <c r="Q18" s="33">
        <v>650.27300000000002</v>
      </c>
      <c r="R18" s="33">
        <v>733.65599999999995</v>
      </c>
      <c r="S18" s="33">
        <v>689.48900000000003</v>
      </c>
    </row>
    <row r="19" spans="1:19" x14ac:dyDescent="0.2">
      <c r="A19">
        <v>2036</v>
      </c>
      <c r="B19" s="33">
        <v>69975.245999999999</v>
      </c>
      <c r="C19" s="33">
        <v>73658.794999999998</v>
      </c>
      <c r="D19" s="33">
        <v>73714.089000000007</v>
      </c>
      <c r="F19">
        <v>2036</v>
      </c>
      <c r="G19" s="33">
        <v>205.011</v>
      </c>
      <c r="H19" s="33">
        <v>315.005</v>
      </c>
      <c r="I19" s="33">
        <v>340</v>
      </c>
      <c r="K19">
        <v>2036</v>
      </c>
      <c r="L19" s="33">
        <v>-88.795000000000002</v>
      </c>
      <c r="M19" s="33">
        <v>-7.8390000000000004</v>
      </c>
      <c r="N19" s="33">
        <v>-52.067</v>
      </c>
      <c r="P19">
        <v>2036</v>
      </c>
      <c r="Q19" s="33">
        <v>652.06100000000004</v>
      </c>
      <c r="R19" s="33">
        <v>735.89499999999998</v>
      </c>
      <c r="S19" s="33">
        <v>691.36300000000006</v>
      </c>
    </row>
    <row r="20" spans="1:19" x14ac:dyDescent="0.2">
      <c r="A20">
        <v>2037</v>
      </c>
      <c r="B20" s="33">
        <v>70086.048999999999</v>
      </c>
      <c r="C20" s="33">
        <v>73962.122000000003</v>
      </c>
      <c r="D20" s="33">
        <v>73995.941000000006</v>
      </c>
      <c r="F20">
        <v>2037</v>
      </c>
      <c r="G20" s="33">
        <v>205.011</v>
      </c>
      <c r="H20" s="33">
        <v>315.005</v>
      </c>
      <c r="I20" s="33">
        <v>340</v>
      </c>
      <c r="K20">
        <v>2037</v>
      </c>
      <c r="L20" s="33">
        <v>-92.75</v>
      </c>
      <c r="M20" s="33">
        <v>-11.675000000000001</v>
      </c>
      <c r="N20" s="33">
        <v>-58.131999999999998</v>
      </c>
      <c r="P20">
        <v>2037</v>
      </c>
      <c r="Q20" s="33">
        <v>655.89499999999998</v>
      </c>
      <c r="R20" s="33">
        <v>739.71400000000006</v>
      </c>
      <c r="S20" s="33">
        <v>693.54100000000005</v>
      </c>
    </row>
    <row r="21" spans="1:19" x14ac:dyDescent="0.2">
      <c r="A21">
        <v>2038</v>
      </c>
      <c r="B21" s="33">
        <v>70196.441999999995</v>
      </c>
      <c r="C21" s="33">
        <v>74262.407999999996</v>
      </c>
      <c r="D21" s="33">
        <v>74272.334000000003</v>
      </c>
      <c r="F21">
        <v>2038</v>
      </c>
      <c r="G21" s="33">
        <v>205.011</v>
      </c>
      <c r="H21" s="33">
        <v>315.005</v>
      </c>
      <c r="I21" s="33">
        <v>340</v>
      </c>
      <c r="K21">
        <v>2038</v>
      </c>
      <c r="L21" s="33">
        <v>-94.207999999999998</v>
      </c>
      <c r="M21" s="33">
        <v>-14.705</v>
      </c>
      <c r="N21" s="33">
        <v>-63.603000000000002</v>
      </c>
      <c r="P21">
        <v>2038</v>
      </c>
      <c r="Q21" s="33">
        <v>661.75400000000002</v>
      </c>
      <c r="R21" s="33">
        <v>743.84400000000005</v>
      </c>
      <c r="S21" s="33">
        <v>696.05700000000002</v>
      </c>
    </row>
    <row r="22" spans="1:19" x14ac:dyDescent="0.2">
      <c r="A22">
        <v>2039</v>
      </c>
      <c r="B22" s="33">
        <v>70307.057000000001</v>
      </c>
      <c r="C22" s="33">
        <v>74560.210999999996</v>
      </c>
      <c r="D22" s="33">
        <v>74543.737999999998</v>
      </c>
      <c r="F22">
        <v>2039</v>
      </c>
      <c r="G22" s="33">
        <v>205.011</v>
      </c>
      <c r="H22" s="33">
        <v>315.005</v>
      </c>
      <c r="I22" s="33">
        <v>340</v>
      </c>
      <c r="K22">
        <v>2039</v>
      </c>
      <c r="L22" s="33">
        <v>-94.617999999999995</v>
      </c>
      <c r="M22" s="33">
        <v>-17.209</v>
      </c>
      <c r="N22" s="33">
        <v>-68.603999999999999</v>
      </c>
      <c r="P22">
        <v>2039</v>
      </c>
      <c r="Q22" s="33">
        <v>668.13599999999997</v>
      </c>
      <c r="R22" s="33">
        <v>747.98500000000001</v>
      </c>
      <c r="S22" s="33">
        <v>698.697</v>
      </c>
    </row>
    <row r="23" spans="1:19" x14ac:dyDescent="0.2">
      <c r="A23">
        <v>2040</v>
      </c>
      <c r="B23" s="33">
        <v>70418.383000000002</v>
      </c>
      <c r="C23" s="33">
        <v>74855.850000000006</v>
      </c>
      <c r="D23" s="33">
        <v>74810.478000000003</v>
      </c>
      <c r="F23">
        <v>2040</v>
      </c>
      <c r="G23" s="33">
        <v>205.011</v>
      </c>
      <c r="H23" s="33">
        <v>315.005</v>
      </c>
      <c r="I23" s="33">
        <v>340</v>
      </c>
      <c r="K23">
        <v>2040</v>
      </c>
      <c r="L23" s="33">
        <v>-94.396000000000001</v>
      </c>
      <c r="M23" s="33">
        <v>-19.361000000000001</v>
      </c>
      <c r="N23" s="33">
        <v>-73.248000000000005</v>
      </c>
      <c r="P23">
        <v>2040</v>
      </c>
      <c r="Q23" s="33">
        <v>674.65599999999995</v>
      </c>
      <c r="R23" s="33">
        <v>752.00300000000004</v>
      </c>
      <c r="S23" s="33">
        <v>701.18</v>
      </c>
    </row>
    <row r="24" spans="1:19" x14ac:dyDescent="0.2">
      <c r="A24">
        <v>2041</v>
      </c>
      <c r="B24" s="33">
        <v>70530.082999999999</v>
      </c>
      <c r="C24" s="33">
        <v>75148.910999999993</v>
      </c>
      <c r="D24" s="33">
        <v>75072.892000000007</v>
      </c>
      <c r="F24">
        <v>2041</v>
      </c>
      <c r="G24" s="33">
        <v>205.011</v>
      </c>
      <c r="H24" s="33">
        <v>315.005</v>
      </c>
      <c r="I24" s="33">
        <v>340</v>
      </c>
      <c r="K24">
        <v>2041</v>
      </c>
      <c r="L24" s="33">
        <v>-93.685000000000002</v>
      </c>
      <c r="M24" s="33">
        <v>-21.946000000000002</v>
      </c>
      <c r="N24" s="33">
        <v>-77.578999999999994</v>
      </c>
      <c r="P24">
        <v>2041</v>
      </c>
      <c r="Q24" s="33">
        <v>681.08299999999997</v>
      </c>
      <c r="R24" s="33">
        <v>755.09900000000005</v>
      </c>
      <c r="S24" s="33">
        <v>703.42899999999997</v>
      </c>
    </row>
    <row r="25" spans="1:19" x14ac:dyDescent="0.2">
      <c r="A25">
        <v>2042</v>
      </c>
      <c r="B25" s="33">
        <v>70641.542000000001</v>
      </c>
      <c r="C25" s="33">
        <v>75438.895000000004</v>
      </c>
      <c r="D25" s="33">
        <v>75331.209000000003</v>
      </c>
      <c r="F25">
        <v>2042</v>
      </c>
      <c r="G25" s="33">
        <v>205.011</v>
      </c>
      <c r="H25" s="33">
        <v>315.005</v>
      </c>
      <c r="I25" s="33">
        <v>340</v>
      </c>
      <c r="K25">
        <v>2042</v>
      </c>
      <c r="L25" s="33">
        <v>-93.311000000000007</v>
      </c>
      <c r="M25" s="33">
        <v>-25.032</v>
      </c>
      <c r="N25" s="33">
        <v>-81.680000000000007</v>
      </c>
      <c r="P25">
        <v>2042</v>
      </c>
      <c r="Q25" s="33">
        <v>686.7</v>
      </c>
      <c r="R25" s="33">
        <v>757.245</v>
      </c>
      <c r="S25" s="33">
        <v>705.44299999999998</v>
      </c>
    </row>
    <row r="26" spans="1:19" x14ac:dyDescent="0.2">
      <c r="A26">
        <v>2043</v>
      </c>
      <c r="B26" s="33">
        <v>70752.322</v>
      </c>
      <c r="C26" s="33">
        <v>75725.756999999998</v>
      </c>
      <c r="D26" s="33">
        <v>75585.236000000004</v>
      </c>
      <c r="F26">
        <v>2043</v>
      </c>
      <c r="G26" s="33">
        <v>205.011</v>
      </c>
      <c r="H26" s="33">
        <v>315.005</v>
      </c>
      <c r="I26" s="33">
        <v>340</v>
      </c>
      <c r="K26">
        <v>2043</v>
      </c>
      <c r="L26" s="33">
        <v>-93.552000000000007</v>
      </c>
      <c r="M26" s="33">
        <v>-28.146000000000001</v>
      </c>
      <c r="N26" s="33">
        <v>-85.957999999999998</v>
      </c>
      <c r="P26">
        <v>2043</v>
      </c>
      <c r="Q26" s="33">
        <v>691.17899999999997</v>
      </c>
      <c r="R26" s="33">
        <v>759.05200000000002</v>
      </c>
      <c r="S26" s="33">
        <v>706.76599999999996</v>
      </c>
    </row>
    <row r="27" spans="1:19" x14ac:dyDescent="0.2">
      <c r="A27">
        <v>2044</v>
      </c>
      <c r="B27" s="33">
        <v>70861.823999999993</v>
      </c>
      <c r="C27" s="33">
        <v>76009.334000000003</v>
      </c>
      <c r="D27" s="33">
        <v>75834.506999999998</v>
      </c>
      <c r="F27">
        <v>2044</v>
      </c>
      <c r="G27" s="33">
        <v>205.011</v>
      </c>
      <c r="H27" s="33">
        <v>315.005</v>
      </c>
      <c r="I27" s="33">
        <v>340</v>
      </c>
      <c r="K27">
        <v>2044</v>
      </c>
      <c r="L27" s="33">
        <v>-94.230999999999995</v>
      </c>
      <c r="M27" s="33">
        <v>-31.45</v>
      </c>
      <c r="N27" s="33">
        <v>-90.734999999999999</v>
      </c>
      <c r="P27">
        <v>2044</v>
      </c>
      <c r="Q27" s="33">
        <v>694.86400000000003</v>
      </c>
      <c r="R27" s="33">
        <v>760.38099999999997</v>
      </c>
      <c r="S27" s="33">
        <v>707.18700000000001</v>
      </c>
    </row>
    <row r="28" spans="1:19" x14ac:dyDescent="0.2">
      <c r="A28">
        <v>2045</v>
      </c>
      <c r="B28" s="33">
        <v>70968.244000000006</v>
      </c>
      <c r="C28" s="33">
        <v>76288.178</v>
      </c>
      <c r="D28" s="33">
        <v>76078.686000000002</v>
      </c>
      <c r="F28">
        <v>2045</v>
      </c>
      <c r="G28" s="33">
        <v>205.011</v>
      </c>
      <c r="H28" s="33">
        <v>315.005</v>
      </c>
      <c r="I28" s="33">
        <v>340</v>
      </c>
      <c r="K28">
        <v>2045</v>
      </c>
      <c r="L28" s="33">
        <v>-95.509</v>
      </c>
      <c r="M28" s="33">
        <v>-36.174999999999997</v>
      </c>
      <c r="N28" s="33">
        <v>-95.82</v>
      </c>
      <c r="P28">
        <v>2045</v>
      </c>
      <c r="Q28" s="33">
        <v>697.60199999999998</v>
      </c>
      <c r="R28" s="33">
        <v>760.13099999999997</v>
      </c>
      <c r="S28" s="33">
        <v>707.05200000000002</v>
      </c>
    </row>
    <row r="29" spans="1:19" x14ac:dyDescent="0.2">
      <c r="A29">
        <v>2046</v>
      </c>
      <c r="B29" s="33">
        <v>71069.646999999997</v>
      </c>
      <c r="C29" s="33">
        <v>76560.630999999994</v>
      </c>
      <c r="D29" s="33">
        <v>76317.48</v>
      </c>
      <c r="F29">
        <v>2046</v>
      </c>
      <c r="G29" s="33">
        <v>205.011</v>
      </c>
      <c r="H29" s="33">
        <v>315.005</v>
      </c>
      <c r="I29" s="33">
        <v>340</v>
      </c>
      <c r="K29">
        <v>2046</v>
      </c>
      <c r="L29" s="33">
        <v>-98.590999999999994</v>
      </c>
      <c r="M29" s="33">
        <v>-42.566000000000003</v>
      </c>
      <c r="N29" s="33">
        <v>-101.185</v>
      </c>
      <c r="P29">
        <v>2046</v>
      </c>
      <c r="Q29" s="33">
        <v>698.34199999999998</v>
      </c>
      <c r="R29" s="33">
        <v>758.23</v>
      </c>
      <c r="S29" s="33">
        <v>706.476</v>
      </c>
    </row>
    <row r="30" spans="1:19" x14ac:dyDescent="0.2">
      <c r="A30">
        <v>2047</v>
      </c>
      <c r="B30" s="33">
        <v>71164.929000000004</v>
      </c>
      <c r="C30" s="33">
        <v>76826.213000000003</v>
      </c>
      <c r="D30" s="33">
        <v>76550.535000000003</v>
      </c>
      <c r="F30">
        <v>2047</v>
      </c>
      <c r="G30" s="33">
        <v>205.011</v>
      </c>
      <c r="H30" s="33">
        <v>315.005</v>
      </c>
      <c r="I30" s="33">
        <v>340</v>
      </c>
      <c r="K30">
        <v>2047</v>
      </c>
      <c r="L30" s="33">
        <v>-103.608</v>
      </c>
      <c r="M30" s="33">
        <v>-49.430999999999997</v>
      </c>
      <c r="N30" s="33">
        <v>-106.94799999999999</v>
      </c>
      <c r="P30">
        <v>2047</v>
      </c>
      <c r="Q30" s="33">
        <v>697.11500000000001</v>
      </c>
      <c r="R30" s="33">
        <v>755.98</v>
      </c>
      <c r="S30" s="33">
        <v>705.56100000000004</v>
      </c>
    </row>
    <row r="31" spans="1:19" x14ac:dyDescent="0.2">
      <c r="A31">
        <v>2048</v>
      </c>
      <c r="B31" s="33">
        <v>71252.805999999997</v>
      </c>
      <c r="C31" s="33">
        <v>77084.490999999995</v>
      </c>
      <c r="D31" s="33">
        <v>76776.460000000006</v>
      </c>
      <c r="F31">
        <v>2048</v>
      </c>
      <c r="G31" s="33">
        <v>205.011</v>
      </c>
      <c r="H31" s="33">
        <v>315.005</v>
      </c>
      <c r="I31" s="33">
        <v>340</v>
      </c>
      <c r="K31">
        <v>2048</v>
      </c>
      <c r="L31" s="33">
        <v>-109.729</v>
      </c>
      <c r="M31" s="33">
        <v>-56.749000000000002</v>
      </c>
      <c r="N31" s="33">
        <v>-114.07899999999999</v>
      </c>
      <c r="P31">
        <v>2048</v>
      </c>
      <c r="Q31" s="33">
        <v>694.83799999999997</v>
      </c>
      <c r="R31" s="33">
        <v>753.41899999999998</v>
      </c>
      <c r="S31" s="33">
        <v>703.39200000000005</v>
      </c>
    </row>
    <row r="32" spans="1:19" x14ac:dyDescent="0.2">
      <c r="A32">
        <v>2049</v>
      </c>
      <c r="B32" s="33">
        <v>71332.057000000001</v>
      </c>
      <c r="C32" s="33">
        <v>77334.960999999996</v>
      </c>
      <c r="D32" s="33">
        <v>76993.637000000002</v>
      </c>
      <c r="F32">
        <v>2049</v>
      </c>
      <c r="G32" s="33">
        <v>205.011</v>
      </c>
      <c r="H32" s="33">
        <v>315.005</v>
      </c>
      <c r="I32" s="33">
        <v>340</v>
      </c>
      <c r="K32">
        <v>2049</v>
      </c>
      <c r="L32" s="33">
        <v>-117.134</v>
      </c>
      <c r="M32" s="33">
        <v>-64.525999999999996</v>
      </c>
      <c r="N32" s="33">
        <v>-122.827</v>
      </c>
      <c r="P32">
        <v>2049</v>
      </c>
      <c r="Q32" s="33">
        <v>691.40700000000004</v>
      </c>
      <c r="R32" s="33">
        <v>750.52099999999996</v>
      </c>
      <c r="S32" s="33">
        <v>699.81500000000005</v>
      </c>
    </row>
    <row r="33" spans="1:19" x14ac:dyDescent="0.2">
      <c r="A33">
        <v>2050</v>
      </c>
      <c r="B33" s="33">
        <v>71401.702000000005</v>
      </c>
      <c r="C33" s="33">
        <v>77577.467000000004</v>
      </c>
      <c r="D33" s="33">
        <v>77201.482999999993</v>
      </c>
      <c r="F33">
        <v>2050</v>
      </c>
      <c r="G33" s="33">
        <v>205.011</v>
      </c>
      <c r="H33" s="33">
        <v>315.005</v>
      </c>
      <c r="I33" s="33">
        <v>340</v>
      </c>
      <c r="K33">
        <v>2050</v>
      </c>
      <c r="L33" s="33">
        <v>-125.76</v>
      </c>
      <c r="M33" s="33">
        <v>-72.492999999999995</v>
      </c>
      <c r="N33" s="33">
        <v>-132.15</v>
      </c>
      <c r="P33">
        <v>2050</v>
      </c>
      <c r="Q33" s="33">
        <v>686.78599999999994</v>
      </c>
      <c r="R33" s="33">
        <v>747.53800000000001</v>
      </c>
      <c r="S33" s="33">
        <v>695.82100000000003</v>
      </c>
    </row>
    <row r="34" spans="1:19" x14ac:dyDescent="0.2">
      <c r="A34">
        <v>2051</v>
      </c>
      <c r="B34" s="33">
        <v>71461.317999999999</v>
      </c>
      <c r="C34" s="33">
        <v>77812.180999999997</v>
      </c>
      <c r="D34" s="33">
        <v>77399.645000000004</v>
      </c>
      <c r="F34">
        <v>2051</v>
      </c>
      <c r="G34" s="33">
        <v>205.011</v>
      </c>
      <c r="H34" s="33">
        <v>315.005</v>
      </c>
      <c r="I34" s="33">
        <v>340</v>
      </c>
      <c r="K34">
        <v>2051</v>
      </c>
      <c r="L34" s="33">
        <v>-135.36600000000001</v>
      </c>
      <c r="M34" s="33">
        <v>-80.293000000000006</v>
      </c>
      <c r="N34" s="33">
        <v>-141.84700000000001</v>
      </c>
      <c r="P34">
        <v>2051</v>
      </c>
      <c r="Q34" s="33">
        <v>681.27599999999995</v>
      </c>
      <c r="R34" s="33">
        <v>744.72</v>
      </c>
      <c r="S34" s="33">
        <v>691.57600000000002</v>
      </c>
    </row>
    <row r="35" spans="1:19" x14ac:dyDescent="0.2">
      <c r="A35">
        <v>2052</v>
      </c>
      <c r="B35" s="33">
        <v>71510.831999999995</v>
      </c>
      <c r="C35" s="33">
        <v>78039.347999999998</v>
      </c>
      <c r="D35" s="33">
        <v>77588.048999999999</v>
      </c>
      <c r="F35">
        <v>2052</v>
      </c>
      <c r="G35" s="33">
        <v>205.011</v>
      </c>
      <c r="H35" s="33">
        <v>315.005</v>
      </c>
      <c r="I35" s="33">
        <v>340</v>
      </c>
      <c r="K35">
        <v>2052</v>
      </c>
      <c r="L35" s="33">
        <v>-145.39500000000001</v>
      </c>
      <c r="M35" s="33">
        <v>-87.82</v>
      </c>
      <c r="N35" s="33">
        <v>-151.584</v>
      </c>
      <c r="P35">
        <v>2052</v>
      </c>
      <c r="Q35" s="33">
        <v>675.29200000000003</v>
      </c>
      <c r="R35" s="33">
        <v>742.12400000000002</v>
      </c>
      <c r="S35" s="33">
        <v>687.29100000000005</v>
      </c>
    </row>
    <row r="36" spans="1:19" x14ac:dyDescent="0.2">
      <c r="A36">
        <v>2053</v>
      </c>
      <c r="B36" s="33">
        <v>71550.289000000004</v>
      </c>
      <c r="C36" s="33">
        <v>78259.293999999994</v>
      </c>
      <c r="D36" s="33">
        <v>77766.710000000006</v>
      </c>
      <c r="F36">
        <v>2053</v>
      </c>
      <c r="G36" s="33">
        <v>205.011</v>
      </c>
      <c r="H36" s="33">
        <v>315.005</v>
      </c>
      <c r="I36" s="33">
        <v>340</v>
      </c>
      <c r="K36">
        <v>2053</v>
      </c>
      <c r="L36" s="33">
        <v>-155.49700000000001</v>
      </c>
      <c r="M36" s="33">
        <v>-95.042000000000002</v>
      </c>
      <c r="N36" s="33">
        <v>-161.33699999999999</v>
      </c>
      <c r="P36">
        <v>2053</v>
      </c>
      <c r="Q36" s="33">
        <v>669.10799999999995</v>
      </c>
      <c r="R36" s="33">
        <v>739.65099999999995</v>
      </c>
      <c r="S36" s="33">
        <v>682.88599999999997</v>
      </c>
    </row>
    <row r="37" spans="1:19" x14ac:dyDescent="0.2">
      <c r="A37">
        <v>2054</v>
      </c>
      <c r="B37" s="33">
        <v>71580.008000000002</v>
      </c>
      <c r="C37" s="33">
        <v>78472.657000000007</v>
      </c>
      <c r="D37" s="33">
        <v>77935.834000000003</v>
      </c>
      <c r="F37">
        <v>2054</v>
      </c>
      <c r="G37" s="33">
        <v>205.011</v>
      </c>
      <c r="H37" s="33">
        <v>315.005</v>
      </c>
      <c r="I37" s="33">
        <v>340</v>
      </c>
      <c r="K37">
        <v>2054</v>
      </c>
      <c r="L37" s="33">
        <v>-165.554</v>
      </c>
      <c r="M37" s="33">
        <v>-101.633</v>
      </c>
      <c r="N37" s="33">
        <v>-170.87</v>
      </c>
      <c r="P37">
        <v>2054</v>
      </c>
      <c r="Q37" s="33">
        <v>662.74199999999996</v>
      </c>
      <c r="R37" s="33">
        <v>737.50699999999995</v>
      </c>
      <c r="S37" s="33">
        <v>678.41200000000003</v>
      </c>
    </row>
    <row r="38" spans="1:19" x14ac:dyDescent="0.2">
      <c r="A38">
        <v>2055</v>
      </c>
      <c r="B38" s="33">
        <v>71600.763000000006</v>
      </c>
      <c r="C38" s="33">
        <v>78680.452999999994</v>
      </c>
      <c r="D38" s="33">
        <v>78096.133000000002</v>
      </c>
      <c r="F38">
        <v>2055</v>
      </c>
      <c r="G38" s="33">
        <v>205.011</v>
      </c>
      <c r="H38" s="33">
        <v>315.005</v>
      </c>
      <c r="I38" s="33">
        <v>340</v>
      </c>
      <c r="K38">
        <v>2055</v>
      </c>
      <c r="L38" s="33">
        <v>-175.292</v>
      </c>
      <c r="M38" s="33">
        <v>-107.212</v>
      </c>
      <c r="N38" s="33">
        <v>-179.691</v>
      </c>
      <c r="P38">
        <v>2055</v>
      </c>
      <c r="Q38" s="33">
        <v>656.322</v>
      </c>
      <c r="R38" s="33">
        <v>735.98500000000001</v>
      </c>
      <c r="S38" s="33">
        <v>674.27599999999995</v>
      </c>
    </row>
    <row r="39" spans="1:19" x14ac:dyDescent="0.2">
      <c r="A39">
        <v>2056</v>
      </c>
      <c r="B39" s="33">
        <v>71613.707999999999</v>
      </c>
      <c r="C39" s="33">
        <v>78883.740999999995</v>
      </c>
      <c r="D39" s="33">
        <v>78248.758000000002</v>
      </c>
      <c r="F39">
        <v>2056</v>
      </c>
      <c r="G39" s="33">
        <v>205.011</v>
      </c>
      <c r="H39" s="33">
        <v>315.005</v>
      </c>
      <c r="I39" s="33">
        <v>340</v>
      </c>
      <c r="K39">
        <v>2056</v>
      </c>
      <c r="L39" s="33">
        <v>-184.256</v>
      </c>
      <c r="M39" s="33">
        <v>-111.69799999999999</v>
      </c>
      <c r="N39" s="33">
        <v>-187.381</v>
      </c>
      <c r="P39">
        <v>2056</v>
      </c>
      <c r="Q39" s="33">
        <v>650.24599999999998</v>
      </c>
      <c r="R39" s="33">
        <v>735.06399999999996</v>
      </c>
      <c r="S39" s="33">
        <v>670.71100000000001</v>
      </c>
    </row>
    <row r="40" spans="1:19" x14ac:dyDescent="0.2">
      <c r="A40">
        <v>2057</v>
      </c>
      <c r="B40" s="33">
        <v>71620.146999999997</v>
      </c>
      <c r="C40" s="33">
        <v>79083.702000000005</v>
      </c>
      <c r="D40" s="33">
        <v>78394.895999999993</v>
      </c>
      <c r="F40">
        <v>2057</v>
      </c>
      <c r="G40" s="33">
        <v>205.011</v>
      </c>
      <c r="H40" s="33">
        <v>315.005</v>
      </c>
      <c r="I40" s="33">
        <v>340</v>
      </c>
      <c r="K40">
        <v>2057</v>
      </c>
      <c r="L40" s="33">
        <v>-192.066</v>
      </c>
      <c r="M40" s="33">
        <v>-115.06100000000001</v>
      </c>
      <c r="N40" s="33">
        <v>-193.86099999999999</v>
      </c>
      <c r="P40">
        <v>2057</v>
      </c>
      <c r="Q40" s="33">
        <v>644.76700000000005</v>
      </c>
      <c r="R40" s="33">
        <v>734.702</v>
      </c>
      <c r="S40" s="33">
        <v>667.75800000000004</v>
      </c>
    </row>
    <row r="41" spans="1:19" x14ac:dyDescent="0.2">
      <c r="A41">
        <v>2058</v>
      </c>
      <c r="B41" s="33">
        <v>71621.411999999997</v>
      </c>
      <c r="C41" s="33">
        <v>79281.149999999994</v>
      </c>
      <c r="D41" s="33">
        <v>78535.61</v>
      </c>
      <c r="F41">
        <v>2058</v>
      </c>
      <c r="G41" s="33">
        <v>205.011</v>
      </c>
      <c r="H41" s="33">
        <v>315.005</v>
      </c>
      <c r="I41" s="33">
        <v>340</v>
      </c>
      <c r="K41">
        <v>2058</v>
      </c>
      <c r="L41" s="33">
        <v>-198.572</v>
      </c>
      <c r="M41" s="33">
        <v>-117.54</v>
      </c>
      <c r="N41" s="33">
        <v>-199.291</v>
      </c>
      <c r="P41">
        <v>2058</v>
      </c>
      <c r="Q41" s="33">
        <v>639.96500000000003</v>
      </c>
      <c r="R41" s="33">
        <v>734.63400000000001</v>
      </c>
      <c r="S41" s="33">
        <v>665.23400000000004</v>
      </c>
    </row>
    <row r="42" spans="1:19" x14ac:dyDescent="0.2">
      <c r="A42">
        <v>2059</v>
      </c>
      <c r="B42" s="33">
        <v>71618.834000000003</v>
      </c>
      <c r="C42" s="33">
        <v>79477.08</v>
      </c>
      <c r="D42" s="33">
        <v>78672.035999999993</v>
      </c>
      <c r="F42">
        <v>2059</v>
      </c>
      <c r="G42" s="33">
        <v>205.011</v>
      </c>
      <c r="H42" s="33">
        <v>315.005</v>
      </c>
      <c r="I42" s="33">
        <v>340</v>
      </c>
      <c r="K42">
        <v>2059</v>
      </c>
      <c r="L42" s="33">
        <v>-203.74600000000001</v>
      </c>
      <c r="M42" s="33">
        <v>-119.077</v>
      </c>
      <c r="N42" s="33">
        <v>-203.56399999999999</v>
      </c>
      <c r="P42">
        <v>2059</v>
      </c>
      <c r="Q42" s="33">
        <v>635.82799999999997</v>
      </c>
      <c r="R42" s="33">
        <v>734.92499999999995</v>
      </c>
      <c r="S42" s="33">
        <v>663.16499999999996</v>
      </c>
    </row>
    <row r="43" spans="1:19" x14ac:dyDescent="0.2">
      <c r="A43">
        <v>2060</v>
      </c>
      <c r="B43" s="33">
        <v>71613.724000000002</v>
      </c>
      <c r="C43" s="33">
        <v>79672.490999999995</v>
      </c>
      <c r="D43" s="33">
        <v>78805.316999999995</v>
      </c>
      <c r="F43">
        <v>2060</v>
      </c>
      <c r="G43" s="33">
        <v>205.011</v>
      </c>
      <c r="H43" s="33">
        <v>315.005</v>
      </c>
      <c r="I43" s="33">
        <v>340</v>
      </c>
      <c r="K43">
        <v>2060</v>
      </c>
      <c r="L43" s="33">
        <v>-207.589</v>
      </c>
      <c r="M43" s="33">
        <v>-119.607</v>
      </c>
      <c r="N43" s="33">
        <v>-206.71700000000001</v>
      </c>
      <c r="P43">
        <v>2060</v>
      </c>
      <c r="Q43" s="33">
        <v>632.346</v>
      </c>
      <c r="R43" s="33">
        <v>735.7</v>
      </c>
      <c r="S43" s="33">
        <v>661.61699999999996</v>
      </c>
    </row>
    <row r="44" spans="1:19" x14ac:dyDescent="0.2">
      <c r="G44">
        <v>205.011</v>
      </c>
      <c r="L44">
        <v>-210.12100000000001</v>
      </c>
      <c r="Q44">
        <v>629.52599999999995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B004-79D2-4FD2-9720-E85A10D677F6}">
  <dimension ref="A1:AJ43"/>
  <sheetViews>
    <sheetView workbookViewId="0">
      <pane xSplit="1" ySplit="2" topLeftCell="P10" activePane="bottomRight" state="frozen"/>
      <selection pane="topRight" activeCell="B1" sqref="B1"/>
      <selection pane="bottomLeft" activeCell="A3" sqref="A3"/>
      <selection pane="bottomRight" activeCell="AJ26" sqref="AJ26"/>
    </sheetView>
  </sheetViews>
  <sheetFormatPr defaultRowHeight="15" x14ac:dyDescent="0.2"/>
  <cols>
    <col min="8" max="8" width="3" customWidth="1"/>
    <col min="16" max="16" width="3" customWidth="1"/>
    <col min="24" max="24" width="3" customWidth="1"/>
    <col min="30" max="30" width="3" customWidth="1"/>
  </cols>
  <sheetData>
    <row r="1" spans="1:36" ht="15.75" x14ac:dyDescent="0.25">
      <c r="B1" s="34" t="s">
        <v>171</v>
      </c>
      <c r="J1" s="34" t="s">
        <v>177</v>
      </c>
      <c r="R1" s="34" t="s">
        <v>178</v>
      </c>
      <c r="Z1" s="34" t="s">
        <v>324</v>
      </c>
      <c r="AF1" s="34" t="s">
        <v>328</v>
      </c>
    </row>
    <row r="2" spans="1:36" x14ac:dyDescent="0.2">
      <c r="B2" t="s">
        <v>172</v>
      </c>
      <c r="C2" t="s">
        <v>173</v>
      </c>
      <c r="D2" t="s">
        <v>180</v>
      </c>
      <c r="E2" t="s">
        <v>174</v>
      </c>
      <c r="F2" t="s">
        <v>176</v>
      </c>
      <c r="G2" t="s">
        <v>179</v>
      </c>
      <c r="J2" t="str">
        <f>B2</f>
        <v>OE current</v>
      </c>
      <c r="K2" t="str">
        <f t="shared" ref="K2:L2" si="0">C2</f>
        <v>ONS 2022-based principal</v>
      </c>
      <c r="L2" t="str">
        <f t="shared" si="0"/>
        <v>ONS 2022-based migration category variant</v>
      </c>
      <c r="M2" t="str">
        <f>E2</f>
        <v>ONS 2022-based low migration</v>
      </c>
      <c r="N2" t="str">
        <f>F2</f>
        <v>OE old low variant + new natural change</v>
      </c>
      <c r="O2" t="str">
        <f>G2</f>
        <v>OE 80% of new migration + new natural change</v>
      </c>
      <c r="R2" t="str">
        <f t="shared" ref="R2:W2" si="1">B2</f>
        <v>OE current</v>
      </c>
      <c r="S2" t="str">
        <f t="shared" si="1"/>
        <v>ONS 2022-based principal</v>
      </c>
      <c r="T2" t="str">
        <f t="shared" si="1"/>
        <v>ONS 2022-based migration category variant</v>
      </c>
      <c r="U2" t="str">
        <f t="shared" si="1"/>
        <v>ONS 2022-based low migration</v>
      </c>
      <c r="V2" t="str">
        <f t="shared" si="1"/>
        <v>OE old low variant + new natural change</v>
      </c>
      <c r="W2" t="str">
        <f t="shared" si="1"/>
        <v>OE 80% of new migration + new natural change</v>
      </c>
      <c r="Z2" t="s">
        <v>329</v>
      </c>
      <c r="AA2" t="s">
        <v>330</v>
      </c>
      <c r="AB2" t="s">
        <v>331</v>
      </c>
      <c r="AC2" t="s">
        <v>332</v>
      </c>
      <c r="AF2" t="s">
        <v>329</v>
      </c>
      <c r="AG2" t="s">
        <v>330</v>
      </c>
      <c r="AH2" t="s">
        <v>331</v>
      </c>
      <c r="AI2" t="s">
        <v>332</v>
      </c>
    </row>
    <row r="3" spans="1:36" x14ac:dyDescent="0.2">
      <c r="A3">
        <v>2020</v>
      </c>
      <c r="B3" s="33">
        <v>66744.066999999995</v>
      </c>
      <c r="I3">
        <v>2020</v>
      </c>
      <c r="J3" s="33">
        <v>111</v>
      </c>
      <c r="Q3">
        <v>2020</v>
      </c>
      <c r="R3" s="33">
        <v>2.3600000000005821</v>
      </c>
      <c r="Y3">
        <v>2020</v>
      </c>
      <c r="Z3" s="33">
        <f>'[1]2022-based'!Q27</f>
        <v>66744.066999999995</v>
      </c>
      <c r="AB3" s="33">
        <f>'[1]2021-based'!Q27</f>
        <v>66744.066999999995</v>
      </c>
      <c r="AC3" s="33">
        <f>'[1]2021-based'!D27</f>
        <v>66744.066999999995</v>
      </c>
      <c r="AE3">
        <v>2020</v>
      </c>
      <c r="AF3" s="33">
        <f>'[1]2022-based'!R27</f>
        <v>42614.900500000003</v>
      </c>
      <c r="AH3" s="33">
        <f>'[1]2021-based'!R27</f>
        <v>42614.900500000003</v>
      </c>
      <c r="AI3" s="33">
        <f>'[1]2021-based'!E27</f>
        <v>42614.900500000003</v>
      </c>
    </row>
    <row r="4" spans="1:36" x14ac:dyDescent="0.2">
      <c r="A4">
        <v>2021</v>
      </c>
      <c r="B4" s="33">
        <v>66983.487999999998</v>
      </c>
      <c r="I4">
        <v>2021</v>
      </c>
      <c r="J4" s="33">
        <v>221</v>
      </c>
      <c r="Q4">
        <v>2021</v>
      </c>
      <c r="R4" s="33">
        <v>18.421000000002095</v>
      </c>
      <c r="Y4">
        <v>2021</v>
      </c>
      <c r="Z4" s="33">
        <f>'[1]2022-based'!Q28</f>
        <v>66983.487999999998</v>
      </c>
      <c r="AB4" s="33">
        <f>'[1]2021-based'!Q28</f>
        <v>66983.487999999998</v>
      </c>
      <c r="AC4" s="33">
        <f>'[1]2021-based'!D28</f>
        <v>66983.487999999998</v>
      </c>
      <c r="AE4">
        <v>2021</v>
      </c>
      <c r="AF4" s="33">
        <f>'[1]2022-based'!R28</f>
        <v>42845.915000000001</v>
      </c>
      <c r="AH4" s="33">
        <f>'[1]2021-based'!R28</f>
        <v>42845.915000000001</v>
      </c>
      <c r="AI4" s="33">
        <f>'[1]2021-based'!E28</f>
        <v>42845.915000000001</v>
      </c>
    </row>
    <row r="5" spans="1:36" x14ac:dyDescent="0.2">
      <c r="A5">
        <v>2022</v>
      </c>
      <c r="B5" s="33">
        <v>67603.460999999996</v>
      </c>
      <c r="C5" s="33" cm="1">
        <f t="array" ref="C5:C43">TRANSPOSE('2022-based principal'!B34:AN34)</f>
        <v>67602.760999999999</v>
      </c>
      <c r="D5" s="33">
        <f>C5</f>
        <v>67602.760999999999</v>
      </c>
      <c r="E5" s="33" cm="1">
        <f t="array" ref="E5:E43">TRANSPOSE('2022-based low'!B34:AN34)</f>
        <v>67602.760999999999</v>
      </c>
      <c r="F5" s="33">
        <f>E5</f>
        <v>67602.760999999999</v>
      </c>
      <c r="G5" s="33">
        <f>F5</f>
        <v>67602.760999999999</v>
      </c>
      <c r="I5">
        <v>2022</v>
      </c>
      <c r="J5" s="33">
        <v>607</v>
      </c>
      <c r="Q5">
        <v>2022</v>
      </c>
      <c r="R5" s="33">
        <v>12.972999999998137</v>
      </c>
      <c r="Y5">
        <v>2022</v>
      </c>
      <c r="Z5" s="33">
        <f>'[1]2022-based'!Q29</f>
        <v>67603.460999999996</v>
      </c>
      <c r="AA5" s="33">
        <f>'[1]2022-based'!B29</f>
        <v>67602.760999999999</v>
      </c>
      <c r="AB5" s="33">
        <f>'[1]2021-based'!Q29</f>
        <v>67603.460999999996</v>
      </c>
      <c r="AC5" s="33">
        <f>'[1]2021-based'!D29</f>
        <v>67603.460999999996</v>
      </c>
      <c r="AE5">
        <v>2022</v>
      </c>
      <c r="AF5" s="33">
        <f>'[1]2022-based'!R29</f>
        <v>43199.199999999997</v>
      </c>
      <c r="AG5" s="33">
        <f>'[1]2022-based'!C29</f>
        <v>43198.555999999997</v>
      </c>
      <c r="AH5" s="33">
        <f>'[1]2021-based'!R29</f>
        <v>43199.199999999997</v>
      </c>
      <c r="AI5" s="33">
        <f>'[1]2021-based'!E29</f>
        <v>43199.199999999997</v>
      </c>
    </row>
    <row r="6" spans="1:36" x14ac:dyDescent="0.2">
      <c r="A6">
        <v>2023</v>
      </c>
      <c r="B6" s="33">
        <v>68265.209000000003</v>
      </c>
      <c r="C6" s="33">
        <v>68492.494999999995</v>
      </c>
      <c r="D6" s="33">
        <f t="shared" ref="D6:D43" si="2">D5+L6+T6</f>
        <v>68492.497999999992</v>
      </c>
      <c r="E6" s="33">
        <v>68492.494999999995</v>
      </c>
      <c r="F6" s="33">
        <f t="shared" ref="F6:F43" si="3">F5+N6+V6</f>
        <v>68492.497999999992</v>
      </c>
      <c r="G6" s="33">
        <f t="shared" ref="G6:G43" si="4">G5+O6+W6</f>
        <v>68492.497999999992</v>
      </c>
      <c r="I6">
        <v>2023</v>
      </c>
      <c r="J6" s="33">
        <v>677.3</v>
      </c>
      <c r="K6" cm="1">
        <f t="array" ref="K6:K43">TRANSPOSE('2022-based principal'!C16:AN16)</f>
        <v>906</v>
      </c>
      <c r="L6">
        <f>'Migration variants'!F17</f>
        <v>906</v>
      </c>
      <c r="M6" cm="1">
        <f t="array" ref="M6:M43">TRANSPOSE('2022-based low'!C16:AN16)</f>
        <v>906</v>
      </c>
      <c r="N6">
        <f>K6</f>
        <v>906</v>
      </c>
      <c r="O6">
        <f>K6</f>
        <v>906</v>
      </c>
      <c r="Q6">
        <v>2023</v>
      </c>
      <c r="R6" s="33">
        <v>-15.551999999993086</v>
      </c>
      <c r="S6" cm="1">
        <f t="array" ref="S6:S43">TRANSPOSE('2022-based principal'!C11:AN11)</f>
        <v>-16.263000000000002</v>
      </c>
      <c r="T6">
        <f>S6</f>
        <v>-16.263000000000002</v>
      </c>
      <c r="U6" cm="1">
        <f t="array" ref="U6:U43">TRANSPOSE('2022-based low'!C11:AN11)</f>
        <v>-16.263000000000002</v>
      </c>
      <c r="V6">
        <f>S6</f>
        <v>-16.263000000000002</v>
      </c>
      <c r="W6">
        <f>S6</f>
        <v>-16.263000000000002</v>
      </c>
      <c r="Y6">
        <v>2023</v>
      </c>
      <c r="Z6" s="33">
        <f>'[1]2022-based'!Q30</f>
        <v>68265.209000000003</v>
      </c>
      <c r="AA6" s="33">
        <f>'[1]2022-based'!B30</f>
        <v>68492.494999999995</v>
      </c>
      <c r="AB6" s="33">
        <f>'[1]2021-based'!Q30</f>
        <v>68265.209000000003</v>
      </c>
      <c r="AC6" s="33">
        <f>'[1]2021-based'!D30</f>
        <v>68265.209000000003</v>
      </c>
      <c r="AE6">
        <v>2023</v>
      </c>
      <c r="AF6" s="33">
        <f>'[1]2022-based'!R30</f>
        <v>43617.552000000003</v>
      </c>
      <c r="AG6" s="33">
        <f>'[1]2022-based'!C30</f>
        <v>43917.531000000003</v>
      </c>
      <c r="AH6" s="33">
        <f>'[1]2021-based'!R30</f>
        <v>43617.552000000003</v>
      </c>
      <c r="AI6" s="33">
        <f>'[1]2021-based'!E30</f>
        <v>43617.552000000003</v>
      </c>
    </row>
    <row r="7" spans="1:36" x14ac:dyDescent="0.2">
      <c r="A7">
        <v>2024</v>
      </c>
      <c r="B7" s="33">
        <v>69154.229000000007</v>
      </c>
      <c r="C7" s="33">
        <v>69226.231</v>
      </c>
      <c r="D7" s="33">
        <f t="shared" si="2"/>
        <v>69226.241999999998</v>
      </c>
      <c r="E7" s="33">
        <v>69226.231</v>
      </c>
      <c r="F7" s="33">
        <f t="shared" si="3"/>
        <v>69226.241999999998</v>
      </c>
      <c r="G7" s="33">
        <f t="shared" si="4"/>
        <v>69226.241999999998</v>
      </c>
      <c r="I7">
        <v>2024</v>
      </c>
      <c r="J7" s="33">
        <v>728</v>
      </c>
      <c r="K7">
        <v>728</v>
      </c>
      <c r="L7">
        <f>'Migration variants'!F18</f>
        <v>728</v>
      </c>
      <c r="M7">
        <v>728</v>
      </c>
      <c r="N7">
        <f>K7</f>
        <v>728</v>
      </c>
      <c r="O7">
        <f>K7</f>
        <v>728</v>
      </c>
      <c r="Q7">
        <v>2024</v>
      </c>
      <c r="R7" s="33">
        <v>161.02000000000601</v>
      </c>
      <c r="S7">
        <v>5.7439999999999998</v>
      </c>
      <c r="T7">
        <f t="shared" ref="T7:T43" si="5">S7</f>
        <v>5.7439999999999998</v>
      </c>
      <c r="U7">
        <v>5.7439999999999998</v>
      </c>
      <c r="V7">
        <f t="shared" ref="V7:V43" si="6">S7</f>
        <v>5.7439999999999998</v>
      </c>
      <c r="W7">
        <f t="shared" ref="W7:W43" si="7">S7</f>
        <v>5.7439999999999998</v>
      </c>
      <c r="Y7">
        <v>2024</v>
      </c>
      <c r="Z7" s="33">
        <f>'[1]2022-based'!Q31</f>
        <v>69226.209000000003</v>
      </c>
      <c r="AA7" s="33">
        <f>'[1]2022-based'!B31</f>
        <v>69226.231</v>
      </c>
      <c r="AB7" s="33">
        <f>'[1]2021-based'!Q31</f>
        <v>69154.229000000007</v>
      </c>
      <c r="AC7" s="33">
        <f>'[1]2021-based'!D31</f>
        <v>69025.203000000009</v>
      </c>
      <c r="AE7">
        <v>2024</v>
      </c>
      <c r="AF7" s="33">
        <f>'[1]2022-based'!R31</f>
        <v>44199.397000000012</v>
      </c>
      <c r="AG7" s="33">
        <f>'[1]2022-based'!C31</f>
        <v>44500.020000000004</v>
      </c>
      <c r="AH7" s="33">
        <f>'[1]2021-based'!R31</f>
        <v>44484.053030766227</v>
      </c>
      <c r="AI7" s="33">
        <f>'[1]2021-based'!E31</f>
        <v>44364.505999999994</v>
      </c>
    </row>
    <row r="8" spans="1:36" x14ac:dyDescent="0.2">
      <c r="A8">
        <v>2025</v>
      </c>
      <c r="B8" s="33">
        <v>69734.140999999989</v>
      </c>
      <c r="C8" s="33">
        <v>69867.979000000007</v>
      </c>
      <c r="D8" s="33">
        <f t="shared" si="2"/>
        <v>69587.391000000003</v>
      </c>
      <c r="E8" s="33">
        <v>69812.630999999994</v>
      </c>
      <c r="F8" s="33">
        <f t="shared" si="3"/>
        <v>69740.290999999997</v>
      </c>
      <c r="G8" s="33">
        <f t="shared" si="4"/>
        <v>69867.990999999995</v>
      </c>
      <c r="I8">
        <v>2025</v>
      </c>
      <c r="J8" s="33">
        <v>503.2</v>
      </c>
      <c r="K8">
        <v>630.9</v>
      </c>
      <c r="L8">
        <f>'Migration variants'!F19</f>
        <v>350.3</v>
      </c>
      <c r="M8">
        <v>576.1</v>
      </c>
      <c r="N8" s="33">
        <f>J8</f>
        <v>503.2</v>
      </c>
      <c r="O8" s="33">
        <f>K8</f>
        <v>630.9</v>
      </c>
      <c r="Q8">
        <v>2025</v>
      </c>
      <c r="R8" s="33">
        <v>76.711999999980662</v>
      </c>
      <c r="S8">
        <v>10.849</v>
      </c>
      <c r="T8">
        <f t="shared" si="5"/>
        <v>10.849</v>
      </c>
      <c r="U8">
        <v>10.288</v>
      </c>
      <c r="V8">
        <f t="shared" si="6"/>
        <v>10.849</v>
      </c>
      <c r="W8">
        <f t="shared" si="7"/>
        <v>10.849</v>
      </c>
      <c r="Y8">
        <v>2025</v>
      </c>
      <c r="Z8" s="33">
        <f>'[1]2022-based'!Q32</f>
        <v>69867.956999999995</v>
      </c>
      <c r="AA8" s="33">
        <f>'[1]2022-based'!B32</f>
        <v>69867.978999999992</v>
      </c>
      <c r="AB8" s="33">
        <f>'[1]2021-based'!Q32</f>
        <v>69734.140999999989</v>
      </c>
      <c r="AC8" s="33">
        <f>'[1]2021-based'!D32</f>
        <v>69630.375999999989</v>
      </c>
      <c r="AE8">
        <v>2025</v>
      </c>
      <c r="AF8" s="33">
        <f>'[1]2022-based'!R32</f>
        <v>44681.33</v>
      </c>
      <c r="AG8" s="33">
        <f>'[1]2022-based'!C32</f>
        <v>44981.953000000001</v>
      </c>
      <c r="AH8" s="33">
        <f>'[1]2021-based'!R32</f>
        <v>44862.592295538838</v>
      </c>
      <c r="AI8" s="33">
        <f>'[1]2021-based'!E32</f>
        <v>44764.259999999995</v>
      </c>
    </row>
    <row r="9" spans="1:36" x14ac:dyDescent="0.2">
      <c r="A9">
        <v>2026</v>
      </c>
      <c r="B9" s="33">
        <v>70226.295000000013</v>
      </c>
      <c r="C9" s="33">
        <v>70414.3</v>
      </c>
      <c r="D9" s="33">
        <f t="shared" si="2"/>
        <v>69861.81</v>
      </c>
      <c r="E9" s="33">
        <v>70247.112999999998</v>
      </c>
      <c r="F9" s="33">
        <f t="shared" si="3"/>
        <v>70172.61</v>
      </c>
      <c r="G9" s="33">
        <f t="shared" si="4"/>
        <v>70307.549999999988</v>
      </c>
      <c r="I9">
        <v>2026</v>
      </c>
      <c r="J9" s="33">
        <v>419.8</v>
      </c>
      <c r="K9">
        <v>533.79999999999995</v>
      </c>
      <c r="L9">
        <f>'Migration variants'!F20</f>
        <v>261.89999999999998</v>
      </c>
      <c r="M9">
        <v>424.2</v>
      </c>
      <c r="N9" s="33">
        <f t="shared" ref="N9:N43" si="8">J9</f>
        <v>419.8</v>
      </c>
      <c r="O9" s="33">
        <f>K9*0.8</f>
        <v>427.03999999999996</v>
      </c>
      <c r="Q9">
        <v>2026</v>
      </c>
      <c r="R9" s="33">
        <v>72.354000000016072</v>
      </c>
      <c r="S9">
        <v>12.519</v>
      </c>
      <c r="T9">
        <f t="shared" si="5"/>
        <v>12.519</v>
      </c>
      <c r="U9">
        <v>10.279</v>
      </c>
      <c r="V9">
        <f t="shared" si="6"/>
        <v>12.519</v>
      </c>
      <c r="W9">
        <f t="shared" si="7"/>
        <v>12.519</v>
      </c>
      <c r="Y9">
        <v>2026</v>
      </c>
      <c r="Z9" s="33">
        <f>'[1]2022-based'!Q33</f>
        <v>70307.518000000011</v>
      </c>
      <c r="AA9" s="33">
        <f>'[1]2022-based'!B33</f>
        <v>70414.3</v>
      </c>
      <c r="AB9" s="33">
        <f>'[1]2021-based'!Q33</f>
        <v>70226.295000000013</v>
      </c>
      <c r="AC9" s="33">
        <f>'[1]2021-based'!D33</f>
        <v>70160.187000000005</v>
      </c>
      <c r="AE9">
        <v>2026</v>
      </c>
      <c r="AF9" s="33">
        <f>'[1]2022-based'!R33</f>
        <v>45105.289786272362</v>
      </c>
      <c r="AG9" s="33">
        <f>'[1]2022-based'!C33</f>
        <v>45495.340207650268</v>
      </c>
      <c r="AH9" s="33">
        <f>'[1]2021-based'!R33</f>
        <v>45281.521466483529</v>
      </c>
      <c r="AI9" s="33">
        <f>'[1]2021-based'!E33</f>
        <v>45214.791136612024</v>
      </c>
      <c r="AJ9">
        <v>100000</v>
      </c>
    </row>
    <row r="10" spans="1:36" x14ac:dyDescent="0.2">
      <c r="A10">
        <v>2027</v>
      </c>
      <c r="B10" s="33">
        <v>70628.86500000002</v>
      </c>
      <c r="C10" s="33">
        <v>70861.913</v>
      </c>
      <c r="D10" s="33">
        <f t="shared" si="2"/>
        <v>70131.202000000005</v>
      </c>
      <c r="E10" s="33">
        <v>70525.251000000004</v>
      </c>
      <c r="F10" s="33">
        <f t="shared" si="3"/>
        <v>70519.902000000002</v>
      </c>
      <c r="G10" s="33">
        <f t="shared" si="4"/>
        <v>70667.801999999996</v>
      </c>
      <c r="I10">
        <v>2027</v>
      </c>
      <c r="J10" s="33">
        <v>336.4</v>
      </c>
      <c r="K10">
        <v>436.7</v>
      </c>
      <c r="L10">
        <f>'Migration variants'!F21</f>
        <v>258.5</v>
      </c>
      <c r="M10">
        <v>272.3</v>
      </c>
      <c r="N10" s="33">
        <f t="shared" si="8"/>
        <v>336.4</v>
      </c>
      <c r="O10" s="33">
        <f t="shared" ref="O10:O43" si="9">K10*0.8</f>
        <v>349.36</v>
      </c>
      <c r="Q10">
        <v>2027</v>
      </c>
      <c r="R10" s="33">
        <v>66.170000000007917</v>
      </c>
      <c r="S10">
        <v>10.891999999999999</v>
      </c>
      <c r="T10">
        <f t="shared" si="5"/>
        <v>10.891999999999999</v>
      </c>
      <c r="U10">
        <v>5.827</v>
      </c>
      <c r="V10">
        <f t="shared" si="6"/>
        <v>10.891999999999999</v>
      </c>
      <c r="W10">
        <f t="shared" si="7"/>
        <v>10.891999999999999</v>
      </c>
      <c r="Y10">
        <v>2027</v>
      </c>
      <c r="Z10" s="33">
        <f>'[1]2022-based'!Q34</f>
        <v>70667.791000000012</v>
      </c>
      <c r="AA10" s="33">
        <f>'[1]2022-based'!B34</f>
        <v>70861.913</v>
      </c>
      <c r="AB10" s="33">
        <f>'[1]2021-based'!Q34</f>
        <v>70628.86500000002</v>
      </c>
      <c r="AC10" s="33">
        <f>'[1]2021-based'!D34</f>
        <v>70612.833000000013</v>
      </c>
      <c r="AE10">
        <v>2027</v>
      </c>
      <c r="AF10" s="33">
        <f>'[1]2022-based'!R34</f>
        <v>45736.221927745035</v>
      </c>
      <c r="AG10" s="33">
        <f>'[1]2022-based'!C34</f>
        <v>46199.298887671233</v>
      </c>
      <c r="AH10" s="33">
        <f>'[1]2021-based'!R34</f>
        <v>45904.154591512241</v>
      </c>
      <c r="AI10" s="33">
        <f>'[1]2021-based'!E34</f>
        <v>45879.42242465754</v>
      </c>
      <c r="AJ10">
        <v>100000</v>
      </c>
    </row>
    <row r="11" spans="1:36" x14ac:dyDescent="0.2">
      <c r="A11">
        <v>2028</v>
      </c>
      <c r="B11" s="33">
        <v>70939.986000000019</v>
      </c>
      <c r="C11" s="33">
        <v>71208.100999999995</v>
      </c>
      <c r="D11" s="33">
        <f t="shared" si="2"/>
        <v>70427.687000000005</v>
      </c>
      <c r="E11" s="33">
        <v>70642.365999999995</v>
      </c>
      <c r="F11" s="33">
        <f t="shared" si="3"/>
        <v>70779.087</v>
      </c>
      <c r="G11" s="33">
        <f t="shared" si="4"/>
        <v>70945.986999999994</v>
      </c>
      <c r="I11">
        <v>2028</v>
      </c>
      <c r="J11" s="33">
        <v>253</v>
      </c>
      <c r="K11">
        <v>340</v>
      </c>
      <c r="L11">
        <f>'Migration variants'!F22</f>
        <v>290.3</v>
      </c>
      <c r="M11">
        <v>120</v>
      </c>
      <c r="N11" s="33">
        <f t="shared" si="8"/>
        <v>253</v>
      </c>
      <c r="O11" s="33">
        <f t="shared" si="9"/>
        <v>272</v>
      </c>
      <c r="Q11">
        <v>2028</v>
      </c>
      <c r="R11" s="33">
        <v>58.121000000003846</v>
      </c>
      <c r="S11">
        <v>6.1849999999999996</v>
      </c>
      <c r="T11">
        <f t="shared" si="5"/>
        <v>6.1849999999999996</v>
      </c>
      <c r="U11">
        <v>-2.895</v>
      </c>
      <c r="V11">
        <f t="shared" si="6"/>
        <v>6.1849999999999996</v>
      </c>
      <c r="W11">
        <f t="shared" si="7"/>
        <v>6.1849999999999996</v>
      </c>
      <c r="Y11">
        <v>2028</v>
      </c>
      <c r="Z11" s="33">
        <f>'[1]2022-based'!Q35</f>
        <v>70945.978999999992</v>
      </c>
      <c r="AA11" s="33">
        <f>'[1]2022-based'!B35</f>
        <v>71208.100999999995</v>
      </c>
      <c r="AB11" s="33">
        <f>'[1]2021-based'!Q35</f>
        <v>70939.986000000019</v>
      </c>
      <c r="AC11" s="33">
        <f>'[1]2021-based'!D35</f>
        <v>70985.959000000017</v>
      </c>
      <c r="AE11">
        <v>2028</v>
      </c>
      <c r="AF11" s="33">
        <f>'[1]2022-based'!R35</f>
        <v>46180.929210456292</v>
      </c>
      <c r="AG11" s="33">
        <f>'[1]2022-based'!C35</f>
        <v>46700.663</v>
      </c>
      <c r="AH11" s="33">
        <f>'[1]2021-based'!R35</f>
        <v>46332.655476738677</v>
      </c>
      <c r="AI11" s="33">
        <f>'[1]2021-based'!E35</f>
        <v>46359.850000000006</v>
      </c>
      <c r="AJ11">
        <v>100000</v>
      </c>
    </row>
    <row r="12" spans="1:36" x14ac:dyDescent="0.2">
      <c r="A12">
        <v>2029</v>
      </c>
      <c r="B12" s="33">
        <v>71242.17300000001</v>
      </c>
      <c r="C12" s="33">
        <v>71547.661999999997</v>
      </c>
      <c r="D12" s="33">
        <f t="shared" si="2"/>
        <v>70754.053000000014</v>
      </c>
      <c r="E12" s="33">
        <v>70748.183999999994</v>
      </c>
      <c r="F12" s="33">
        <f t="shared" si="3"/>
        <v>71031.653000000006</v>
      </c>
      <c r="G12" s="33">
        <f t="shared" si="4"/>
        <v>71217.553</v>
      </c>
      <c r="I12">
        <v>2029</v>
      </c>
      <c r="J12" s="33">
        <v>253</v>
      </c>
      <c r="K12">
        <v>340</v>
      </c>
      <c r="L12">
        <f>'Migration variants'!F23</f>
        <v>326.8</v>
      </c>
      <c r="M12">
        <v>120</v>
      </c>
      <c r="N12" s="33">
        <f t="shared" si="8"/>
        <v>253</v>
      </c>
      <c r="O12" s="33">
        <f t="shared" si="9"/>
        <v>272</v>
      </c>
      <c r="Q12">
        <v>2029</v>
      </c>
      <c r="R12" s="33">
        <v>49.186999999995464</v>
      </c>
      <c r="S12">
        <v>-0.434</v>
      </c>
      <c r="T12">
        <f t="shared" si="5"/>
        <v>-0.434</v>
      </c>
      <c r="U12">
        <v>-14.186</v>
      </c>
      <c r="V12">
        <f t="shared" si="6"/>
        <v>-0.434</v>
      </c>
      <c r="W12">
        <f t="shared" si="7"/>
        <v>-0.434</v>
      </c>
      <c r="Y12">
        <v>2029</v>
      </c>
      <c r="Z12" s="33">
        <f>'[1]2022-based'!Q36</f>
        <v>71217.540000000008</v>
      </c>
      <c r="AA12" s="33">
        <f>'[1]2022-based'!B36</f>
        <v>71547.661999999997</v>
      </c>
      <c r="AB12" s="33">
        <f>'[1]2021-based'!Q36</f>
        <v>71242.17300000001</v>
      </c>
      <c r="AC12" s="33">
        <f>'[1]2021-based'!D36</f>
        <v>71350.151000000013</v>
      </c>
      <c r="AE12">
        <v>2029</v>
      </c>
      <c r="AF12" s="33">
        <f>'[1]2022-based'!R36</f>
        <v>46296.628380838782</v>
      </c>
      <c r="AG12" s="33">
        <f>'[1]2022-based'!C36</f>
        <v>46873.019</v>
      </c>
      <c r="AH12" s="33">
        <f>'[1]2021-based'!R36</f>
        <v>46430.74578662264</v>
      </c>
      <c r="AI12" s="33">
        <f>'[1]2021-based'!E36</f>
        <v>46509.866999999998</v>
      </c>
    </row>
    <row r="13" spans="1:36" x14ac:dyDescent="0.2">
      <c r="A13">
        <v>2030</v>
      </c>
      <c r="B13" s="33">
        <v>71535.299000000014</v>
      </c>
      <c r="C13" s="33">
        <v>71879.987999999998</v>
      </c>
      <c r="D13" s="33">
        <f t="shared" si="2"/>
        <v>71086.383000000016</v>
      </c>
      <c r="E13" s="33">
        <v>70841.941999999995</v>
      </c>
      <c r="F13" s="33">
        <f t="shared" si="3"/>
        <v>71276.983000000007</v>
      </c>
      <c r="G13" s="33">
        <f t="shared" si="4"/>
        <v>71481.883000000002</v>
      </c>
      <c r="I13">
        <v>2030</v>
      </c>
      <c r="J13" s="33">
        <v>253</v>
      </c>
      <c r="K13">
        <v>340</v>
      </c>
      <c r="L13">
        <f>'Migration variants'!F24</f>
        <v>340</v>
      </c>
      <c r="M13">
        <v>120</v>
      </c>
      <c r="N13" s="33">
        <f t="shared" si="8"/>
        <v>253</v>
      </c>
      <c r="O13" s="33">
        <f t="shared" si="9"/>
        <v>272</v>
      </c>
      <c r="Q13">
        <v>2030</v>
      </c>
      <c r="R13" s="33">
        <v>40.126000000008503</v>
      </c>
      <c r="S13">
        <v>-7.67</v>
      </c>
      <c r="T13">
        <f t="shared" si="5"/>
        <v>-7.67</v>
      </c>
      <c r="U13">
        <v>-26.231999999999999</v>
      </c>
      <c r="V13">
        <f t="shared" si="6"/>
        <v>-7.67</v>
      </c>
      <c r="W13">
        <f t="shared" si="7"/>
        <v>-7.67</v>
      </c>
      <c r="Y13">
        <v>2030</v>
      </c>
      <c r="Z13" s="33">
        <f>'[1]2022-based'!Q37</f>
        <v>71481.866000000024</v>
      </c>
      <c r="AA13" s="33">
        <f>'[1]2022-based'!B37</f>
        <v>71879.988000000012</v>
      </c>
      <c r="AB13" s="33">
        <f>'[1]2021-based'!Q37</f>
        <v>71535.299000000014</v>
      </c>
      <c r="AC13" s="33">
        <f>'[1]2021-based'!D37</f>
        <v>71705.282000000021</v>
      </c>
      <c r="AE13">
        <v>2030</v>
      </c>
      <c r="AF13" s="33">
        <f>'[1]2022-based'!R37</f>
        <v>46378.975551221272</v>
      </c>
      <c r="AG13" s="33">
        <f>'[1]2022-based'!C37</f>
        <v>47012.023000000001</v>
      </c>
      <c r="AH13" s="33">
        <f>'[1]2021-based'!R37</f>
        <v>46495.167096506608</v>
      </c>
      <c r="AI13" s="33">
        <f>'[1]2021-based'!E37</f>
        <v>46626.214999999997</v>
      </c>
    </row>
    <row r="14" spans="1:36" x14ac:dyDescent="0.2">
      <c r="A14">
        <v>2031</v>
      </c>
      <c r="B14" s="33">
        <v>71819.47</v>
      </c>
      <c r="C14" s="33">
        <v>72204.573999999993</v>
      </c>
      <c r="D14" s="33">
        <f t="shared" si="2"/>
        <v>71410.974000000017</v>
      </c>
      <c r="E14" s="33">
        <v>70923.130999999994</v>
      </c>
      <c r="F14" s="33">
        <f t="shared" si="3"/>
        <v>71514.574000000008</v>
      </c>
      <c r="G14" s="33">
        <f t="shared" si="4"/>
        <v>71738.474000000002</v>
      </c>
      <c r="I14">
        <v>2031</v>
      </c>
      <c r="J14" s="33">
        <v>253</v>
      </c>
      <c r="K14">
        <v>340</v>
      </c>
      <c r="L14">
        <f>L13</f>
        <v>340</v>
      </c>
      <c r="M14">
        <v>120</v>
      </c>
      <c r="N14" s="33">
        <f t="shared" si="8"/>
        <v>253</v>
      </c>
      <c r="O14" s="33">
        <f t="shared" si="9"/>
        <v>272</v>
      </c>
      <c r="Q14">
        <v>2031</v>
      </c>
      <c r="R14" s="33">
        <v>31.170999999992205</v>
      </c>
      <c r="S14">
        <v>-15.409000000000001</v>
      </c>
      <c r="T14">
        <f t="shared" si="5"/>
        <v>-15.409000000000001</v>
      </c>
      <c r="U14">
        <v>-38.813000000000002</v>
      </c>
      <c r="V14">
        <f t="shared" si="6"/>
        <v>-15.409000000000001</v>
      </c>
      <c r="W14">
        <f t="shared" si="7"/>
        <v>-15.409000000000001</v>
      </c>
      <c r="Y14">
        <v>2031</v>
      </c>
      <c r="Z14" s="33">
        <f>'[1]2022-based'!Q38</f>
        <v>71738.45199999999</v>
      </c>
      <c r="AA14" s="33">
        <f>'[1]2022-based'!B38</f>
        <v>72204.573999999993</v>
      </c>
      <c r="AB14" s="33">
        <f>'[1]2021-based'!Q38</f>
        <v>71819.47</v>
      </c>
      <c r="AC14" s="33">
        <f>'[1]2021-based'!D38</f>
        <v>72051.458000000013</v>
      </c>
      <c r="AE14">
        <v>2031</v>
      </c>
      <c r="AF14" s="33">
        <f>'[1]2022-based'!R38</f>
        <v>46444.249721603759</v>
      </c>
      <c r="AG14" s="33">
        <f>'[1]2022-based'!C38</f>
        <v>47133.953999999998</v>
      </c>
      <c r="AH14" s="33">
        <f>'[1]2021-based'!R38</f>
        <v>46541.490406390578</v>
      </c>
      <c r="AI14" s="33">
        <f>'[1]2021-based'!E38</f>
        <v>46724.464999999997</v>
      </c>
    </row>
    <row r="15" spans="1:36" x14ac:dyDescent="0.2">
      <c r="A15">
        <v>2032</v>
      </c>
      <c r="B15" s="33">
        <v>72094.99500000001</v>
      </c>
      <c r="C15" s="33">
        <v>72521.172999999995</v>
      </c>
      <c r="D15" s="33">
        <f t="shared" si="2"/>
        <v>71727.587000000014</v>
      </c>
      <c r="E15" s="33">
        <v>70991.456000000006</v>
      </c>
      <c r="F15" s="33">
        <f t="shared" si="3"/>
        <v>71744.187000000005</v>
      </c>
      <c r="G15" s="33">
        <f t="shared" si="4"/>
        <v>71987.087</v>
      </c>
      <c r="I15">
        <v>2032</v>
      </c>
      <c r="J15" s="33">
        <v>253</v>
      </c>
      <c r="K15">
        <v>340</v>
      </c>
      <c r="L15">
        <f t="shared" ref="L15:L43" si="10">L14</f>
        <v>340</v>
      </c>
      <c r="M15">
        <v>120</v>
      </c>
      <c r="N15" s="33">
        <f t="shared" si="8"/>
        <v>253</v>
      </c>
      <c r="O15" s="33">
        <f t="shared" si="9"/>
        <v>272</v>
      </c>
      <c r="Q15">
        <v>2032</v>
      </c>
      <c r="R15" s="33">
        <v>22.525000000013392</v>
      </c>
      <c r="S15">
        <v>-23.387</v>
      </c>
      <c r="T15">
        <f t="shared" si="5"/>
        <v>-23.387</v>
      </c>
      <c r="U15">
        <v>-51.677999999999997</v>
      </c>
      <c r="V15">
        <f t="shared" si="6"/>
        <v>-23.387</v>
      </c>
      <c r="W15">
        <f t="shared" si="7"/>
        <v>-23.387</v>
      </c>
      <c r="Y15">
        <v>2032</v>
      </c>
      <c r="Z15" s="33">
        <f>'[1]2022-based'!Q39</f>
        <v>71987.051000000007</v>
      </c>
      <c r="AA15" s="33">
        <f>'[1]2022-based'!B39</f>
        <v>72521.17300000001</v>
      </c>
      <c r="AB15" s="33">
        <f>'[1]2021-based'!Q39</f>
        <v>72094.99500000001</v>
      </c>
      <c r="AC15" s="33">
        <f>'[1]2021-based'!D39</f>
        <v>72388.988000000027</v>
      </c>
      <c r="AE15">
        <v>2032</v>
      </c>
      <c r="AF15" s="33">
        <f>'[1]2022-based'!R39</f>
        <v>46511.146891986253</v>
      </c>
      <c r="AG15" s="33">
        <f>'[1]2022-based'!C39</f>
        <v>47257.508000000002</v>
      </c>
      <c r="AH15" s="33">
        <f>'[1]2021-based'!R39</f>
        <v>46587.435716274551</v>
      </c>
      <c r="AI15" s="33">
        <f>'[1]2021-based'!E39</f>
        <v>46822.337</v>
      </c>
    </row>
    <row r="16" spans="1:36" x14ac:dyDescent="0.2">
      <c r="A16">
        <v>2033</v>
      </c>
      <c r="B16" s="33">
        <v>72361.939000000013</v>
      </c>
      <c r="C16" s="33">
        <v>72830.020999999993</v>
      </c>
      <c r="D16" s="33">
        <f t="shared" si="2"/>
        <v>72036.448000000019</v>
      </c>
      <c r="E16" s="33">
        <v>71047.179999999993</v>
      </c>
      <c r="F16" s="33">
        <f t="shared" si="3"/>
        <v>71966.04800000001</v>
      </c>
      <c r="G16" s="33">
        <f t="shared" si="4"/>
        <v>72227.948000000004</v>
      </c>
      <c r="I16">
        <v>2033</v>
      </c>
      <c r="J16" s="33">
        <v>253</v>
      </c>
      <c r="K16">
        <v>340</v>
      </c>
      <c r="L16">
        <f t="shared" si="10"/>
        <v>340</v>
      </c>
      <c r="M16">
        <v>120</v>
      </c>
      <c r="N16" s="33">
        <f t="shared" si="8"/>
        <v>253</v>
      </c>
      <c r="O16" s="33">
        <f t="shared" si="9"/>
        <v>272</v>
      </c>
      <c r="Q16">
        <v>2033</v>
      </c>
      <c r="R16" s="33">
        <v>13.944000000007804</v>
      </c>
      <c r="S16">
        <v>-31.138999999999999</v>
      </c>
      <c r="T16">
        <f t="shared" si="5"/>
        <v>-31.138999999999999</v>
      </c>
      <c r="U16">
        <v>-64.268000000000001</v>
      </c>
      <c r="V16">
        <f t="shared" si="6"/>
        <v>-31.138999999999999</v>
      </c>
      <c r="W16">
        <f t="shared" si="7"/>
        <v>-31.138999999999999</v>
      </c>
      <c r="Y16">
        <v>2033</v>
      </c>
      <c r="Z16" s="33">
        <f>'[1]2022-based'!Q40</f>
        <v>72227.899000000005</v>
      </c>
      <c r="AA16" s="33">
        <f>'[1]2022-based'!B40</f>
        <v>72830.021000000008</v>
      </c>
      <c r="AB16" s="33">
        <f>'[1]2021-based'!Q40</f>
        <v>72361.939000000013</v>
      </c>
      <c r="AC16" s="33">
        <f>'[1]2021-based'!D40</f>
        <v>72717.937000000034</v>
      </c>
      <c r="AE16">
        <v>2033</v>
      </c>
      <c r="AF16" s="33">
        <f>'[1]2022-based'!R40</f>
        <v>46567.09806236875</v>
      </c>
      <c r="AG16" s="33">
        <f>'[1]2022-based'!C40</f>
        <v>47370.116000000002</v>
      </c>
      <c r="AH16" s="33">
        <f>'[1]2021-based'!R40</f>
        <v>46621.511026158529</v>
      </c>
      <c r="AI16" s="33">
        <f>'[1]2021-based'!E40</f>
        <v>46908.339000000007</v>
      </c>
    </row>
    <row r="17" spans="1:36" x14ac:dyDescent="0.2">
      <c r="A17">
        <v>2034</v>
      </c>
      <c r="B17" s="33">
        <v>72620.606</v>
      </c>
      <c r="C17" s="33">
        <v>73131.596999999994</v>
      </c>
      <c r="D17" s="33">
        <f t="shared" si="2"/>
        <v>72338.034000000014</v>
      </c>
      <c r="E17" s="33">
        <v>71090.845000000001</v>
      </c>
      <c r="F17" s="33">
        <f t="shared" si="3"/>
        <v>72180.634000000005</v>
      </c>
      <c r="G17" s="33">
        <f t="shared" si="4"/>
        <v>72461.534</v>
      </c>
      <c r="I17">
        <v>2034</v>
      </c>
      <c r="J17" s="33">
        <v>253</v>
      </c>
      <c r="K17">
        <v>340</v>
      </c>
      <c r="L17">
        <f t="shared" si="10"/>
        <v>340</v>
      </c>
      <c r="M17">
        <v>120</v>
      </c>
      <c r="N17" s="33">
        <f t="shared" si="8"/>
        <v>253</v>
      </c>
      <c r="O17" s="33">
        <f t="shared" si="9"/>
        <v>272</v>
      </c>
      <c r="Q17">
        <v>2034</v>
      </c>
      <c r="R17" s="33">
        <v>5.6669999999913898</v>
      </c>
      <c r="S17">
        <v>-38.414000000000001</v>
      </c>
      <c r="T17">
        <f t="shared" si="5"/>
        <v>-38.414000000000001</v>
      </c>
      <c r="U17">
        <v>-76.338999999999999</v>
      </c>
      <c r="V17">
        <f t="shared" si="6"/>
        <v>-38.414000000000001</v>
      </c>
      <c r="W17">
        <f t="shared" si="7"/>
        <v>-38.414000000000001</v>
      </c>
      <c r="Y17">
        <v>2034</v>
      </c>
      <c r="Z17" s="33">
        <f>'[1]2022-based'!Q41</f>
        <v>72461.475000000006</v>
      </c>
      <c r="AA17" s="33">
        <f>'[1]2022-based'!B41</f>
        <v>73131.597000000009</v>
      </c>
      <c r="AB17" s="33">
        <f>'[1]2021-based'!Q41</f>
        <v>72620.606</v>
      </c>
      <c r="AC17" s="33">
        <f>'[1]2021-based'!D41</f>
        <v>73038.609000000026</v>
      </c>
      <c r="AE17">
        <v>2034</v>
      </c>
      <c r="AF17" s="33">
        <f>'[1]2022-based'!R41</f>
        <v>46608.56823275124</v>
      </c>
      <c r="AG17" s="33">
        <f>'[1]2022-based'!C41</f>
        <v>47468.243000000002</v>
      </c>
      <c r="AH17" s="33">
        <f>'[1]2021-based'!R41</f>
        <v>46639.529336042498</v>
      </c>
      <c r="AI17" s="33">
        <f>'[1]2021-based'!E41</f>
        <v>46978.284000000007</v>
      </c>
    </row>
    <row r="18" spans="1:36" x14ac:dyDescent="0.2">
      <c r="A18">
        <v>2035</v>
      </c>
      <c r="B18" s="33">
        <v>72871.606999999989</v>
      </c>
      <c r="C18" s="33">
        <v>73426.168000000005</v>
      </c>
      <c r="D18" s="33">
        <f t="shared" si="2"/>
        <v>72632.595000000016</v>
      </c>
      <c r="E18" s="33">
        <v>71122.831999999995</v>
      </c>
      <c r="F18" s="33">
        <f t="shared" si="3"/>
        <v>72388.195000000007</v>
      </c>
      <c r="G18" s="33">
        <f t="shared" si="4"/>
        <v>72688.095000000001</v>
      </c>
      <c r="I18">
        <v>2035</v>
      </c>
      <c r="J18" s="33">
        <v>253</v>
      </c>
      <c r="K18">
        <v>340</v>
      </c>
      <c r="L18">
        <f t="shared" si="10"/>
        <v>340</v>
      </c>
      <c r="M18">
        <v>120</v>
      </c>
      <c r="N18" s="33">
        <f t="shared" si="8"/>
        <v>253</v>
      </c>
      <c r="O18" s="33">
        <f t="shared" si="9"/>
        <v>272</v>
      </c>
      <c r="Q18">
        <v>2035</v>
      </c>
      <c r="R18" s="33">
        <v>-1.999000000006049</v>
      </c>
      <c r="S18">
        <v>-45.439</v>
      </c>
      <c r="T18">
        <f t="shared" si="5"/>
        <v>-45.439</v>
      </c>
      <c r="U18">
        <v>-88.018000000000001</v>
      </c>
      <c r="V18">
        <f t="shared" si="6"/>
        <v>-45.439</v>
      </c>
      <c r="W18">
        <f t="shared" si="7"/>
        <v>-45.439</v>
      </c>
      <c r="Y18">
        <v>2035</v>
      </c>
      <c r="Z18" s="33">
        <f>'[1]2022-based'!Q42</f>
        <v>72688.046000000002</v>
      </c>
      <c r="AA18" s="33">
        <f>'[1]2022-based'!B42</f>
        <v>73426.168000000005</v>
      </c>
      <c r="AB18" s="33">
        <f>'[1]2021-based'!Q42</f>
        <v>72871.606999999989</v>
      </c>
      <c r="AC18" s="33">
        <f>'[1]2021-based'!D42</f>
        <v>73351.61500000002</v>
      </c>
      <c r="AE18">
        <v>2035</v>
      </c>
      <c r="AF18" s="33">
        <f>'[1]2022-based'!R42</f>
        <v>46652.419403133725</v>
      </c>
      <c r="AG18" s="33">
        <f>'[1]2022-based'!C42</f>
        <v>47568.751000000004</v>
      </c>
      <c r="AH18" s="33">
        <f>'[1]2021-based'!R42</f>
        <v>46656.564645926461</v>
      </c>
      <c r="AI18" s="33">
        <f>'[1]2021-based'!E42</f>
        <v>47047.245999999999</v>
      </c>
    </row>
    <row r="19" spans="1:36" x14ac:dyDescent="0.2">
      <c r="A19">
        <v>2036</v>
      </c>
      <c r="B19" s="33">
        <v>73116.782000000007</v>
      </c>
      <c r="C19" s="33">
        <v>73714.089000000007</v>
      </c>
      <c r="D19" s="33">
        <f t="shared" si="2"/>
        <v>72920.52800000002</v>
      </c>
      <c r="E19" s="33">
        <v>71143.8</v>
      </c>
      <c r="F19" s="33">
        <f t="shared" si="3"/>
        <v>72589.128000000012</v>
      </c>
      <c r="G19" s="33">
        <f t="shared" si="4"/>
        <v>72908.028000000006</v>
      </c>
      <c r="I19">
        <v>2036</v>
      </c>
      <c r="J19" s="33">
        <v>253</v>
      </c>
      <c r="K19">
        <v>340</v>
      </c>
      <c r="L19">
        <f t="shared" si="10"/>
        <v>340</v>
      </c>
      <c r="M19">
        <v>120</v>
      </c>
      <c r="N19" s="33">
        <f t="shared" si="8"/>
        <v>253</v>
      </c>
      <c r="O19" s="33">
        <f t="shared" si="9"/>
        <v>272</v>
      </c>
      <c r="Q19">
        <v>2036</v>
      </c>
      <c r="R19" s="33">
        <v>-7.8249999999778765</v>
      </c>
      <c r="S19">
        <v>-52.067</v>
      </c>
      <c r="T19">
        <f t="shared" si="5"/>
        <v>-52.067</v>
      </c>
      <c r="U19">
        <v>-99.03</v>
      </c>
      <c r="V19">
        <f t="shared" si="6"/>
        <v>-52.067</v>
      </c>
      <c r="W19">
        <f t="shared" si="7"/>
        <v>-52.067</v>
      </c>
      <c r="Y19">
        <v>2036</v>
      </c>
      <c r="Z19" s="33">
        <f>'[1]2022-based'!Q43</f>
        <v>72907.967000000004</v>
      </c>
      <c r="AA19" s="33">
        <f>'[1]2022-based'!B43</f>
        <v>73714.089000000007</v>
      </c>
      <c r="AB19" s="33">
        <f>'[1]2021-based'!Q43</f>
        <v>73116.782000000007</v>
      </c>
      <c r="AC19" s="33">
        <f>'[1]2021-based'!D43</f>
        <v>73658.795000000042</v>
      </c>
      <c r="AE19">
        <v>2036</v>
      </c>
      <c r="AF19" s="33">
        <f>'[1]2022-based'!R43</f>
        <v>46686.084573516215</v>
      </c>
      <c r="AG19" s="33">
        <f>'[1]2022-based'!C43</f>
        <v>47659.073000000004</v>
      </c>
      <c r="AH19" s="33">
        <f>'[1]2021-based'!R43</f>
        <v>46664.336955810439</v>
      </c>
      <c r="AI19" s="33">
        <f>'[1]2021-based'!E43</f>
        <v>47106.945000000007</v>
      </c>
    </row>
    <row r="20" spans="1:36" x14ac:dyDescent="0.2">
      <c r="A20">
        <v>2037</v>
      </c>
      <c r="B20" s="33">
        <v>73358.104000000007</v>
      </c>
      <c r="C20" s="33">
        <v>73995.941000000006</v>
      </c>
      <c r="D20" s="33">
        <f t="shared" si="2"/>
        <v>73202.396000000022</v>
      </c>
      <c r="E20" s="33">
        <v>71154.554999999993</v>
      </c>
      <c r="F20" s="33">
        <f t="shared" si="3"/>
        <v>72783.996000000014</v>
      </c>
      <c r="G20" s="33">
        <f t="shared" si="4"/>
        <v>73121.896000000008</v>
      </c>
      <c r="I20">
        <v>2037</v>
      </c>
      <c r="J20" s="33">
        <v>253</v>
      </c>
      <c r="K20">
        <v>340</v>
      </c>
      <c r="L20">
        <f t="shared" si="10"/>
        <v>340</v>
      </c>
      <c r="M20">
        <v>120</v>
      </c>
      <c r="N20" s="33">
        <f t="shared" si="8"/>
        <v>253</v>
      </c>
      <c r="O20" s="33">
        <f t="shared" si="9"/>
        <v>272</v>
      </c>
      <c r="Q20">
        <v>2037</v>
      </c>
      <c r="R20" s="33">
        <v>-11.677999999995222</v>
      </c>
      <c r="S20">
        <v>-58.131999999999998</v>
      </c>
      <c r="T20">
        <f t="shared" si="5"/>
        <v>-58.131999999999998</v>
      </c>
      <c r="U20">
        <v>-109.24</v>
      </c>
      <c r="V20">
        <f t="shared" si="6"/>
        <v>-58.131999999999998</v>
      </c>
      <c r="W20">
        <f t="shared" si="7"/>
        <v>-58.131999999999998</v>
      </c>
      <c r="Y20">
        <v>2037</v>
      </c>
      <c r="Z20" s="33">
        <f>'[1]2022-based'!Q44</f>
        <v>73121.818999999989</v>
      </c>
      <c r="AA20" s="33">
        <f>'[1]2022-based'!B44</f>
        <v>73995.940999999992</v>
      </c>
      <c r="AB20" s="33">
        <f>'[1]2021-based'!Q44</f>
        <v>73358.104000000007</v>
      </c>
      <c r="AC20" s="33">
        <f>'[1]2021-based'!D44</f>
        <v>73962.122000000047</v>
      </c>
      <c r="AE20">
        <v>2037</v>
      </c>
      <c r="AF20" s="33">
        <f>'[1]2022-based'!R44</f>
        <v>46722.459743898697</v>
      </c>
      <c r="AG20" s="33">
        <f>'[1]2022-based'!C44</f>
        <v>47752.104999999996</v>
      </c>
      <c r="AH20" s="33">
        <f>'[1]2021-based'!R44</f>
        <v>46670.410265694409</v>
      </c>
      <c r="AI20" s="33">
        <f>'[1]2021-based'!E44</f>
        <v>47164.945000000007</v>
      </c>
    </row>
    <row r="21" spans="1:36" x14ac:dyDescent="0.2">
      <c r="A21">
        <v>2038</v>
      </c>
      <c r="B21" s="33">
        <v>73596.38499999998</v>
      </c>
      <c r="C21" s="33">
        <v>74272.334000000003</v>
      </c>
      <c r="D21" s="33">
        <f t="shared" si="2"/>
        <v>73478.79300000002</v>
      </c>
      <c r="E21" s="33">
        <v>71156.042000000001</v>
      </c>
      <c r="F21" s="33">
        <f t="shared" si="3"/>
        <v>72973.393000000011</v>
      </c>
      <c r="G21" s="33">
        <f t="shared" si="4"/>
        <v>73330.293000000005</v>
      </c>
      <c r="I21">
        <v>2038</v>
      </c>
      <c r="J21" s="33">
        <v>253</v>
      </c>
      <c r="K21">
        <v>340</v>
      </c>
      <c r="L21">
        <f t="shared" si="10"/>
        <v>340</v>
      </c>
      <c r="M21">
        <v>120</v>
      </c>
      <c r="N21" s="33">
        <f t="shared" si="8"/>
        <v>253</v>
      </c>
      <c r="O21" s="33">
        <f t="shared" si="9"/>
        <v>272</v>
      </c>
      <c r="Q21">
        <v>2038</v>
      </c>
      <c r="R21" s="33">
        <v>-14.719000000021765</v>
      </c>
      <c r="S21">
        <v>-63.603000000000002</v>
      </c>
      <c r="T21">
        <f t="shared" si="5"/>
        <v>-63.603000000000002</v>
      </c>
      <c r="U21">
        <v>-118.523</v>
      </c>
      <c r="V21">
        <f t="shared" si="6"/>
        <v>-63.603000000000002</v>
      </c>
      <c r="W21">
        <f t="shared" si="7"/>
        <v>-63.603000000000002</v>
      </c>
      <c r="Y21">
        <v>2038</v>
      </c>
      <c r="Z21" s="33">
        <f>'[1]2022-based'!Q45</f>
        <v>73330.212</v>
      </c>
      <c r="AA21" s="33">
        <f>'[1]2022-based'!B45</f>
        <v>74272.334000000003</v>
      </c>
      <c r="AB21" s="33">
        <f>'[1]2021-based'!Q45</f>
        <v>73596.38499999998</v>
      </c>
      <c r="AC21" s="33">
        <f>'[1]2021-based'!D45</f>
        <v>74262.408000000025</v>
      </c>
      <c r="AE21">
        <v>2038</v>
      </c>
      <c r="AF21" s="33">
        <f>'[1]2022-based'!R45</f>
        <v>46748.21291428119</v>
      </c>
      <c r="AG21" s="33">
        <f>'[1]2022-based'!C45</f>
        <v>47834.514999999999</v>
      </c>
      <c r="AH21" s="33">
        <f>'[1]2021-based'!R45</f>
        <v>46671.474575578381</v>
      </c>
      <c r="AI21" s="33">
        <f>'[1]2021-based'!E45</f>
        <v>47217.936000000009</v>
      </c>
    </row>
    <row r="22" spans="1:36" x14ac:dyDescent="0.2">
      <c r="A22">
        <v>2039</v>
      </c>
      <c r="B22" s="33">
        <v>73832.18299999999</v>
      </c>
      <c r="C22" s="33">
        <v>74543.737999999998</v>
      </c>
      <c r="D22" s="33">
        <f t="shared" si="2"/>
        <v>73750.189000000013</v>
      </c>
      <c r="E22" s="33">
        <v>71149.096000000005</v>
      </c>
      <c r="F22" s="33">
        <f t="shared" si="3"/>
        <v>73157.789000000004</v>
      </c>
      <c r="G22" s="33">
        <f t="shared" si="4"/>
        <v>73533.688999999998</v>
      </c>
      <c r="I22">
        <v>2039</v>
      </c>
      <c r="J22" s="33">
        <v>253</v>
      </c>
      <c r="K22">
        <v>340</v>
      </c>
      <c r="L22">
        <f t="shared" si="10"/>
        <v>340</v>
      </c>
      <c r="M22">
        <v>120</v>
      </c>
      <c r="N22" s="33">
        <f t="shared" si="8"/>
        <v>253</v>
      </c>
      <c r="O22" s="33">
        <f t="shared" si="9"/>
        <v>272</v>
      </c>
      <c r="Q22">
        <v>2039</v>
      </c>
      <c r="R22" s="33">
        <v>-17.20199999998556</v>
      </c>
      <c r="S22">
        <v>-68.603999999999999</v>
      </c>
      <c r="T22">
        <f t="shared" si="5"/>
        <v>-68.603999999999999</v>
      </c>
      <c r="U22">
        <v>-126.958</v>
      </c>
      <c r="V22">
        <f t="shared" si="6"/>
        <v>-68.603999999999999</v>
      </c>
      <c r="W22">
        <f t="shared" si="7"/>
        <v>-68.603999999999999</v>
      </c>
      <c r="Y22">
        <v>2039</v>
      </c>
      <c r="Z22" s="33">
        <f>'[1]2022-based'!Q46</f>
        <v>73533.616000000009</v>
      </c>
      <c r="AA22" s="33">
        <f>'[1]2022-based'!B46</f>
        <v>74543.737999999998</v>
      </c>
      <c r="AB22" s="33">
        <f>'[1]2021-based'!Q46</f>
        <v>73832.18299999999</v>
      </c>
      <c r="AC22" s="33">
        <f>'[1]2021-based'!D46</f>
        <v>74560.211000000039</v>
      </c>
      <c r="AE22">
        <v>2039</v>
      </c>
      <c r="AF22" s="33">
        <f>'[1]2022-based'!R46</f>
        <v>46772.66108466369</v>
      </c>
      <c r="AG22" s="33">
        <f>'[1]2022-based'!C46</f>
        <v>47915.62</v>
      </c>
      <c r="AH22" s="33">
        <f>'[1]2021-based'!R46</f>
        <v>46673.661885462345</v>
      </c>
      <c r="AI22" s="33">
        <f>'[1]2021-based'!E46</f>
        <v>47272.05</v>
      </c>
    </row>
    <row r="23" spans="1:36" x14ac:dyDescent="0.2">
      <c r="A23">
        <v>2040</v>
      </c>
      <c r="B23" s="33">
        <v>74065.816999999981</v>
      </c>
      <c r="C23" s="33">
        <v>74810.478000000003</v>
      </c>
      <c r="D23" s="33">
        <f t="shared" si="2"/>
        <v>74016.941000000006</v>
      </c>
      <c r="E23" s="33">
        <v>71134.407999999996</v>
      </c>
      <c r="F23" s="33">
        <f t="shared" si="3"/>
        <v>73337.540999999997</v>
      </c>
      <c r="G23" s="33">
        <f t="shared" si="4"/>
        <v>73732.440999999992</v>
      </c>
      <c r="I23">
        <v>2040</v>
      </c>
      <c r="J23" s="33">
        <v>253</v>
      </c>
      <c r="K23">
        <v>340</v>
      </c>
      <c r="L23">
        <f t="shared" si="10"/>
        <v>340</v>
      </c>
      <c r="M23">
        <v>120</v>
      </c>
      <c r="N23" s="33">
        <f t="shared" si="8"/>
        <v>253</v>
      </c>
      <c r="O23" s="33">
        <f t="shared" si="9"/>
        <v>272</v>
      </c>
      <c r="Q23">
        <v>2040</v>
      </c>
      <c r="R23" s="33">
        <v>-19.366000000004419</v>
      </c>
      <c r="S23">
        <v>-73.248000000000005</v>
      </c>
      <c r="T23">
        <f t="shared" si="5"/>
        <v>-73.248000000000005</v>
      </c>
      <c r="U23">
        <v>-134.68199999999999</v>
      </c>
      <c r="V23">
        <f t="shared" si="6"/>
        <v>-73.248000000000005</v>
      </c>
      <c r="W23">
        <f t="shared" si="7"/>
        <v>-73.248000000000005</v>
      </c>
      <c r="Y23">
        <v>2040</v>
      </c>
      <c r="Z23" s="33">
        <f>'[1]2022-based'!Q47</f>
        <v>73732.356000000014</v>
      </c>
      <c r="AA23" s="33">
        <f>'[1]2022-based'!B47</f>
        <v>74810.478000000003</v>
      </c>
      <c r="AB23" s="33">
        <f>'[1]2021-based'!Q47</f>
        <v>74065.816999999981</v>
      </c>
      <c r="AC23" s="33">
        <f>'[1]2021-based'!D47</f>
        <v>74855.850000000035</v>
      </c>
      <c r="AE23">
        <v>2040</v>
      </c>
      <c r="AF23" s="33">
        <f>'[1]2022-based'!R47</f>
        <v>46827.023255046173</v>
      </c>
      <c r="AG23" s="33">
        <f>'[1]2022-based'!C47</f>
        <v>48026.638999999996</v>
      </c>
      <c r="AH23" s="33">
        <f>'[1]2021-based'!R47</f>
        <v>46752.706195346305</v>
      </c>
      <c r="AI23" s="33">
        <f>'[1]2021-based'!E47</f>
        <v>47403.020999999993</v>
      </c>
    </row>
    <row r="24" spans="1:36" x14ac:dyDescent="0.2">
      <c r="A24">
        <v>2041</v>
      </c>
      <c r="B24" s="33">
        <v>74296.872999999963</v>
      </c>
      <c r="C24" s="33">
        <v>75072.892000000007</v>
      </c>
      <c r="D24" s="33">
        <f t="shared" si="2"/>
        <v>74279.362000000008</v>
      </c>
      <c r="E24" s="33">
        <v>71112.67</v>
      </c>
      <c r="F24" s="33">
        <f t="shared" si="3"/>
        <v>73512.962</v>
      </c>
      <c r="G24" s="33">
        <f t="shared" si="4"/>
        <v>73926.861999999994</v>
      </c>
      <c r="I24">
        <v>2041</v>
      </c>
      <c r="J24" s="33">
        <v>253</v>
      </c>
      <c r="K24">
        <v>340</v>
      </c>
      <c r="L24">
        <f t="shared" si="10"/>
        <v>340</v>
      </c>
      <c r="M24">
        <v>120</v>
      </c>
      <c r="N24" s="33">
        <f t="shared" si="8"/>
        <v>253</v>
      </c>
      <c r="O24" s="33">
        <f t="shared" si="9"/>
        <v>272</v>
      </c>
      <c r="Q24">
        <v>2041</v>
      </c>
      <c r="R24" s="33">
        <v>-21.944000000013034</v>
      </c>
      <c r="S24">
        <v>-77.578999999999994</v>
      </c>
      <c r="T24">
        <f t="shared" si="5"/>
        <v>-77.578999999999994</v>
      </c>
      <c r="U24">
        <v>-141.739</v>
      </c>
      <c r="V24">
        <f t="shared" si="6"/>
        <v>-77.578999999999994</v>
      </c>
      <c r="W24">
        <f t="shared" si="7"/>
        <v>-77.578999999999994</v>
      </c>
      <c r="Y24">
        <v>2041</v>
      </c>
      <c r="Z24" s="33">
        <f>'[1]2022-based'!Q48</f>
        <v>73926.770000000019</v>
      </c>
      <c r="AA24" s="33">
        <f>'[1]2022-based'!B48</f>
        <v>75072.891999999993</v>
      </c>
      <c r="AB24" s="33">
        <f>'[1]2021-based'!Q48</f>
        <v>74296.872999999963</v>
      </c>
      <c r="AC24" s="33">
        <f>'[1]2021-based'!D48</f>
        <v>75148.911000000022</v>
      </c>
      <c r="AE24">
        <v>2041</v>
      </c>
      <c r="AF24" s="33">
        <f>'[1]2022-based'!R48</f>
        <v>46914.979425428668</v>
      </c>
      <c r="AG24" s="33">
        <f>'[1]2022-based'!C48</f>
        <v>48171.252</v>
      </c>
      <c r="AH24" s="33">
        <f>'[1]2021-based'!R48</f>
        <v>46869.51750523028</v>
      </c>
      <c r="AI24" s="33">
        <f>'[1]2021-based'!E48</f>
        <v>47571.758999999998</v>
      </c>
    </row>
    <row r="25" spans="1:36" x14ac:dyDescent="0.2">
      <c r="A25">
        <v>2042</v>
      </c>
      <c r="B25" s="33">
        <v>74524.851999999984</v>
      </c>
      <c r="C25" s="33">
        <v>75331.209000000003</v>
      </c>
      <c r="D25" s="33">
        <f t="shared" si="2"/>
        <v>74537.682000000015</v>
      </c>
      <c r="E25" s="33">
        <v>71084.426000000007</v>
      </c>
      <c r="F25" s="33">
        <f t="shared" si="3"/>
        <v>73684.282000000007</v>
      </c>
      <c r="G25" s="33">
        <f t="shared" si="4"/>
        <v>74117.182000000001</v>
      </c>
      <c r="I25">
        <v>2042</v>
      </c>
      <c r="J25" s="33">
        <v>253</v>
      </c>
      <c r="K25">
        <v>340</v>
      </c>
      <c r="L25">
        <f t="shared" si="10"/>
        <v>340</v>
      </c>
      <c r="M25">
        <v>120</v>
      </c>
      <c r="N25" s="33">
        <f t="shared" si="8"/>
        <v>253</v>
      </c>
      <c r="O25" s="33">
        <f t="shared" si="9"/>
        <v>272</v>
      </c>
      <c r="Q25">
        <v>2042</v>
      </c>
      <c r="R25" s="33">
        <v>-25.020999999974151</v>
      </c>
      <c r="S25">
        <v>-81.680000000000007</v>
      </c>
      <c r="T25">
        <f t="shared" si="5"/>
        <v>-81.680000000000007</v>
      </c>
      <c r="U25">
        <v>-148.251</v>
      </c>
      <c r="V25">
        <f t="shared" si="6"/>
        <v>-81.680000000000007</v>
      </c>
      <c r="W25">
        <f t="shared" si="7"/>
        <v>-81.680000000000007</v>
      </c>
      <c r="Y25">
        <v>2042</v>
      </c>
      <c r="Z25" s="33">
        <f>'[1]2022-based'!Q49</f>
        <v>74117.087000000029</v>
      </c>
      <c r="AA25" s="33">
        <f>'[1]2022-based'!B49</f>
        <v>75331.209000000003</v>
      </c>
      <c r="AB25" s="33">
        <f>'[1]2021-based'!Q49</f>
        <v>74524.851999999984</v>
      </c>
      <c r="AC25" s="33">
        <f>'[1]2021-based'!D49</f>
        <v>75438.895000000048</v>
      </c>
      <c r="AE25">
        <v>2042</v>
      </c>
      <c r="AF25" s="33">
        <f>'[1]2022-based'!R49</f>
        <v>47014.810595811163</v>
      </c>
      <c r="AG25" s="33">
        <f>'[1]2022-based'!C49</f>
        <v>48327.740000000005</v>
      </c>
      <c r="AH25" s="33">
        <f>'[1]2021-based'!R49</f>
        <v>46998.435815114251</v>
      </c>
      <c r="AI25" s="33">
        <f>'[1]2021-based'!E49</f>
        <v>47752.603999999999</v>
      </c>
    </row>
    <row r="26" spans="1:36" x14ac:dyDescent="0.2">
      <c r="A26">
        <v>2043</v>
      </c>
      <c r="B26" s="33">
        <v>74749.708999999988</v>
      </c>
      <c r="C26" s="33">
        <v>75585.236000000004</v>
      </c>
      <c r="D26" s="33">
        <f t="shared" si="2"/>
        <v>74791.724000000017</v>
      </c>
      <c r="E26" s="33">
        <v>71049.754000000001</v>
      </c>
      <c r="F26" s="33">
        <f t="shared" si="3"/>
        <v>73851.324000000008</v>
      </c>
      <c r="G26" s="33">
        <f t="shared" si="4"/>
        <v>74303.224000000002</v>
      </c>
      <c r="I26">
        <v>2043</v>
      </c>
      <c r="J26" s="33">
        <v>253</v>
      </c>
      <c r="K26">
        <v>340</v>
      </c>
      <c r="L26">
        <f t="shared" si="10"/>
        <v>340</v>
      </c>
      <c r="M26">
        <v>120</v>
      </c>
      <c r="N26" s="33">
        <f t="shared" si="8"/>
        <v>253</v>
      </c>
      <c r="O26" s="33">
        <f t="shared" si="9"/>
        <v>272</v>
      </c>
      <c r="Q26">
        <v>2043</v>
      </c>
      <c r="R26" s="33">
        <v>-28.14299999999173</v>
      </c>
      <c r="S26">
        <v>-85.957999999999998</v>
      </c>
      <c r="T26">
        <f t="shared" si="5"/>
        <v>-85.957999999999998</v>
      </c>
      <c r="U26">
        <v>-154.65700000000001</v>
      </c>
      <c r="V26">
        <f t="shared" si="6"/>
        <v>-85.957999999999998</v>
      </c>
      <c r="W26">
        <f t="shared" si="7"/>
        <v>-85.957999999999998</v>
      </c>
      <c r="Y26">
        <v>2043</v>
      </c>
      <c r="Z26" s="33">
        <f>'[1]2022-based'!Q50</f>
        <v>74303.114000000031</v>
      </c>
      <c r="AA26" s="33">
        <f>'[1]2022-based'!B50</f>
        <v>75585.236000000004</v>
      </c>
      <c r="AB26" s="33">
        <f>'[1]2021-based'!Q50</f>
        <v>74749.708999999988</v>
      </c>
      <c r="AC26" s="33">
        <f>'[1]2021-based'!D50</f>
        <v>75725.757000000056</v>
      </c>
      <c r="AE26">
        <v>2043</v>
      </c>
      <c r="AF26" s="33">
        <f>'[1]2022-based'!R50</f>
        <v>47128.74476619366</v>
      </c>
      <c r="AG26" s="33">
        <f>'[1]2022-based'!C50</f>
        <v>48498.331000000006</v>
      </c>
      <c r="AH26" s="33">
        <f>'[1]2021-based'!R50</f>
        <v>47142.266124998219</v>
      </c>
      <c r="AI26" s="33">
        <f>'[1]2021-based'!E50</f>
        <v>47948.360999999997</v>
      </c>
    </row>
    <row r="27" spans="1:36" x14ac:dyDescent="0.2">
      <c r="A27">
        <v>2044</v>
      </c>
      <c r="B27" s="33">
        <v>74971.281000000003</v>
      </c>
      <c r="C27" s="33">
        <v>75834.506999999998</v>
      </c>
      <c r="D27" s="33">
        <f t="shared" si="2"/>
        <v>75040.989000000016</v>
      </c>
      <c r="E27" s="33">
        <v>71008.509000000005</v>
      </c>
      <c r="F27" s="33">
        <f t="shared" si="3"/>
        <v>74013.589000000007</v>
      </c>
      <c r="G27" s="33">
        <f t="shared" si="4"/>
        <v>74484.489000000001</v>
      </c>
      <c r="I27">
        <v>2044</v>
      </c>
      <c r="J27" s="33">
        <v>253</v>
      </c>
      <c r="K27">
        <v>340</v>
      </c>
      <c r="L27">
        <f t="shared" si="10"/>
        <v>340</v>
      </c>
      <c r="M27">
        <v>120</v>
      </c>
      <c r="N27" s="33">
        <f t="shared" si="8"/>
        <v>253</v>
      </c>
      <c r="O27" s="33">
        <f t="shared" si="9"/>
        <v>272</v>
      </c>
      <c r="Q27">
        <v>2044</v>
      </c>
      <c r="R27" s="33">
        <v>-31.427999999980671</v>
      </c>
      <c r="S27">
        <v>-90.734999999999999</v>
      </c>
      <c r="T27">
        <f t="shared" si="5"/>
        <v>-90.734999999999999</v>
      </c>
      <c r="U27">
        <v>-161.25200000000001</v>
      </c>
      <c r="V27">
        <f t="shared" si="6"/>
        <v>-90.734999999999999</v>
      </c>
      <c r="W27">
        <f t="shared" si="7"/>
        <v>-90.734999999999999</v>
      </c>
      <c r="Y27">
        <v>2044</v>
      </c>
      <c r="Z27" s="33">
        <f>'[1]2022-based'!Q51</f>
        <v>74484.385000000038</v>
      </c>
      <c r="AA27" s="33">
        <f>'[1]2022-based'!B51</f>
        <v>75834.506999999998</v>
      </c>
      <c r="AB27" s="33">
        <f>'[1]2021-based'!Q51</f>
        <v>74971.281000000003</v>
      </c>
      <c r="AC27" s="33">
        <f>'[1]2021-based'!D51</f>
        <v>76009.334000000075</v>
      </c>
      <c r="AE27">
        <v>2044</v>
      </c>
      <c r="AF27" s="33">
        <f>'[1]2022-based'!R51</f>
        <v>47370.251295480251</v>
      </c>
      <c r="AG27" s="33">
        <f>'[1]2022-based'!C51</f>
        <v>48796.494358904107</v>
      </c>
      <c r="AH27" s="33">
        <f>'[1]2021-based'!R51</f>
        <v>47414.700632142463</v>
      </c>
      <c r="AI27" s="33">
        <f>'[1]2021-based'!E51</f>
        <v>48272.722197260271</v>
      </c>
      <c r="AJ27">
        <v>100000</v>
      </c>
    </row>
    <row r="28" spans="1:36" x14ac:dyDescent="0.2">
      <c r="A28">
        <v>2045</v>
      </c>
      <c r="B28" s="33">
        <v>75188.12</v>
      </c>
      <c r="C28" s="33">
        <v>76078.686000000002</v>
      </c>
      <c r="D28" s="33">
        <f t="shared" si="2"/>
        <v>75285.169000000009</v>
      </c>
      <c r="E28" s="33">
        <v>70960.588000000003</v>
      </c>
      <c r="F28" s="33">
        <f t="shared" si="3"/>
        <v>74170.769</v>
      </c>
      <c r="G28" s="33">
        <f t="shared" si="4"/>
        <v>74660.668999999994</v>
      </c>
      <c r="I28">
        <v>2045</v>
      </c>
      <c r="J28" s="33">
        <v>253</v>
      </c>
      <c r="K28">
        <v>340</v>
      </c>
      <c r="L28">
        <f t="shared" si="10"/>
        <v>340</v>
      </c>
      <c r="M28">
        <v>120</v>
      </c>
      <c r="N28" s="33">
        <f t="shared" si="8"/>
        <v>253</v>
      </c>
      <c r="O28" s="33">
        <f t="shared" si="9"/>
        <v>272</v>
      </c>
      <c r="Q28">
        <v>2045</v>
      </c>
      <c r="R28" s="33">
        <v>-36.161000000002673</v>
      </c>
      <c r="S28">
        <v>-95.82</v>
      </c>
      <c r="T28">
        <f t="shared" si="5"/>
        <v>-95.82</v>
      </c>
      <c r="U28">
        <v>-167.91499999999999</v>
      </c>
      <c r="V28">
        <f t="shared" si="6"/>
        <v>-95.82</v>
      </c>
      <c r="W28">
        <f t="shared" si="7"/>
        <v>-95.82</v>
      </c>
      <c r="Y28">
        <v>2045</v>
      </c>
      <c r="Z28" s="33">
        <f>'[1]2022-based'!Q52</f>
        <v>74660.564000000057</v>
      </c>
      <c r="AA28" s="33">
        <f>'[1]2022-based'!B52</f>
        <v>76078.686000000002</v>
      </c>
      <c r="AB28" s="33">
        <f>'[1]2021-based'!Q52</f>
        <v>75188.12</v>
      </c>
      <c r="AC28" s="33">
        <f>'[1]2021-based'!D52</f>
        <v>76288.178000000073</v>
      </c>
      <c r="AE28">
        <v>2045</v>
      </c>
      <c r="AF28" s="33">
        <f>'[1]2022-based'!R52</f>
        <v>47856.558794629877</v>
      </c>
      <c r="AG28" s="33">
        <f>'[1]2022-based'!C52</f>
        <v>49339.458687671235</v>
      </c>
      <c r="AH28" s="33">
        <f>'[1]2021-based'!R52</f>
        <v>47932.917380382605</v>
      </c>
      <c r="AI28" s="33">
        <f>'[1]2021-based'!E52</f>
        <v>48842.865635616443</v>
      </c>
      <c r="AJ28">
        <v>100000</v>
      </c>
    </row>
    <row r="29" spans="1:36" x14ac:dyDescent="0.2">
      <c r="A29">
        <v>2046</v>
      </c>
      <c r="B29" s="33">
        <v>75398.567999999985</v>
      </c>
      <c r="C29" s="33">
        <v>76317.48</v>
      </c>
      <c r="D29" s="33">
        <f t="shared" si="2"/>
        <v>75523.984000000011</v>
      </c>
      <c r="E29" s="33">
        <v>70905.847999999998</v>
      </c>
      <c r="F29" s="33">
        <f t="shared" si="3"/>
        <v>74322.584000000003</v>
      </c>
      <c r="G29" s="33">
        <f t="shared" si="4"/>
        <v>74831.483999999997</v>
      </c>
      <c r="I29">
        <v>2046</v>
      </c>
      <c r="J29" s="33">
        <v>253</v>
      </c>
      <c r="K29">
        <v>340</v>
      </c>
      <c r="L29">
        <f t="shared" si="10"/>
        <v>340</v>
      </c>
      <c r="M29">
        <v>120</v>
      </c>
      <c r="N29" s="33">
        <f t="shared" si="8"/>
        <v>253</v>
      </c>
      <c r="O29" s="33">
        <f t="shared" si="9"/>
        <v>272</v>
      </c>
      <c r="Q29">
        <v>2046</v>
      </c>
      <c r="R29" s="33">
        <v>-42.552000000005933</v>
      </c>
      <c r="S29">
        <v>-101.185</v>
      </c>
      <c r="T29">
        <f t="shared" si="5"/>
        <v>-101.185</v>
      </c>
      <c r="U29">
        <v>-174.727</v>
      </c>
      <c r="V29">
        <f t="shared" si="6"/>
        <v>-101.185</v>
      </c>
      <c r="W29">
        <f t="shared" si="7"/>
        <v>-101.185</v>
      </c>
      <c r="Y29">
        <v>2046</v>
      </c>
      <c r="Z29" s="33">
        <f>'[1]2022-based'!Q53</f>
        <v>74831.358000000051</v>
      </c>
      <c r="AA29" s="33">
        <f>'[1]2022-based'!B53</f>
        <v>76317.48</v>
      </c>
      <c r="AB29" s="33">
        <f>'[1]2021-based'!Q53</f>
        <v>75398.567999999985</v>
      </c>
      <c r="AC29" s="33">
        <f>'[1]2021-based'!D53</f>
        <v>76560.631000000067</v>
      </c>
      <c r="AE29">
        <v>2046</v>
      </c>
      <c r="AF29" s="33">
        <f>'[1]2022-based'!R53</f>
        <v>48232.801947033608</v>
      </c>
      <c r="AG29" s="33">
        <f>'[1]2022-based'!C53</f>
        <v>49772.296999999999</v>
      </c>
      <c r="AH29" s="33">
        <f>'[1]2021-based'!R53</f>
        <v>48340.088572037712</v>
      </c>
      <c r="AI29" s="33">
        <f>'[1]2021-based'!E53</f>
        <v>49301.910000000011</v>
      </c>
      <c r="AJ29">
        <v>100000</v>
      </c>
    </row>
    <row r="30" spans="1:36" x14ac:dyDescent="0.2">
      <c r="A30">
        <v>2047</v>
      </c>
      <c r="B30" s="33">
        <v>75602.14499999999</v>
      </c>
      <c r="C30" s="33">
        <v>76550.535000000003</v>
      </c>
      <c r="D30" s="33">
        <f t="shared" si="2"/>
        <v>75757.036000000007</v>
      </c>
      <c r="E30" s="33">
        <v>70844.130999999994</v>
      </c>
      <c r="F30" s="33">
        <f t="shared" si="3"/>
        <v>74468.635999999999</v>
      </c>
      <c r="G30" s="33">
        <f t="shared" si="4"/>
        <v>74996.535999999993</v>
      </c>
      <c r="I30">
        <v>2047</v>
      </c>
      <c r="J30" s="33">
        <v>253</v>
      </c>
      <c r="K30">
        <v>340</v>
      </c>
      <c r="L30">
        <f t="shared" si="10"/>
        <v>340</v>
      </c>
      <c r="M30">
        <v>120</v>
      </c>
      <c r="N30" s="33">
        <f t="shared" si="8"/>
        <v>253</v>
      </c>
      <c r="O30" s="33">
        <f t="shared" si="9"/>
        <v>272</v>
      </c>
      <c r="Q30">
        <v>2047</v>
      </c>
      <c r="R30" s="33">
        <v>-49.422999999990566</v>
      </c>
      <c r="S30">
        <v>-106.94799999999999</v>
      </c>
      <c r="T30">
        <f t="shared" si="5"/>
        <v>-106.94799999999999</v>
      </c>
      <c r="U30">
        <v>-181.72900000000001</v>
      </c>
      <c r="V30">
        <f t="shared" si="6"/>
        <v>-106.94799999999999</v>
      </c>
      <c r="W30">
        <f t="shared" si="7"/>
        <v>-106.94799999999999</v>
      </c>
      <c r="Y30">
        <v>2047</v>
      </c>
      <c r="Z30" s="33">
        <f>'[1]2022-based'!Q54</f>
        <v>74996.413000000044</v>
      </c>
      <c r="AA30" s="33">
        <f>'[1]2022-based'!B54</f>
        <v>76550.535000000003</v>
      </c>
      <c r="AB30" s="33">
        <f>'[1]2021-based'!Q54</f>
        <v>75602.14499999999</v>
      </c>
      <c r="AC30" s="33">
        <f>'[1]2021-based'!D54</f>
        <v>76826.213000000076</v>
      </c>
      <c r="AE30">
        <v>2047</v>
      </c>
      <c r="AF30" s="33">
        <f>'[1]2022-based'!R54</f>
        <v>48291.624650794387</v>
      </c>
      <c r="AG30" s="33">
        <f>'[1]2022-based'!C54</f>
        <v>49887.751000000004</v>
      </c>
      <c r="AH30" s="33">
        <f>'[1]2021-based'!R54</f>
        <v>48428.709039964735</v>
      </c>
      <c r="AI30" s="33">
        <f>'[1]2021-based'!E54</f>
        <v>49442.434999999998</v>
      </c>
    </row>
    <row r="31" spans="1:36" x14ac:dyDescent="0.2">
      <c r="A31">
        <v>2048</v>
      </c>
      <c r="B31" s="33">
        <v>75798.417999999991</v>
      </c>
      <c r="C31" s="33">
        <v>76776.460000000006</v>
      </c>
      <c r="D31" s="33">
        <f t="shared" si="2"/>
        <v>75982.957000000009</v>
      </c>
      <c r="E31" s="33">
        <v>70774.277000000002</v>
      </c>
      <c r="F31" s="33">
        <f t="shared" si="3"/>
        <v>74607.557000000001</v>
      </c>
      <c r="G31" s="33">
        <f t="shared" si="4"/>
        <v>75154.456999999995</v>
      </c>
      <c r="I31">
        <v>2048</v>
      </c>
      <c r="J31" s="33">
        <v>253</v>
      </c>
      <c r="K31">
        <v>340</v>
      </c>
      <c r="L31">
        <f t="shared" si="10"/>
        <v>340</v>
      </c>
      <c r="M31">
        <v>120</v>
      </c>
      <c r="N31" s="33">
        <f t="shared" si="8"/>
        <v>253</v>
      </c>
      <c r="O31" s="33">
        <f t="shared" si="9"/>
        <v>272</v>
      </c>
      <c r="Q31">
        <v>2048</v>
      </c>
      <c r="R31" s="33">
        <v>-56.726999999994291</v>
      </c>
      <c r="S31">
        <v>-114.07899999999999</v>
      </c>
      <c r="T31">
        <f t="shared" si="5"/>
        <v>-114.07899999999999</v>
      </c>
      <c r="U31">
        <v>-189.857</v>
      </c>
      <c r="V31">
        <f t="shared" si="6"/>
        <v>-114.07899999999999</v>
      </c>
      <c r="W31">
        <f t="shared" si="7"/>
        <v>-114.07899999999999</v>
      </c>
      <c r="Y31">
        <v>2048</v>
      </c>
      <c r="Z31" s="33">
        <f>'[1]2022-based'!Q55</f>
        <v>75154.338000000047</v>
      </c>
      <c r="AA31" s="33">
        <f>'[1]2022-based'!B55</f>
        <v>76776.460000000006</v>
      </c>
      <c r="AB31" s="33">
        <f>'[1]2021-based'!Q55</f>
        <v>75798.417999999991</v>
      </c>
      <c r="AC31" s="33">
        <f>'[1]2021-based'!D55</f>
        <v>77084.491000000082</v>
      </c>
      <c r="AE31">
        <v>2048</v>
      </c>
      <c r="AF31" s="33">
        <f>'[1]2022-based'!R55</f>
        <v>48315.944821176883</v>
      </c>
      <c r="AG31" s="33">
        <f>'[1]2022-based'!C55</f>
        <v>49968.728000000003</v>
      </c>
      <c r="AH31" s="33">
        <f>'[1]2021-based'!R55</f>
        <v>48482.09034984871</v>
      </c>
      <c r="AI31" s="33">
        <f>'[1]2021-based'!E55</f>
        <v>49547.743000000002</v>
      </c>
    </row>
    <row r="32" spans="1:36" x14ac:dyDescent="0.2">
      <c r="A32">
        <v>2049</v>
      </c>
      <c r="B32" s="33">
        <v>75986.883000000002</v>
      </c>
      <c r="C32" s="33">
        <v>76993.637000000002</v>
      </c>
      <c r="D32" s="33">
        <f t="shared" si="2"/>
        <v>76200.13</v>
      </c>
      <c r="E32" s="33">
        <v>70694.92</v>
      </c>
      <c r="F32" s="33">
        <f t="shared" si="3"/>
        <v>74737.73</v>
      </c>
      <c r="G32" s="33">
        <f t="shared" si="4"/>
        <v>75303.62999999999</v>
      </c>
      <c r="I32">
        <v>2049</v>
      </c>
      <c r="J32" s="33">
        <v>253</v>
      </c>
      <c r="K32">
        <v>340</v>
      </c>
      <c r="L32">
        <f t="shared" si="10"/>
        <v>340</v>
      </c>
      <c r="M32">
        <v>120</v>
      </c>
      <c r="N32" s="33">
        <f t="shared" si="8"/>
        <v>253</v>
      </c>
      <c r="O32" s="33">
        <f t="shared" si="9"/>
        <v>272</v>
      </c>
      <c r="Q32">
        <v>2049</v>
      </c>
      <c r="R32" s="33">
        <v>-64.534999999984279</v>
      </c>
      <c r="S32">
        <v>-122.827</v>
      </c>
      <c r="T32">
        <f t="shared" si="5"/>
        <v>-122.827</v>
      </c>
      <c r="U32">
        <v>-199.35599999999999</v>
      </c>
      <c r="V32">
        <f t="shared" si="6"/>
        <v>-122.827</v>
      </c>
      <c r="W32">
        <f t="shared" si="7"/>
        <v>-122.827</v>
      </c>
      <c r="Y32">
        <v>2049</v>
      </c>
      <c r="Z32" s="33">
        <f>'[1]2022-based'!Q56</f>
        <v>75303.515000000029</v>
      </c>
      <c r="AA32" s="33">
        <f>'[1]2022-based'!B56</f>
        <v>76993.637000000002</v>
      </c>
      <c r="AB32" s="33">
        <f>'[1]2021-based'!Q56</f>
        <v>75986.883000000002</v>
      </c>
      <c r="AC32" s="33">
        <f>'[1]2021-based'!D56</f>
        <v>77334.961000000098</v>
      </c>
      <c r="AE32">
        <v>2049</v>
      </c>
      <c r="AF32" s="33">
        <f>'[1]2022-based'!R56</f>
        <v>48340.136991559375</v>
      </c>
      <c r="AG32" s="33">
        <f>'[1]2022-based'!C56</f>
        <v>50049.577000000005</v>
      </c>
      <c r="AH32" s="33">
        <f>'[1]2021-based'!R56</f>
        <v>48535.571659732675</v>
      </c>
      <c r="AI32" s="33">
        <f>'[1]2021-based'!E56</f>
        <v>49653.150999999998</v>
      </c>
    </row>
    <row r="33" spans="1:35" x14ac:dyDescent="0.2">
      <c r="A33">
        <v>2050</v>
      </c>
      <c r="B33" s="33">
        <v>76167.383999999991</v>
      </c>
      <c r="C33" s="33">
        <v>77201.482999999993</v>
      </c>
      <c r="D33" s="33">
        <f t="shared" si="2"/>
        <v>76407.98000000001</v>
      </c>
      <c r="E33" s="33">
        <v>70605.494000000006</v>
      </c>
      <c r="F33" s="33">
        <f t="shared" si="3"/>
        <v>74858.58</v>
      </c>
      <c r="G33" s="33">
        <f t="shared" si="4"/>
        <v>75443.48</v>
      </c>
      <c r="I33">
        <v>2050</v>
      </c>
      <c r="J33" s="33">
        <v>253</v>
      </c>
      <c r="K33">
        <v>340</v>
      </c>
      <c r="L33">
        <f t="shared" si="10"/>
        <v>340</v>
      </c>
      <c r="M33">
        <v>120</v>
      </c>
      <c r="N33" s="33">
        <f t="shared" si="8"/>
        <v>253</v>
      </c>
      <c r="O33" s="33">
        <f t="shared" si="9"/>
        <v>272</v>
      </c>
      <c r="Q33">
        <v>2050</v>
      </c>
      <c r="R33" s="33">
        <v>-72.499000000006049</v>
      </c>
      <c r="S33">
        <v>-132.15</v>
      </c>
      <c r="T33">
        <f t="shared" si="5"/>
        <v>-132.15</v>
      </c>
      <c r="U33">
        <v>-209.429</v>
      </c>
      <c r="V33">
        <f t="shared" si="6"/>
        <v>-132.15</v>
      </c>
      <c r="W33">
        <f t="shared" si="7"/>
        <v>-132.15</v>
      </c>
      <c r="Y33">
        <v>2050</v>
      </c>
      <c r="Z33" s="33">
        <f>'[1]2022-based'!Q57</f>
        <v>75443.361000000019</v>
      </c>
      <c r="AA33" s="33">
        <f>'[1]2022-based'!B57</f>
        <v>77201.483000000007</v>
      </c>
      <c r="AB33" s="33">
        <f>'[1]2021-based'!Q57</f>
        <v>76167.383999999991</v>
      </c>
      <c r="AC33" s="33">
        <f>'[1]2021-based'!D57</f>
        <v>77577.467000000092</v>
      </c>
      <c r="AE33">
        <v>2050</v>
      </c>
      <c r="AF33" s="33">
        <f>'[1]2022-based'!R57</f>
        <v>48370.682161941855</v>
      </c>
      <c r="AG33" s="33">
        <f>'[1]2022-based'!C57</f>
        <v>50136.778999999995</v>
      </c>
      <c r="AH33" s="33">
        <f>'[1]2021-based'!R57</f>
        <v>48593.633969616647</v>
      </c>
      <c r="AI33" s="33">
        <f>'[1]2021-based'!E57</f>
        <v>49763.14</v>
      </c>
    </row>
    <row r="34" spans="1:35" x14ac:dyDescent="0.2">
      <c r="A34">
        <v>2051</v>
      </c>
      <c r="B34" s="33">
        <v>76340.092999999993</v>
      </c>
      <c r="C34" s="33">
        <v>77399.645000000004</v>
      </c>
      <c r="D34" s="33">
        <f t="shared" si="2"/>
        <v>76606.133000000016</v>
      </c>
      <c r="E34" s="33">
        <v>70505.698000000004</v>
      </c>
      <c r="F34" s="33">
        <f t="shared" si="3"/>
        <v>74969.733000000007</v>
      </c>
      <c r="G34" s="33">
        <f t="shared" si="4"/>
        <v>75573.633000000002</v>
      </c>
      <c r="I34">
        <v>2051</v>
      </c>
      <c r="J34" s="33">
        <v>253</v>
      </c>
      <c r="K34">
        <v>340</v>
      </c>
      <c r="L34">
        <f t="shared" si="10"/>
        <v>340</v>
      </c>
      <c r="M34">
        <v>120</v>
      </c>
      <c r="N34" s="33">
        <f t="shared" si="8"/>
        <v>253</v>
      </c>
      <c r="O34" s="33">
        <f t="shared" si="9"/>
        <v>272</v>
      </c>
      <c r="Q34">
        <v>2051</v>
      </c>
      <c r="R34" s="33">
        <v>-80.290999999992778</v>
      </c>
      <c r="S34">
        <v>-141.84700000000001</v>
      </c>
      <c r="T34">
        <f t="shared" si="5"/>
        <v>-141.84700000000001</v>
      </c>
      <c r="U34">
        <v>-219.798</v>
      </c>
      <c r="V34">
        <f t="shared" si="6"/>
        <v>-141.84700000000001</v>
      </c>
      <c r="W34">
        <f t="shared" si="7"/>
        <v>-141.84700000000001</v>
      </c>
      <c r="Y34">
        <v>2051</v>
      </c>
      <c r="Z34" s="33">
        <f>'[1]2022-based'!Q58</f>
        <v>75573.523000000016</v>
      </c>
      <c r="AA34" s="33">
        <f>'[1]2022-based'!B58</f>
        <v>77399.645000000004</v>
      </c>
      <c r="AB34" s="33">
        <f>'[1]2021-based'!Q58</f>
        <v>76340.092999999993</v>
      </c>
      <c r="AC34" s="33">
        <f>'[1]2021-based'!D58</f>
        <v>77812.181000000099</v>
      </c>
      <c r="AE34">
        <v>2051</v>
      </c>
      <c r="AF34" s="33">
        <f>'[1]2022-based'!R58</f>
        <v>48394.392332324343</v>
      </c>
      <c r="AG34" s="33">
        <f>'[1]2022-based'!C58</f>
        <v>50217.145999999993</v>
      </c>
      <c r="AH34" s="33">
        <f>'[1]2021-based'!R58</f>
        <v>48645.648279500623</v>
      </c>
      <c r="AI34" s="33">
        <f>'[1]2021-based'!E58</f>
        <v>49867.081000000006</v>
      </c>
    </row>
    <row r="35" spans="1:35" x14ac:dyDescent="0.2">
      <c r="A35">
        <v>2052</v>
      </c>
      <c r="B35" s="33">
        <v>76505.25499999999</v>
      </c>
      <c r="C35" s="33">
        <v>77588.048999999999</v>
      </c>
      <c r="D35" s="33">
        <f t="shared" si="2"/>
        <v>76794.549000000014</v>
      </c>
      <c r="E35" s="33">
        <v>70395.486999999994</v>
      </c>
      <c r="F35" s="33">
        <f t="shared" si="3"/>
        <v>75071.149000000005</v>
      </c>
      <c r="G35" s="33">
        <f t="shared" si="4"/>
        <v>75694.048999999999</v>
      </c>
      <c r="I35">
        <v>2052</v>
      </c>
      <c r="J35" s="33">
        <v>253</v>
      </c>
      <c r="K35">
        <v>340</v>
      </c>
      <c r="L35">
        <f t="shared" si="10"/>
        <v>340</v>
      </c>
      <c r="M35">
        <v>120</v>
      </c>
      <c r="N35" s="33">
        <f t="shared" si="8"/>
        <v>253</v>
      </c>
      <c r="O35" s="33">
        <f t="shared" si="9"/>
        <v>272</v>
      </c>
      <c r="Q35">
        <v>2052</v>
      </c>
      <c r="R35" s="33">
        <v>-87.837999999998715</v>
      </c>
      <c r="S35">
        <v>-151.584</v>
      </c>
      <c r="T35">
        <f t="shared" si="5"/>
        <v>-151.584</v>
      </c>
      <c r="U35">
        <v>-230.208</v>
      </c>
      <c r="V35">
        <f t="shared" si="6"/>
        <v>-151.584</v>
      </c>
      <c r="W35">
        <f t="shared" si="7"/>
        <v>-151.584</v>
      </c>
      <c r="Y35">
        <v>2052</v>
      </c>
      <c r="Z35" s="33">
        <f>'[1]2022-based'!Q59</f>
        <v>75693.927000000011</v>
      </c>
      <c r="AA35" s="33">
        <f>'[1]2022-based'!B59</f>
        <v>77588.048999999999</v>
      </c>
      <c r="AB35" s="33">
        <f>'[1]2021-based'!Q59</f>
        <v>76505.25499999999</v>
      </c>
      <c r="AC35" s="33">
        <f>'[1]2021-based'!D59</f>
        <v>78039.3480000001</v>
      </c>
      <c r="AE35">
        <v>2052</v>
      </c>
      <c r="AF35" s="33">
        <f>'[1]2022-based'!R59</f>
        <v>48415.722502706842</v>
      </c>
      <c r="AG35" s="33">
        <f>'[1]2022-based'!C59</f>
        <v>50295.133000000002</v>
      </c>
      <c r="AH35" s="33">
        <f>'[1]2021-based'!R59</f>
        <v>48696.219589384586</v>
      </c>
      <c r="AI35" s="33">
        <f>'[1]2021-based'!E59</f>
        <v>49969.578999999998</v>
      </c>
    </row>
    <row r="36" spans="1:35" x14ac:dyDescent="0.2">
      <c r="A36">
        <v>2053</v>
      </c>
      <c r="B36" s="33">
        <v>76663.195999999996</v>
      </c>
      <c r="C36" s="33">
        <v>77766.710000000006</v>
      </c>
      <c r="D36" s="33">
        <f t="shared" si="2"/>
        <v>76973.212000000014</v>
      </c>
      <c r="E36" s="33">
        <v>70274.803</v>
      </c>
      <c r="F36" s="33">
        <f t="shared" si="3"/>
        <v>75162.812000000005</v>
      </c>
      <c r="G36" s="33">
        <f t="shared" si="4"/>
        <v>75804.712</v>
      </c>
      <c r="I36">
        <v>2053</v>
      </c>
      <c r="J36" s="33">
        <v>253</v>
      </c>
      <c r="K36">
        <v>340</v>
      </c>
      <c r="L36">
        <f t="shared" si="10"/>
        <v>340</v>
      </c>
      <c r="M36">
        <v>120</v>
      </c>
      <c r="N36" s="33">
        <f t="shared" si="8"/>
        <v>253</v>
      </c>
      <c r="O36" s="33">
        <f t="shared" si="9"/>
        <v>272</v>
      </c>
      <c r="Q36">
        <v>2053</v>
      </c>
      <c r="R36" s="33">
        <v>-95.058999999989169</v>
      </c>
      <c r="S36">
        <v>-161.33699999999999</v>
      </c>
      <c r="T36">
        <f t="shared" si="5"/>
        <v>-161.33699999999999</v>
      </c>
      <c r="U36">
        <v>-240.684</v>
      </c>
      <c r="V36">
        <f t="shared" si="6"/>
        <v>-161.33699999999999</v>
      </c>
      <c r="W36">
        <f t="shared" si="7"/>
        <v>-161.33699999999999</v>
      </c>
      <c r="Y36">
        <v>2053</v>
      </c>
      <c r="Z36" s="33">
        <f>'[1]2022-based'!Q60</f>
        <v>75804.587999999989</v>
      </c>
      <c r="AA36" s="33">
        <f>'[1]2022-based'!B60</f>
        <v>77766.709999999992</v>
      </c>
      <c r="AB36" s="33">
        <f>'[1]2021-based'!Q60</f>
        <v>76663.195999999996</v>
      </c>
      <c r="AC36" s="33">
        <f>'[1]2021-based'!D60</f>
        <v>78259.294000000111</v>
      </c>
      <c r="AE36">
        <v>2053</v>
      </c>
      <c r="AF36" s="33">
        <f>'[1]2022-based'!R60</f>
        <v>48408.04267308933</v>
      </c>
      <c r="AG36" s="33">
        <f>'[1]2022-based'!C60</f>
        <v>50344.11</v>
      </c>
      <c r="AH36" s="33">
        <f>'[1]2021-based'!R60</f>
        <v>48719.27889926856</v>
      </c>
      <c r="AI36" s="33">
        <f>'[1]2021-based'!E60</f>
        <v>50044.565000000002</v>
      </c>
    </row>
    <row r="37" spans="1:35" x14ac:dyDescent="0.2">
      <c r="A37">
        <v>2054</v>
      </c>
      <c r="B37" s="33">
        <v>76814.554000000004</v>
      </c>
      <c r="C37" s="33">
        <v>77935.834000000003</v>
      </c>
      <c r="D37" s="33">
        <f t="shared" si="2"/>
        <v>77142.342000000019</v>
      </c>
      <c r="E37" s="33">
        <v>70143.804999999993</v>
      </c>
      <c r="F37" s="33">
        <f t="shared" si="3"/>
        <v>75244.94200000001</v>
      </c>
      <c r="G37" s="33">
        <f t="shared" si="4"/>
        <v>75905.842000000004</v>
      </c>
      <c r="I37">
        <v>2054</v>
      </c>
      <c r="J37" s="33">
        <v>253</v>
      </c>
      <c r="K37">
        <v>340</v>
      </c>
      <c r="L37">
        <f t="shared" si="10"/>
        <v>340</v>
      </c>
      <c r="M37">
        <v>120</v>
      </c>
      <c r="N37" s="33">
        <f t="shared" si="8"/>
        <v>253</v>
      </c>
      <c r="O37" s="33">
        <f t="shared" si="9"/>
        <v>272</v>
      </c>
      <c r="Q37">
        <v>2054</v>
      </c>
      <c r="R37" s="33">
        <v>-101.64199999998789</v>
      </c>
      <c r="S37">
        <v>-170.87</v>
      </c>
      <c r="T37">
        <f t="shared" si="5"/>
        <v>-170.87</v>
      </c>
      <c r="U37">
        <v>-250.98599999999999</v>
      </c>
      <c r="V37">
        <f t="shared" si="6"/>
        <v>-170.87</v>
      </c>
      <c r="W37">
        <f t="shared" si="7"/>
        <v>-170.87</v>
      </c>
      <c r="Y37">
        <v>2054</v>
      </c>
      <c r="Z37" s="33">
        <f>'[1]2022-based'!Q61</f>
        <v>75905.712</v>
      </c>
      <c r="AA37" s="33">
        <f>'[1]2022-based'!B61</f>
        <v>77935.834000000003</v>
      </c>
      <c r="AB37" s="33">
        <f>'[1]2021-based'!Q61</f>
        <v>76814.554000000004</v>
      </c>
      <c r="AC37" s="33">
        <f>'[1]2021-based'!D61</f>
        <v>78472.657000000123</v>
      </c>
      <c r="AE37">
        <v>2054</v>
      </c>
      <c r="AF37" s="33">
        <f>'[1]2022-based'!R61</f>
        <v>48393.246843471825</v>
      </c>
      <c r="AG37" s="33">
        <f>'[1]2022-based'!C61</f>
        <v>50385.971000000005</v>
      </c>
      <c r="AH37" s="33">
        <f>'[1]2021-based'!R61</f>
        <v>48736.911209152524</v>
      </c>
      <c r="AI37" s="33">
        <f>'[1]2021-based'!E61</f>
        <v>50114.123999999996</v>
      </c>
    </row>
    <row r="38" spans="1:35" x14ac:dyDescent="0.2">
      <c r="A38">
        <v>2055</v>
      </c>
      <c r="B38" s="33">
        <v>76960.345000000001</v>
      </c>
      <c r="C38" s="33">
        <v>78096.133000000002</v>
      </c>
      <c r="D38" s="33">
        <f t="shared" si="2"/>
        <v>77302.651000000013</v>
      </c>
      <c r="E38" s="33">
        <v>70003.176000000007</v>
      </c>
      <c r="F38" s="33">
        <f t="shared" si="3"/>
        <v>75318.251000000004</v>
      </c>
      <c r="G38" s="33">
        <f t="shared" si="4"/>
        <v>75998.150999999998</v>
      </c>
      <c r="I38">
        <v>2055</v>
      </c>
      <c r="J38" s="33">
        <v>253</v>
      </c>
      <c r="K38">
        <v>340</v>
      </c>
      <c r="L38">
        <f t="shared" si="10"/>
        <v>340</v>
      </c>
      <c r="M38">
        <v>120</v>
      </c>
      <c r="N38" s="33">
        <f t="shared" si="8"/>
        <v>253</v>
      </c>
      <c r="O38" s="33">
        <f t="shared" si="9"/>
        <v>272</v>
      </c>
      <c r="Q38">
        <v>2055</v>
      </c>
      <c r="R38" s="33">
        <v>-107.2089999999979</v>
      </c>
      <c r="S38">
        <v>-179.691</v>
      </c>
      <c r="T38">
        <f t="shared" si="5"/>
        <v>-179.691</v>
      </c>
      <c r="U38">
        <v>-260.62299999999999</v>
      </c>
      <c r="V38">
        <f t="shared" si="6"/>
        <v>-179.691</v>
      </c>
      <c r="W38">
        <f t="shared" si="7"/>
        <v>-179.691</v>
      </c>
      <c r="Y38">
        <v>2055</v>
      </c>
      <c r="Z38" s="33">
        <f>'[1]2022-based'!Q62</f>
        <v>75998.010999999999</v>
      </c>
      <c r="AA38" s="33">
        <f>'[1]2022-based'!B62</f>
        <v>78096.133000000002</v>
      </c>
      <c r="AB38" s="33">
        <f>'[1]2021-based'!Q62</f>
        <v>76960.345000000001</v>
      </c>
      <c r="AC38" s="33">
        <f>'[1]2021-based'!D62</f>
        <v>78680.453000000125</v>
      </c>
      <c r="AE38">
        <v>2055</v>
      </c>
      <c r="AF38" s="33">
        <f>'[1]2022-based'!R62</f>
        <v>48367.980013854314</v>
      </c>
      <c r="AG38" s="33">
        <f>'[1]2022-based'!C62</f>
        <v>50417.361000000004</v>
      </c>
      <c r="AH38" s="33">
        <f>'[1]2021-based'!R62</f>
        <v>48744.977519036496</v>
      </c>
      <c r="AI38" s="33">
        <f>'[1]2021-based'!E62</f>
        <v>50174.116999999998</v>
      </c>
    </row>
    <row r="39" spans="1:35" x14ac:dyDescent="0.2">
      <c r="A39">
        <v>2056</v>
      </c>
      <c r="B39" s="33">
        <v>77101.627999999997</v>
      </c>
      <c r="C39" s="33">
        <v>78248.758000000002</v>
      </c>
      <c r="D39" s="33">
        <f t="shared" si="2"/>
        <v>77455.270000000019</v>
      </c>
      <c r="E39" s="33">
        <v>69853.971999999994</v>
      </c>
      <c r="F39" s="33">
        <f t="shared" si="3"/>
        <v>75383.87000000001</v>
      </c>
      <c r="G39" s="33">
        <f t="shared" si="4"/>
        <v>76082.77</v>
      </c>
      <c r="I39">
        <v>2056</v>
      </c>
      <c r="J39" s="33">
        <v>253</v>
      </c>
      <c r="K39">
        <v>340</v>
      </c>
      <c r="L39">
        <f t="shared" si="10"/>
        <v>340</v>
      </c>
      <c r="M39">
        <v>120</v>
      </c>
      <c r="N39" s="33">
        <f t="shared" si="8"/>
        <v>253</v>
      </c>
      <c r="O39" s="33">
        <f t="shared" si="9"/>
        <v>272</v>
      </c>
      <c r="Q39">
        <v>2056</v>
      </c>
      <c r="R39" s="33">
        <v>-111.71699999999953</v>
      </c>
      <c r="S39">
        <v>-187.381</v>
      </c>
      <c r="T39">
        <f t="shared" si="5"/>
        <v>-187.381</v>
      </c>
      <c r="U39">
        <v>-269.20400000000001</v>
      </c>
      <c r="V39">
        <f t="shared" si="6"/>
        <v>-187.381</v>
      </c>
      <c r="W39">
        <f t="shared" si="7"/>
        <v>-187.381</v>
      </c>
      <c r="Y39">
        <v>2056</v>
      </c>
      <c r="Z39" s="33">
        <f>'[1]2022-based'!Q63</f>
        <v>76082.635999999999</v>
      </c>
      <c r="AA39" s="33">
        <f>'[1]2022-based'!B63</f>
        <v>78248.758000000002</v>
      </c>
      <c r="AB39" s="33">
        <f>'[1]2021-based'!Q63</f>
        <v>77101.627999999997</v>
      </c>
      <c r="AC39" s="33">
        <f>'[1]2021-based'!D63</f>
        <v>78883.741000000125</v>
      </c>
      <c r="AE39">
        <v>2056</v>
      </c>
      <c r="AF39" s="33">
        <f>'[1]2022-based'!R63</f>
        <v>48317.418184236791</v>
      </c>
      <c r="AG39" s="33">
        <f>'[1]2022-based'!C63</f>
        <v>50423.455999999998</v>
      </c>
      <c r="AH39" s="33">
        <f>'[1]2021-based'!R63</f>
        <v>48729.947828920464</v>
      </c>
      <c r="AI39" s="33">
        <f>'[1]2021-based'!E63</f>
        <v>50211.013999999996</v>
      </c>
    </row>
    <row r="40" spans="1:35" x14ac:dyDescent="0.2">
      <c r="A40">
        <v>2057</v>
      </c>
      <c r="B40" s="33">
        <v>77239.583999999973</v>
      </c>
      <c r="C40" s="33">
        <v>78394.895999999993</v>
      </c>
      <c r="D40" s="33">
        <f t="shared" si="2"/>
        <v>77601.409000000014</v>
      </c>
      <c r="E40" s="33">
        <v>69697.316999999995</v>
      </c>
      <c r="F40" s="33">
        <f t="shared" si="3"/>
        <v>75443.009000000005</v>
      </c>
      <c r="G40" s="33">
        <f t="shared" si="4"/>
        <v>76160.909</v>
      </c>
      <c r="I40">
        <v>2057</v>
      </c>
      <c r="J40" s="33">
        <v>253</v>
      </c>
      <c r="K40">
        <v>340</v>
      </c>
      <c r="L40">
        <f t="shared" si="10"/>
        <v>340</v>
      </c>
      <c r="M40">
        <v>120</v>
      </c>
      <c r="N40" s="33">
        <f t="shared" si="8"/>
        <v>253</v>
      </c>
      <c r="O40" s="33">
        <f t="shared" si="9"/>
        <v>272</v>
      </c>
      <c r="Q40">
        <v>2057</v>
      </c>
      <c r="R40" s="33">
        <v>-115.04400000001885</v>
      </c>
      <c r="S40">
        <v>-193.86099999999999</v>
      </c>
      <c r="T40">
        <f t="shared" si="5"/>
        <v>-193.86099999999999</v>
      </c>
      <c r="U40">
        <v>-276.65100000000001</v>
      </c>
      <c r="V40">
        <f t="shared" si="6"/>
        <v>-193.86099999999999</v>
      </c>
      <c r="W40">
        <f t="shared" si="7"/>
        <v>-193.86099999999999</v>
      </c>
      <c r="Y40">
        <v>2057</v>
      </c>
      <c r="Z40" s="33">
        <f>'[1]2022-based'!Q64</f>
        <v>76160.774000000005</v>
      </c>
      <c r="AA40" s="33">
        <f>'[1]2022-based'!B64</f>
        <v>78394.896000000008</v>
      </c>
      <c r="AB40" s="33">
        <f>'[1]2021-based'!Q64</f>
        <v>77239.583999999973</v>
      </c>
      <c r="AC40" s="33">
        <f>'[1]2021-based'!D64</f>
        <v>79083.702000000107</v>
      </c>
      <c r="AE40">
        <v>2057</v>
      </c>
      <c r="AF40" s="33">
        <f>'[1]2022-based'!R64</f>
        <v>48270.877354619282</v>
      </c>
      <c r="AG40" s="33">
        <f>'[1]2022-based'!C64</f>
        <v>50433.572</v>
      </c>
      <c r="AH40" s="33">
        <f>'[1]2021-based'!R64</f>
        <v>48719.333138804439</v>
      </c>
      <c r="AI40" s="33">
        <f>'[1]2021-based'!E64</f>
        <v>50252.326000000001</v>
      </c>
    </row>
    <row r="41" spans="1:35" x14ac:dyDescent="0.2">
      <c r="A41">
        <v>2058</v>
      </c>
      <c r="B41" s="33">
        <v>77375.026999999973</v>
      </c>
      <c r="C41" s="33">
        <v>78535.61</v>
      </c>
      <c r="D41" s="33">
        <f t="shared" si="2"/>
        <v>77742.118000000017</v>
      </c>
      <c r="E41" s="33">
        <v>69534.263999999996</v>
      </c>
      <c r="F41" s="33">
        <f t="shared" si="3"/>
        <v>75496.718000000008</v>
      </c>
      <c r="G41" s="33">
        <f t="shared" si="4"/>
        <v>76233.618000000002</v>
      </c>
      <c r="I41">
        <v>2058</v>
      </c>
      <c r="J41" s="33">
        <v>253</v>
      </c>
      <c r="K41">
        <v>340</v>
      </c>
      <c r="L41">
        <f t="shared" si="10"/>
        <v>340</v>
      </c>
      <c r="M41">
        <v>120</v>
      </c>
      <c r="N41" s="33">
        <f t="shared" si="8"/>
        <v>253</v>
      </c>
      <c r="O41" s="33">
        <f t="shared" si="9"/>
        <v>272</v>
      </c>
      <c r="Q41">
        <v>2058</v>
      </c>
      <c r="R41" s="33">
        <v>-117.55699999999604</v>
      </c>
      <c r="S41">
        <v>-199.291</v>
      </c>
      <c r="T41">
        <f t="shared" si="5"/>
        <v>-199.291</v>
      </c>
      <c r="U41">
        <v>-283.04899999999998</v>
      </c>
      <c r="V41">
        <f t="shared" si="6"/>
        <v>-199.291</v>
      </c>
      <c r="W41">
        <f t="shared" si="7"/>
        <v>-199.291</v>
      </c>
      <c r="Y41">
        <v>2058</v>
      </c>
      <c r="Z41" s="33">
        <f>'[1]2022-based'!Q65</f>
        <v>76233.488000000012</v>
      </c>
      <c r="AA41" s="33">
        <f>'[1]2022-based'!B65</f>
        <v>78535.61</v>
      </c>
      <c r="AB41" s="33">
        <f>'[1]2021-based'!Q65</f>
        <v>77375.026999999973</v>
      </c>
      <c r="AC41" s="33">
        <f>'[1]2021-based'!D65</f>
        <v>79281.150000000111</v>
      </c>
      <c r="AE41">
        <v>2058</v>
      </c>
      <c r="AF41" s="33">
        <f>'[1]2022-based'!R65</f>
        <v>48212.038525001764</v>
      </c>
      <c r="AG41" s="33">
        <f>'[1]2022-based'!C65</f>
        <v>50431.39</v>
      </c>
      <c r="AH41" s="33">
        <f>'[1]2021-based'!R65</f>
        <v>48696.308448688411</v>
      </c>
      <c r="AI41" s="33">
        <f>'[1]2021-based'!E65</f>
        <v>50281.228000000003</v>
      </c>
    </row>
    <row r="42" spans="1:35" x14ac:dyDescent="0.2">
      <c r="A42">
        <v>2059</v>
      </c>
      <c r="B42" s="33">
        <v>77508.951999999961</v>
      </c>
      <c r="C42" s="33">
        <v>78672.035999999993</v>
      </c>
      <c r="D42" s="33">
        <f t="shared" si="2"/>
        <v>77878.554000000018</v>
      </c>
      <c r="E42" s="33">
        <v>69365.808000000005</v>
      </c>
      <c r="F42" s="33">
        <f t="shared" si="3"/>
        <v>75546.15400000001</v>
      </c>
      <c r="G42" s="33">
        <f t="shared" si="4"/>
        <v>76302.054000000004</v>
      </c>
      <c r="I42">
        <v>2059</v>
      </c>
      <c r="J42" s="33">
        <v>253</v>
      </c>
      <c r="K42">
        <v>340</v>
      </c>
      <c r="L42">
        <f t="shared" si="10"/>
        <v>340</v>
      </c>
      <c r="M42">
        <v>120</v>
      </c>
      <c r="N42" s="33">
        <f t="shared" si="8"/>
        <v>253</v>
      </c>
      <c r="O42" s="33">
        <f t="shared" si="9"/>
        <v>272</v>
      </c>
      <c r="Q42">
        <v>2059</v>
      </c>
      <c r="R42" s="33">
        <v>-119.07500000000698</v>
      </c>
      <c r="S42">
        <v>-203.56399999999999</v>
      </c>
      <c r="T42">
        <f t="shared" si="5"/>
        <v>-203.56399999999999</v>
      </c>
      <c r="U42">
        <v>-288.45299999999997</v>
      </c>
      <c r="V42">
        <f t="shared" si="6"/>
        <v>-203.56399999999999</v>
      </c>
      <c r="W42">
        <f t="shared" si="7"/>
        <v>-203.56399999999999</v>
      </c>
      <c r="Y42">
        <v>2059</v>
      </c>
      <c r="Z42" s="33">
        <f>'[1]2022-based'!Q66</f>
        <v>76301.914000000004</v>
      </c>
      <c r="AA42" s="33">
        <f>'[1]2022-based'!B66</f>
        <v>78672.035999999993</v>
      </c>
      <c r="AB42" s="33">
        <f>'[1]2021-based'!Q66</f>
        <v>77508.951999999961</v>
      </c>
      <c r="AC42" s="33">
        <f>'[1]2021-based'!D66</f>
        <v>79477.080000000104</v>
      </c>
      <c r="AE42">
        <v>2059</v>
      </c>
      <c r="AF42" s="33">
        <f>'[1]2022-based'!R66</f>
        <v>48140.836695384256</v>
      </c>
      <c r="AG42" s="33">
        <f>'[1]2022-based'!C66</f>
        <v>50416.845000000001</v>
      </c>
      <c r="AH42" s="33">
        <f>'[1]2021-based'!R66</f>
        <v>48661.887758572375</v>
      </c>
      <c r="AI42" s="33">
        <f>'[1]2021-based'!E66</f>
        <v>50298.733999999997</v>
      </c>
    </row>
    <row r="43" spans="1:35" x14ac:dyDescent="0.2">
      <c r="A43">
        <v>2060</v>
      </c>
      <c r="B43" s="33">
        <v>77642.357999999964</v>
      </c>
      <c r="C43" s="33">
        <v>78805.316999999995</v>
      </c>
      <c r="D43" s="33">
        <f t="shared" si="2"/>
        <v>78011.837000000014</v>
      </c>
      <c r="E43" s="33">
        <v>69193.058000000005</v>
      </c>
      <c r="F43" s="33">
        <f t="shared" si="3"/>
        <v>75592.437000000005</v>
      </c>
      <c r="G43" s="33">
        <f t="shared" si="4"/>
        <v>76367.337</v>
      </c>
      <c r="I43">
        <v>2060</v>
      </c>
      <c r="J43" s="33">
        <v>253</v>
      </c>
      <c r="K43">
        <v>340</v>
      </c>
      <c r="L43">
        <f t="shared" si="10"/>
        <v>340</v>
      </c>
      <c r="M43">
        <v>120</v>
      </c>
      <c r="N43" s="33">
        <f t="shared" si="8"/>
        <v>253</v>
      </c>
      <c r="O43" s="33">
        <f t="shared" si="9"/>
        <v>272</v>
      </c>
      <c r="Q43">
        <v>2060</v>
      </c>
      <c r="R43" s="33">
        <v>-119.59399999999266</v>
      </c>
      <c r="S43">
        <v>-206.71700000000001</v>
      </c>
      <c r="T43">
        <f t="shared" si="5"/>
        <v>-206.71700000000001</v>
      </c>
      <c r="U43">
        <v>-292.75799999999998</v>
      </c>
      <c r="V43">
        <f t="shared" si="6"/>
        <v>-206.71700000000001</v>
      </c>
      <c r="W43">
        <f t="shared" si="7"/>
        <v>-206.71700000000001</v>
      </c>
      <c r="Y43">
        <v>2060</v>
      </c>
      <c r="Z43" s="33">
        <f>'[1]2022-based'!Q67</f>
        <v>76367.195000000036</v>
      </c>
      <c r="AA43" s="33">
        <f>'[1]2022-based'!B67</f>
        <v>78805.31700000001</v>
      </c>
      <c r="AB43" s="33">
        <f>'[1]2021-based'!Q67</f>
        <v>77642.357999999964</v>
      </c>
      <c r="AC43" s="33">
        <f>'[1]2021-based'!D67</f>
        <v>79672.491000000111</v>
      </c>
      <c r="AE43">
        <v>2060</v>
      </c>
      <c r="AF43" s="33">
        <f>'[1]2022-based'!R67</f>
        <v>48070.232865766746</v>
      </c>
      <c r="AG43" s="33">
        <f>'[1]2022-based'!C67</f>
        <v>50402.898000000001</v>
      </c>
      <c r="AH43" s="33">
        <f>'[1]2021-based'!R67</f>
        <v>48629.518068456346</v>
      </c>
      <c r="AI43" s="33">
        <f>'[1]2021-based'!E67</f>
        <v>50318.290999999997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3B78-7E6E-4C72-A6A7-6122E5A12474}">
  <dimension ref="A1:G24"/>
  <sheetViews>
    <sheetView workbookViewId="0">
      <selection activeCell="E24" sqref="E24"/>
    </sheetView>
  </sheetViews>
  <sheetFormatPr defaultRowHeight="12.75" x14ac:dyDescent="0.2"/>
  <cols>
    <col min="1" max="16384" width="8.88671875" style="31"/>
  </cols>
  <sheetData>
    <row r="1" spans="1:7" x14ac:dyDescent="0.2">
      <c r="A1" s="31" t="s">
        <v>148</v>
      </c>
      <c r="B1" s="31" t="s">
        <v>149</v>
      </c>
    </row>
    <row r="2" spans="1:7" x14ac:dyDescent="0.2">
      <c r="A2" s="31" t="s">
        <v>150</v>
      </c>
      <c r="B2" s="31" t="s">
        <v>149</v>
      </c>
    </row>
    <row r="3" spans="1:7" x14ac:dyDescent="0.2">
      <c r="A3" s="31" t="s">
        <v>149</v>
      </c>
      <c r="B3" s="31" t="s">
        <v>149</v>
      </c>
    </row>
    <row r="4" spans="1:7" x14ac:dyDescent="0.2">
      <c r="A4" s="31" t="s">
        <v>151</v>
      </c>
      <c r="B4" s="31" t="s">
        <v>152</v>
      </c>
    </row>
    <row r="5" spans="1:7" x14ac:dyDescent="0.2">
      <c r="A5" s="31" t="s">
        <v>153</v>
      </c>
      <c r="B5" s="31" t="s">
        <v>154</v>
      </c>
    </row>
    <row r="6" spans="1:7" x14ac:dyDescent="0.2">
      <c r="A6" s="31" t="s">
        <v>149</v>
      </c>
      <c r="B6" s="31" t="s">
        <v>149</v>
      </c>
    </row>
    <row r="7" spans="1:7" x14ac:dyDescent="0.2">
      <c r="A7" s="31" t="s">
        <v>155</v>
      </c>
      <c r="B7" s="31" t="s">
        <v>156</v>
      </c>
      <c r="C7" s="31" t="s">
        <v>157</v>
      </c>
      <c r="D7" s="31" t="s">
        <v>158</v>
      </c>
      <c r="E7" s="31" t="s">
        <v>159</v>
      </c>
      <c r="F7" s="31" t="s">
        <v>160</v>
      </c>
      <c r="G7" s="31" t="s">
        <v>161</v>
      </c>
    </row>
    <row r="8" spans="1:7" x14ac:dyDescent="0.2">
      <c r="A8" s="31" t="s">
        <v>162</v>
      </c>
      <c r="B8" s="31" t="s">
        <v>163</v>
      </c>
      <c r="C8" s="31" t="s">
        <v>149</v>
      </c>
      <c r="D8" s="31" t="s">
        <v>149</v>
      </c>
      <c r="E8" s="31" t="s">
        <v>149</v>
      </c>
      <c r="F8" s="31" t="s">
        <v>149</v>
      </c>
      <c r="G8" s="31" t="s">
        <v>149</v>
      </c>
    </row>
    <row r="9" spans="1:7" x14ac:dyDescent="0.2">
      <c r="A9" s="31" t="s">
        <v>164</v>
      </c>
      <c r="B9" s="32">
        <v>297.5</v>
      </c>
      <c r="C9" s="31" t="s">
        <v>149</v>
      </c>
      <c r="D9" s="31" t="s">
        <v>149</v>
      </c>
      <c r="E9" s="31" t="s">
        <v>149</v>
      </c>
      <c r="F9" s="31" t="s">
        <v>149</v>
      </c>
      <c r="G9" s="31" t="s">
        <v>149</v>
      </c>
    </row>
    <row r="10" spans="1:7" x14ac:dyDescent="0.2">
      <c r="A10" s="31" t="s">
        <v>165</v>
      </c>
      <c r="B10" s="32">
        <v>328.2</v>
      </c>
      <c r="C10" s="31" t="s">
        <v>149</v>
      </c>
      <c r="D10" s="31" t="s">
        <v>149</v>
      </c>
      <c r="E10" s="31" t="s">
        <v>149</v>
      </c>
      <c r="F10" s="31" t="s">
        <v>149</v>
      </c>
      <c r="G10" s="31" t="s">
        <v>149</v>
      </c>
    </row>
    <row r="11" spans="1:7" x14ac:dyDescent="0.2">
      <c r="A11" s="31" t="s">
        <v>166</v>
      </c>
      <c r="B11" s="32">
        <v>204.1</v>
      </c>
      <c r="C11" s="31" t="s">
        <v>149</v>
      </c>
      <c r="D11" s="31" t="s">
        <v>149</v>
      </c>
      <c r="E11" s="31" t="s">
        <v>149</v>
      </c>
      <c r="F11" s="31" t="s">
        <v>149</v>
      </c>
      <c r="G11" s="31" t="s">
        <v>149</v>
      </c>
    </row>
    <row r="12" spans="1:7" x14ac:dyDescent="0.2">
      <c r="A12" s="31" t="s">
        <v>167</v>
      </c>
      <c r="B12" s="32">
        <v>217.6</v>
      </c>
      <c r="C12" s="31" t="s">
        <v>149</v>
      </c>
      <c r="D12" s="31" t="s">
        <v>149</v>
      </c>
      <c r="E12" s="31" t="s">
        <v>149</v>
      </c>
      <c r="F12" s="31" t="s">
        <v>149</v>
      </c>
      <c r="G12" s="31" t="s">
        <v>149</v>
      </c>
    </row>
    <row r="13" spans="1:7" x14ac:dyDescent="0.2">
      <c r="A13" s="31" t="s">
        <v>168</v>
      </c>
      <c r="B13" s="32">
        <v>228.2</v>
      </c>
      <c r="C13" s="31" t="s">
        <v>149</v>
      </c>
      <c r="D13" s="31" t="s">
        <v>149</v>
      </c>
      <c r="E13" s="31" t="s">
        <v>149</v>
      </c>
      <c r="F13" s="31" t="s">
        <v>149</v>
      </c>
      <c r="G13" s="31" t="s">
        <v>149</v>
      </c>
    </row>
    <row r="14" spans="1:7" x14ac:dyDescent="0.2">
      <c r="A14" s="31" t="s">
        <v>169</v>
      </c>
      <c r="B14" s="32">
        <v>101.9</v>
      </c>
      <c r="C14" s="31" t="s">
        <v>149</v>
      </c>
      <c r="D14" s="31" t="s">
        <v>149</v>
      </c>
      <c r="E14" s="31" t="s">
        <v>149</v>
      </c>
      <c r="F14" s="31" t="s">
        <v>149</v>
      </c>
      <c r="G14" s="31" t="s">
        <v>149</v>
      </c>
    </row>
    <row r="15" spans="1:7" x14ac:dyDescent="0.2">
      <c r="A15" s="31" t="s">
        <v>170</v>
      </c>
      <c r="B15" s="31">
        <v>254</v>
      </c>
      <c r="C15" s="31" t="s">
        <v>149</v>
      </c>
      <c r="D15" s="31" t="s">
        <v>149</v>
      </c>
      <c r="E15" s="31" t="s">
        <v>149</v>
      </c>
      <c r="F15" s="31" t="s">
        <v>149</v>
      </c>
      <c r="G15" s="31" t="s">
        <v>149</v>
      </c>
    </row>
    <row r="16" spans="1:7" x14ac:dyDescent="0.2">
      <c r="A16" s="31" t="s">
        <v>128</v>
      </c>
      <c r="B16" s="31">
        <v>634</v>
      </c>
      <c r="C16" s="31" t="s">
        <v>149</v>
      </c>
      <c r="D16" s="31" t="s">
        <v>149</v>
      </c>
      <c r="E16" s="31" t="s">
        <v>149</v>
      </c>
      <c r="F16" s="31" t="s">
        <v>149</v>
      </c>
      <c r="G16" s="31" t="s">
        <v>149</v>
      </c>
    </row>
    <row r="17" spans="1:7" x14ac:dyDescent="0.2">
      <c r="A17" s="31" t="s">
        <v>8</v>
      </c>
      <c r="B17" s="31">
        <v>906</v>
      </c>
      <c r="C17" s="31">
        <v>906</v>
      </c>
      <c r="D17" s="31">
        <v>906</v>
      </c>
      <c r="E17" s="31">
        <v>906</v>
      </c>
      <c r="F17" s="31">
        <v>906</v>
      </c>
      <c r="G17" s="31">
        <v>0</v>
      </c>
    </row>
    <row r="18" spans="1:7" x14ac:dyDescent="0.2">
      <c r="A18" s="31" t="s">
        <v>9</v>
      </c>
      <c r="B18" s="31">
        <v>728</v>
      </c>
      <c r="C18" s="31">
        <v>728</v>
      </c>
      <c r="D18" s="31">
        <v>728</v>
      </c>
      <c r="E18" s="31">
        <v>728</v>
      </c>
      <c r="F18" s="31">
        <v>728</v>
      </c>
      <c r="G18" s="31">
        <v>0</v>
      </c>
    </row>
    <row r="19" spans="1:7" x14ac:dyDescent="0.2">
      <c r="A19" s="31" t="s">
        <v>10</v>
      </c>
      <c r="B19" s="31" t="s">
        <v>149</v>
      </c>
      <c r="C19" s="32">
        <v>630.9</v>
      </c>
      <c r="D19" s="32">
        <v>677.2</v>
      </c>
      <c r="E19" s="32">
        <v>576.1</v>
      </c>
      <c r="F19" s="32">
        <v>350.3</v>
      </c>
      <c r="G19" s="31">
        <v>0</v>
      </c>
    </row>
    <row r="20" spans="1:7" x14ac:dyDescent="0.2">
      <c r="A20" s="31" t="s">
        <v>11</v>
      </c>
      <c r="B20" s="31" t="s">
        <v>149</v>
      </c>
      <c r="C20" s="32">
        <v>533.79999999999995</v>
      </c>
      <c r="D20" s="32">
        <v>626.4</v>
      </c>
      <c r="E20" s="32">
        <v>424.2</v>
      </c>
      <c r="F20" s="32">
        <v>261.89999999999998</v>
      </c>
      <c r="G20" s="31">
        <v>0</v>
      </c>
    </row>
    <row r="21" spans="1:7" x14ac:dyDescent="0.2">
      <c r="A21" s="31" t="s">
        <v>12</v>
      </c>
      <c r="B21" s="31" t="s">
        <v>149</v>
      </c>
      <c r="C21" s="32">
        <v>436.7</v>
      </c>
      <c r="D21" s="32">
        <v>575.6</v>
      </c>
      <c r="E21" s="32">
        <v>272.3</v>
      </c>
      <c r="F21" s="32">
        <v>258.5</v>
      </c>
      <c r="G21" s="31">
        <v>0</v>
      </c>
    </row>
    <row r="22" spans="1:7" x14ac:dyDescent="0.2">
      <c r="A22" s="31" t="s">
        <v>13</v>
      </c>
      <c r="B22" s="31" t="s">
        <v>149</v>
      </c>
      <c r="C22" s="31">
        <v>340</v>
      </c>
      <c r="D22" s="31">
        <v>525</v>
      </c>
      <c r="E22" s="31">
        <v>120</v>
      </c>
      <c r="F22" s="32">
        <v>290.3</v>
      </c>
      <c r="G22" s="31">
        <v>0</v>
      </c>
    </row>
    <row r="23" spans="1:7" x14ac:dyDescent="0.2">
      <c r="A23" s="31" t="s">
        <v>14</v>
      </c>
      <c r="B23" s="31" t="s">
        <v>149</v>
      </c>
      <c r="C23" s="31">
        <v>340</v>
      </c>
      <c r="D23" s="31">
        <v>525</v>
      </c>
      <c r="E23" s="31">
        <v>120</v>
      </c>
      <c r="F23" s="32">
        <v>326.8</v>
      </c>
      <c r="G23" s="31">
        <v>0</v>
      </c>
    </row>
    <row r="24" spans="1:7" x14ac:dyDescent="0.2">
      <c r="A24" s="31" t="s">
        <v>15</v>
      </c>
      <c r="B24" s="31" t="s">
        <v>149</v>
      </c>
      <c r="C24" s="31">
        <v>340</v>
      </c>
      <c r="D24" s="31">
        <v>525</v>
      </c>
      <c r="E24" s="31">
        <v>120</v>
      </c>
      <c r="F24" s="31">
        <v>340</v>
      </c>
      <c r="G24" s="31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E201-E16F-4F3A-BE75-E78CF7639EA2}">
  <dimension ref="A1:CY57"/>
  <sheetViews>
    <sheetView topLeftCell="A2" workbookViewId="0">
      <selection activeCell="C20" sqref="C20"/>
    </sheetView>
  </sheetViews>
  <sheetFormatPr defaultColWidth="7.44140625" defaultRowHeight="12.75" x14ac:dyDescent="0.2"/>
  <cols>
    <col min="1" max="1" width="31.33203125" style="19" customWidth="1"/>
    <col min="2" max="2" width="11.88671875" style="19" customWidth="1"/>
    <col min="3" max="3" width="11.6640625" style="19" customWidth="1"/>
    <col min="4" max="102" width="9.44140625" style="19" customWidth="1"/>
    <col min="103" max="103" width="7.44140625" style="19" customWidth="1"/>
    <col min="104" max="16384" width="7.44140625" style="19"/>
  </cols>
  <sheetData>
    <row r="1" spans="1:103" s="2" customFormat="1" ht="28.7" customHeight="1" x14ac:dyDescent="0.3">
      <c r="A1" s="1" t="s">
        <v>0</v>
      </c>
    </row>
    <row r="2" spans="1:103" s="2" customFormat="1" ht="15.6" customHeight="1" x14ac:dyDescent="0.2">
      <c r="A2" s="3" t="s">
        <v>1</v>
      </c>
    </row>
    <row r="3" spans="1:103" s="2" customFormat="1" ht="15.6" customHeight="1" x14ac:dyDescent="0.2">
      <c r="A3" s="3" t="s">
        <v>2</v>
      </c>
    </row>
    <row r="4" spans="1:103" s="2" customFormat="1" ht="13.7" customHeight="1" x14ac:dyDescent="0.2">
      <c r="A4" s="4" t="s">
        <v>3</v>
      </c>
    </row>
    <row r="5" spans="1:103" s="2" customFormat="1" ht="13.7" customHeight="1" x14ac:dyDescent="0.2">
      <c r="A5" s="4" t="s">
        <v>4</v>
      </c>
    </row>
    <row r="6" spans="1:103" s="2" customFormat="1" ht="28.7" customHeight="1" x14ac:dyDescent="0.25">
      <c r="A6" s="5" t="s">
        <v>5</v>
      </c>
    </row>
    <row r="7" spans="1:103" s="8" customFormat="1" ht="15.6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  <c r="R7" s="7" t="s">
        <v>23</v>
      </c>
      <c r="S7" s="7" t="s">
        <v>24</v>
      </c>
      <c r="T7" s="7" t="s">
        <v>25</v>
      </c>
      <c r="U7" s="7" t="s">
        <v>26</v>
      </c>
      <c r="V7" s="7" t="s">
        <v>27</v>
      </c>
      <c r="W7" s="7" t="s">
        <v>28</v>
      </c>
      <c r="X7" s="7" t="s">
        <v>29</v>
      </c>
      <c r="Y7" s="7" t="s">
        <v>30</v>
      </c>
      <c r="Z7" s="7" t="s">
        <v>31</v>
      </c>
      <c r="AA7" s="7" t="s">
        <v>32</v>
      </c>
      <c r="AB7" s="7" t="s">
        <v>33</v>
      </c>
      <c r="AC7" s="7" t="s">
        <v>34</v>
      </c>
      <c r="AD7" s="7" t="s">
        <v>35</v>
      </c>
      <c r="AE7" s="7" t="s">
        <v>36</v>
      </c>
      <c r="AF7" s="7" t="s">
        <v>37</v>
      </c>
      <c r="AG7" s="7" t="s">
        <v>38</v>
      </c>
      <c r="AH7" s="7" t="s">
        <v>39</v>
      </c>
      <c r="AI7" s="7" t="s">
        <v>40</v>
      </c>
      <c r="AJ7" s="7" t="s">
        <v>41</v>
      </c>
      <c r="AK7" s="7" t="s">
        <v>42</v>
      </c>
      <c r="AL7" s="7" t="s">
        <v>43</v>
      </c>
      <c r="AM7" s="7" t="s">
        <v>44</v>
      </c>
      <c r="AN7" s="7" t="s">
        <v>45</v>
      </c>
      <c r="AO7" s="7" t="s">
        <v>46</v>
      </c>
      <c r="AP7" s="7" t="s">
        <v>47</v>
      </c>
      <c r="AQ7" s="7" t="s">
        <v>48</v>
      </c>
      <c r="AR7" s="7" t="s">
        <v>49</v>
      </c>
      <c r="AS7" s="7" t="s">
        <v>50</v>
      </c>
      <c r="AT7" s="7" t="s">
        <v>51</v>
      </c>
      <c r="AU7" s="7" t="s">
        <v>52</v>
      </c>
      <c r="AV7" s="7" t="s">
        <v>53</v>
      </c>
      <c r="AW7" s="7" t="s">
        <v>54</v>
      </c>
      <c r="AX7" s="7" t="s">
        <v>55</v>
      </c>
      <c r="AY7" s="7" t="s">
        <v>56</v>
      </c>
      <c r="AZ7" s="7" t="s">
        <v>57</v>
      </c>
      <c r="BA7" s="7" t="s">
        <v>58</v>
      </c>
      <c r="BB7" s="7" t="s">
        <v>59</v>
      </c>
      <c r="BC7" s="7" t="s">
        <v>60</v>
      </c>
      <c r="BD7" s="7" t="s">
        <v>61</v>
      </c>
      <c r="BE7" s="7" t="s">
        <v>62</v>
      </c>
      <c r="BF7" s="7" t="s">
        <v>63</v>
      </c>
      <c r="BG7" s="7" t="s">
        <v>64</v>
      </c>
      <c r="BH7" s="7" t="s">
        <v>65</v>
      </c>
      <c r="BI7" s="7" t="s">
        <v>66</v>
      </c>
      <c r="BJ7" s="7" t="s">
        <v>67</v>
      </c>
      <c r="BK7" s="7" t="s">
        <v>68</v>
      </c>
      <c r="BL7" s="7" t="s">
        <v>69</v>
      </c>
      <c r="BM7" s="7" t="s">
        <v>70</v>
      </c>
      <c r="BN7" s="7" t="s">
        <v>71</v>
      </c>
      <c r="BO7" s="7" t="s">
        <v>72</v>
      </c>
      <c r="BP7" s="7" t="s">
        <v>73</v>
      </c>
      <c r="BQ7" s="7" t="s">
        <v>74</v>
      </c>
      <c r="BR7" s="7" t="s">
        <v>75</v>
      </c>
      <c r="BS7" s="7" t="s">
        <v>76</v>
      </c>
      <c r="BT7" s="7" t="s">
        <v>77</v>
      </c>
      <c r="BU7" s="7" t="s">
        <v>78</v>
      </c>
      <c r="BV7" s="7" t="s">
        <v>79</v>
      </c>
      <c r="BW7" s="7" t="s">
        <v>80</v>
      </c>
      <c r="BX7" s="7" t="s">
        <v>81</v>
      </c>
      <c r="BY7" s="7" t="s">
        <v>82</v>
      </c>
      <c r="BZ7" s="7" t="s">
        <v>83</v>
      </c>
      <c r="CA7" s="7" t="s">
        <v>84</v>
      </c>
      <c r="CB7" s="7" t="s">
        <v>85</v>
      </c>
      <c r="CC7" s="7" t="s">
        <v>86</v>
      </c>
      <c r="CD7" s="7" t="s">
        <v>87</v>
      </c>
      <c r="CE7" s="7" t="s">
        <v>88</v>
      </c>
      <c r="CF7" s="7" t="s">
        <v>89</v>
      </c>
      <c r="CG7" s="7" t="s">
        <v>90</v>
      </c>
      <c r="CH7" s="7" t="s">
        <v>91</v>
      </c>
      <c r="CI7" s="7" t="s">
        <v>92</v>
      </c>
      <c r="CJ7" s="7" t="s">
        <v>93</v>
      </c>
      <c r="CK7" s="7" t="s">
        <v>94</v>
      </c>
      <c r="CL7" s="7" t="s">
        <v>95</v>
      </c>
      <c r="CM7" s="7" t="s">
        <v>96</v>
      </c>
      <c r="CN7" s="7" t="s">
        <v>97</v>
      </c>
      <c r="CO7" s="7" t="s">
        <v>98</v>
      </c>
      <c r="CP7" s="7" t="s">
        <v>99</v>
      </c>
      <c r="CQ7" s="7" t="s">
        <v>100</v>
      </c>
      <c r="CR7" s="7" t="s">
        <v>101</v>
      </c>
      <c r="CS7" s="7" t="s">
        <v>102</v>
      </c>
      <c r="CT7" s="7" t="s">
        <v>103</v>
      </c>
      <c r="CU7" s="7" t="s">
        <v>104</v>
      </c>
      <c r="CV7" s="7" t="s">
        <v>105</v>
      </c>
      <c r="CW7" s="7" t="s">
        <v>106</v>
      </c>
      <c r="CX7" s="7" t="s">
        <v>107</v>
      </c>
    </row>
    <row r="8" spans="1:103" s="2" customFormat="1" ht="15" customHeight="1" x14ac:dyDescent="0.2">
      <c r="A8" s="9" t="s">
        <v>108</v>
      </c>
      <c r="B8" s="10" t="s">
        <v>109</v>
      </c>
      <c r="C8" s="11">
        <v>67602.760999999999</v>
      </c>
      <c r="D8" s="11">
        <v>68492.494999999995</v>
      </c>
      <c r="E8" s="11">
        <v>69226.231</v>
      </c>
      <c r="F8" s="11">
        <v>69867.979000000007</v>
      </c>
      <c r="G8" s="11">
        <v>70414.3</v>
      </c>
      <c r="H8" s="11">
        <v>70861.913</v>
      </c>
      <c r="I8" s="11">
        <v>71208.100999999995</v>
      </c>
      <c r="J8" s="11">
        <v>71547.661999999997</v>
      </c>
      <c r="K8" s="11">
        <v>71879.987999999998</v>
      </c>
      <c r="L8" s="11">
        <v>72204.573999999993</v>
      </c>
      <c r="M8" s="11">
        <v>72521.172999999995</v>
      </c>
      <c r="N8" s="11">
        <v>72830.020999999993</v>
      </c>
      <c r="O8" s="11">
        <v>73131.596999999994</v>
      </c>
      <c r="P8" s="11">
        <v>73426.168000000005</v>
      </c>
      <c r="Q8" s="11">
        <v>73714.089000000007</v>
      </c>
      <c r="R8" s="11">
        <v>73995.941000000006</v>
      </c>
      <c r="S8" s="11">
        <v>74272.334000000003</v>
      </c>
      <c r="T8" s="11">
        <v>74543.737999999998</v>
      </c>
      <c r="U8" s="11">
        <v>74810.478000000003</v>
      </c>
      <c r="V8" s="11">
        <v>75072.892000000007</v>
      </c>
      <c r="W8" s="11">
        <v>75331.209000000003</v>
      </c>
      <c r="X8" s="11">
        <v>75585.236000000004</v>
      </c>
      <c r="Y8" s="11">
        <v>75834.506999999998</v>
      </c>
      <c r="Z8" s="11">
        <v>76078.686000000002</v>
      </c>
      <c r="AA8" s="11">
        <v>76317.48</v>
      </c>
      <c r="AB8" s="11">
        <v>76550.535000000003</v>
      </c>
      <c r="AC8" s="11">
        <v>76776.460000000006</v>
      </c>
      <c r="AD8" s="11">
        <v>76993.637000000002</v>
      </c>
      <c r="AE8" s="11">
        <v>77201.482999999993</v>
      </c>
      <c r="AF8" s="11">
        <v>77399.645000000004</v>
      </c>
      <c r="AG8" s="11">
        <v>77588.048999999999</v>
      </c>
      <c r="AH8" s="11">
        <v>77766.710000000006</v>
      </c>
      <c r="AI8" s="11">
        <v>77935.834000000003</v>
      </c>
      <c r="AJ8" s="11">
        <v>78096.133000000002</v>
      </c>
      <c r="AK8" s="11">
        <v>78248.758000000002</v>
      </c>
      <c r="AL8" s="11">
        <v>78394.895999999993</v>
      </c>
      <c r="AM8" s="11">
        <v>78535.61</v>
      </c>
      <c r="AN8" s="11">
        <v>78672.035999999993</v>
      </c>
      <c r="AO8" s="11">
        <v>78805.316999999995</v>
      </c>
      <c r="AP8" s="11">
        <v>78936.486999999994</v>
      </c>
      <c r="AQ8" s="11">
        <v>79066.48</v>
      </c>
      <c r="AR8" s="11">
        <v>79195.862999999998</v>
      </c>
      <c r="AS8" s="11">
        <v>79325.004000000001</v>
      </c>
      <c r="AT8" s="11">
        <v>79454.27</v>
      </c>
      <c r="AU8" s="11">
        <v>79583.857000000004</v>
      </c>
      <c r="AV8" s="11">
        <v>79713.62</v>
      </c>
      <c r="AW8" s="11">
        <v>79843.214000000007</v>
      </c>
      <c r="AX8" s="11">
        <v>79972.100000000006</v>
      </c>
      <c r="AY8" s="11">
        <v>80099.543999999994</v>
      </c>
      <c r="AZ8" s="11">
        <v>80224.705000000002</v>
      </c>
      <c r="BA8" s="11">
        <v>80346.626000000004</v>
      </c>
      <c r="BB8" s="11">
        <v>80464.327999999994</v>
      </c>
      <c r="BC8" s="11">
        <v>80576.957999999999</v>
      </c>
      <c r="BD8" s="11">
        <v>80683.665999999997</v>
      </c>
      <c r="BE8" s="11">
        <v>80783.804999999993</v>
      </c>
      <c r="BF8" s="11">
        <v>80876.875</v>
      </c>
      <c r="BG8" s="11">
        <v>80962.573999999993</v>
      </c>
      <c r="BH8" s="11">
        <v>81040.744000000006</v>
      </c>
      <c r="BI8" s="11">
        <v>81111.28</v>
      </c>
      <c r="BJ8" s="11">
        <v>81174.269</v>
      </c>
      <c r="BK8" s="11">
        <v>81229.881999999998</v>
      </c>
      <c r="BL8" s="11">
        <v>81278.373000000007</v>
      </c>
      <c r="BM8" s="11">
        <v>81320.103000000003</v>
      </c>
      <c r="BN8" s="11">
        <v>81355.441999999995</v>
      </c>
      <c r="BO8" s="11">
        <v>81384.875</v>
      </c>
      <c r="BP8" s="11">
        <v>81408.956999999995</v>
      </c>
      <c r="BQ8" s="11">
        <v>81428.186000000002</v>
      </c>
      <c r="BR8" s="11">
        <v>81443.111000000004</v>
      </c>
      <c r="BS8" s="11">
        <v>81454.243000000002</v>
      </c>
      <c r="BT8" s="11">
        <v>81462.067999999999</v>
      </c>
      <c r="BU8" s="11">
        <v>81467.091</v>
      </c>
      <c r="BV8" s="11">
        <v>81469.703999999998</v>
      </c>
      <c r="BW8" s="11">
        <v>81470.320000000007</v>
      </c>
      <c r="BX8" s="11">
        <v>81469.232000000004</v>
      </c>
      <c r="BY8" s="11">
        <v>81466.731</v>
      </c>
      <c r="BZ8" s="11">
        <v>81463.092999999993</v>
      </c>
      <c r="CA8" s="11">
        <v>81458.489000000001</v>
      </c>
      <c r="CB8" s="11">
        <v>81453.119999999995</v>
      </c>
      <c r="CC8" s="11">
        <v>81447.095000000001</v>
      </c>
      <c r="CD8" s="11">
        <v>81440.607999999993</v>
      </c>
      <c r="CE8" s="11">
        <v>81433.781000000003</v>
      </c>
      <c r="CF8" s="11">
        <v>81426.782999999996</v>
      </c>
      <c r="CG8" s="11">
        <v>81419.828999999998</v>
      </c>
      <c r="CH8" s="11">
        <v>81413.183000000005</v>
      </c>
      <c r="CI8" s="11">
        <v>81407.199999999997</v>
      </c>
      <c r="CJ8" s="11">
        <v>81402.25</v>
      </c>
      <c r="CK8" s="11">
        <v>81398.709000000003</v>
      </c>
      <c r="CL8" s="11">
        <v>81396.967000000004</v>
      </c>
      <c r="CM8" s="11">
        <v>81397.436000000002</v>
      </c>
      <c r="CN8" s="11">
        <v>81400.459000000003</v>
      </c>
      <c r="CO8" s="11">
        <v>81406.275999999998</v>
      </c>
      <c r="CP8" s="11">
        <v>81415.084000000003</v>
      </c>
      <c r="CQ8" s="11">
        <v>81426.995999999999</v>
      </c>
      <c r="CR8" s="11">
        <v>81442.03</v>
      </c>
      <c r="CS8" s="11">
        <v>81460.095000000001</v>
      </c>
      <c r="CT8" s="11">
        <v>81480.985000000001</v>
      </c>
      <c r="CU8" s="11">
        <v>81504.456000000006</v>
      </c>
      <c r="CV8" s="11">
        <v>81530.145000000004</v>
      </c>
      <c r="CW8" s="11">
        <v>81557.638999999996</v>
      </c>
      <c r="CX8" s="11">
        <v>81586.535000000003</v>
      </c>
    </row>
    <row r="9" spans="1:103" s="2" customFormat="1" ht="15" customHeight="1" x14ac:dyDescent="0.2">
      <c r="A9" s="12" t="s">
        <v>110</v>
      </c>
      <c r="B9" s="10" t="s">
        <v>109</v>
      </c>
      <c r="C9" s="11">
        <v>664.46400000000006</v>
      </c>
      <c r="D9" s="11">
        <v>667.90899999999999</v>
      </c>
      <c r="E9" s="11">
        <v>674.82100000000003</v>
      </c>
      <c r="F9" s="11">
        <v>679.53599999999994</v>
      </c>
      <c r="G9" s="11">
        <v>682.03300000000002</v>
      </c>
      <c r="H9" s="11">
        <v>683.07799999999997</v>
      </c>
      <c r="I9" s="11">
        <v>683.71199999999999</v>
      </c>
      <c r="J9" s="11">
        <v>684.29600000000005</v>
      </c>
      <c r="K9" s="11">
        <v>684.84199999999998</v>
      </c>
      <c r="L9" s="11">
        <v>685.38800000000003</v>
      </c>
      <c r="M9" s="11">
        <v>686.34100000000001</v>
      </c>
      <c r="N9" s="11">
        <v>687.82399999999996</v>
      </c>
      <c r="O9" s="11">
        <v>689.48900000000003</v>
      </c>
      <c r="P9" s="11">
        <v>691.36300000000006</v>
      </c>
      <c r="Q9" s="11">
        <v>693.54100000000005</v>
      </c>
      <c r="R9" s="11">
        <v>696.05700000000002</v>
      </c>
      <c r="S9" s="11">
        <v>698.697</v>
      </c>
      <c r="T9" s="11">
        <v>701.18</v>
      </c>
      <c r="U9" s="11">
        <v>703.42899999999997</v>
      </c>
      <c r="V9" s="11">
        <v>705.44299999999998</v>
      </c>
      <c r="W9" s="11">
        <v>706.76599999999996</v>
      </c>
      <c r="X9" s="11">
        <v>707.18700000000001</v>
      </c>
      <c r="Y9" s="11">
        <v>707.05200000000002</v>
      </c>
      <c r="Z9" s="11">
        <v>706.476</v>
      </c>
      <c r="AA9" s="11">
        <v>705.56100000000004</v>
      </c>
      <c r="AB9" s="11">
        <v>703.39200000000005</v>
      </c>
      <c r="AC9" s="11">
        <v>699.81500000000005</v>
      </c>
      <c r="AD9" s="11">
        <v>695.82100000000003</v>
      </c>
      <c r="AE9" s="11">
        <v>691.57600000000002</v>
      </c>
      <c r="AF9" s="11">
        <v>687.29100000000005</v>
      </c>
      <c r="AG9" s="11">
        <v>682.88599999999997</v>
      </c>
      <c r="AH9" s="11">
        <v>678.41200000000003</v>
      </c>
      <c r="AI9" s="11">
        <v>674.27599999999995</v>
      </c>
      <c r="AJ9" s="11">
        <v>670.71100000000001</v>
      </c>
      <c r="AK9" s="11">
        <v>667.75800000000004</v>
      </c>
      <c r="AL9" s="11">
        <v>665.23400000000004</v>
      </c>
      <c r="AM9" s="11">
        <v>663.16499999999996</v>
      </c>
      <c r="AN9" s="11">
        <v>661.61699999999996</v>
      </c>
      <c r="AO9" s="11">
        <v>660.58199999999999</v>
      </c>
      <c r="AP9" s="11">
        <v>660.03</v>
      </c>
      <c r="AQ9" s="11">
        <v>659.74400000000003</v>
      </c>
      <c r="AR9" s="11">
        <v>659.66</v>
      </c>
      <c r="AS9" s="11">
        <v>659.95299999999997</v>
      </c>
      <c r="AT9" s="11">
        <v>660.53499999999997</v>
      </c>
      <c r="AU9" s="11">
        <v>661.28200000000004</v>
      </c>
      <c r="AV9" s="11">
        <v>662.13400000000001</v>
      </c>
      <c r="AW9" s="11">
        <v>662.99900000000002</v>
      </c>
      <c r="AX9" s="11">
        <v>663.83299999999997</v>
      </c>
      <c r="AY9" s="11">
        <v>664.673</v>
      </c>
      <c r="AZ9" s="11">
        <v>665.41800000000001</v>
      </c>
      <c r="BA9" s="11">
        <v>666.02700000000004</v>
      </c>
      <c r="BB9" s="11">
        <v>666.46900000000005</v>
      </c>
      <c r="BC9" s="11">
        <v>666.71500000000003</v>
      </c>
      <c r="BD9" s="11">
        <v>666.75800000000004</v>
      </c>
      <c r="BE9" s="11">
        <v>666.55399999999997</v>
      </c>
      <c r="BF9" s="11">
        <v>666.11500000000001</v>
      </c>
      <c r="BG9" s="11">
        <v>665.43499999999995</v>
      </c>
      <c r="BH9" s="11">
        <v>664.49800000000005</v>
      </c>
      <c r="BI9" s="11">
        <v>663.33600000000001</v>
      </c>
      <c r="BJ9" s="11">
        <v>661.95699999999999</v>
      </c>
      <c r="BK9" s="11">
        <v>660.42100000000005</v>
      </c>
      <c r="BL9" s="11">
        <v>658.74300000000005</v>
      </c>
      <c r="BM9" s="11">
        <v>656.976</v>
      </c>
      <c r="BN9" s="11">
        <v>655.18200000000002</v>
      </c>
      <c r="BO9" s="11">
        <v>653.38699999999994</v>
      </c>
      <c r="BP9" s="11">
        <v>651.67100000000005</v>
      </c>
      <c r="BQ9" s="11">
        <v>650.03099999999995</v>
      </c>
      <c r="BR9" s="11">
        <v>648.51400000000001</v>
      </c>
      <c r="BS9" s="11">
        <v>647.13800000000003</v>
      </c>
      <c r="BT9" s="11">
        <v>645.94399999999996</v>
      </c>
      <c r="BU9" s="11">
        <v>644.94100000000003</v>
      </c>
      <c r="BV9" s="11">
        <v>644.11699999999996</v>
      </c>
      <c r="BW9" s="11">
        <v>643.47199999999998</v>
      </c>
      <c r="BX9" s="11">
        <v>642.99900000000002</v>
      </c>
      <c r="BY9" s="11">
        <v>642.68399999999997</v>
      </c>
      <c r="BZ9" s="11">
        <v>642.51300000000003</v>
      </c>
      <c r="CA9" s="11">
        <v>642.452</v>
      </c>
      <c r="CB9" s="11">
        <v>642.49099999999999</v>
      </c>
      <c r="CC9" s="11">
        <v>642.58900000000006</v>
      </c>
      <c r="CD9" s="11">
        <v>642.72299999999996</v>
      </c>
      <c r="CE9" s="11">
        <v>642.87800000000004</v>
      </c>
      <c r="CF9" s="11">
        <v>643.02800000000002</v>
      </c>
      <c r="CG9" s="11">
        <v>643.13800000000003</v>
      </c>
      <c r="CH9" s="11">
        <v>643.20799999999997</v>
      </c>
      <c r="CI9" s="11">
        <v>643.20899999999995</v>
      </c>
      <c r="CJ9" s="11">
        <v>643.12800000000004</v>
      </c>
      <c r="CK9" s="11">
        <v>642.96400000000006</v>
      </c>
      <c r="CL9" s="11">
        <v>642.70699999999999</v>
      </c>
      <c r="CM9" s="11">
        <v>642.34799999999996</v>
      </c>
      <c r="CN9" s="11">
        <v>641.90099999999995</v>
      </c>
      <c r="CO9" s="11">
        <v>641.35900000000004</v>
      </c>
      <c r="CP9" s="11">
        <v>640.73400000000004</v>
      </c>
      <c r="CQ9" s="11">
        <v>640.03399999999999</v>
      </c>
      <c r="CR9" s="11">
        <v>639.26900000000001</v>
      </c>
      <c r="CS9" s="11">
        <v>638.46400000000006</v>
      </c>
      <c r="CT9" s="11">
        <v>637.62800000000004</v>
      </c>
      <c r="CU9" s="11">
        <v>636.77099999999996</v>
      </c>
      <c r="CV9" s="11">
        <v>635.91600000000005</v>
      </c>
      <c r="CW9" s="11">
        <v>635.07399999999996</v>
      </c>
      <c r="CX9" s="11">
        <v>634.26700000000005</v>
      </c>
    </row>
    <row r="10" spans="1:103" s="2" customFormat="1" ht="15" customHeight="1" x14ac:dyDescent="0.2">
      <c r="A10" s="13" t="s">
        <v>111</v>
      </c>
      <c r="B10" s="10" t="s">
        <v>109</v>
      </c>
      <c r="C10" s="11">
        <v>680.72699999999998</v>
      </c>
      <c r="D10" s="11">
        <v>662.16499999999996</v>
      </c>
      <c r="E10" s="11">
        <v>663.97199999999998</v>
      </c>
      <c r="F10" s="11">
        <v>667.01700000000005</v>
      </c>
      <c r="G10" s="11">
        <v>671.14099999999996</v>
      </c>
      <c r="H10" s="11">
        <v>676.89300000000003</v>
      </c>
      <c r="I10" s="11">
        <v>684.14599999999996</v>
      </c>
      <c r="J10" s="11">
        <v>691.96600000000001</v>
      </c>
      <c r="K10" s="11">
        <v>700.25099999999998</v>
      </c>
      <c r="L10" s="11">
        <v>708.77499999999998</v>
      </c>
      <c r="M10" s="11">
        <v>717.48</v>
      </c>
      <c r="N10" s="11">
        <v>726.23800000000006</v>
      </c>
      <c r="O10" s="11">
        <v>734.928</v>
      </c>
      <c r="P10" s="11">
        <v>743.43</v>
      </c>
      <c r="Q10" s="11">
        <v>751.673</v>
      </c>
      <c r="R10" s="11">
        <v>759.66</v>
      </c>
      <c r="S10" s="11">
        <v>767.30100000000004</v>
      </c>
      <c r="T10" s="11">
        <v>774.428</v>
      </c>
      <c r="U10" s="11">
        <v>781.00800000000004</v>
      </c>
      <c r="V10" s="11">
        <v>787.12300000000005</v>
      </c>
      <c r="W10" s="11">
        <v>792.72400000000005</v>
      </c>
      <c r="X10" s="11">
        <v>797.92200000000003</v>
      </c>
      <c r="Y10" s="11">
        <v>802.87199999999996</v>
      </c>
      <c r="Z10" s="11">
        <v>807.66099999999994</v>
      </c>
      <c r="AA10" s="11">
        <v>812.50900000000001</v>
      </c>
      <c r="AB10" s="11">
        <v>817.471</v>
      </c>
      <c r="AC10" s="11">
        <v>822.64200000000005</v>
      </c>
      <c r="AD10" s="11">
        <v>827.971</v>
      </c>
      <c r="AE10" s="11">
        <v>833.423</v>
      </c>
      <c r="AF10" s="11">
        <v>838.875</v>
      </c>
      <c r="AG10" s="11">
        <v>844.22299999999996</v>
      </c>
      <c r="AH10" s="11">
        <v>849.28200000000004</v>
      </c>
      <c r="AI10" s="11">
        <v>853.96699999999998</v>
      </c>
      <c r="AJ10" s="11">
        <v>858.09199999999998</v>
      </c>
      <c r="AK10" s="11">
        <v>861.61900000000003</v>
      </c>
      <c r="AL10" s="11">
        <v>864.52499999999998</v>
      </c>
      <c r="AM10" s="11">
        <v>866.72900000000004</v>
      </c>
      <c r="AN10" s="11">
        <v>868.33399999999995</v>
      </c>
      <c r="AO10" s="11">
        <v>869.39300000000003</v>
      </c>
      <c r="AP10" s="11">
        <v>870.02499999999998</v>
      </c>
      <c r="AQ10" s="11">
        <v>870.35799999999995</v>
      </c>
      <c r="AR10" s="11">
        <v>870.51499999999999</v>
      </c>
      <c r="AS10" s="11">
        <v>870.67200000000003</v>
      </c>
      <c r="AT10" s="11">
        <v>870.94399999999996</v>
      </c>
      <c r="AU10" s="11">
        <v>871.51900000000001</v>
      </c>
      <c r="AV10" s="11">
        <v>872.53300000000002</v>
      </c>
      <c r="AW10" s="11">
        <v>874.10699999999997</v>
      </c>
      <c r="AX10" s="11">
        <v>876.37900000000002</v>
      </c>
      <c r="AY10" s="11">
        <v>879.50900000000001</v>
      </c>
      <c r="AZ10" s="11">
        <v>883.49</v>
      </c>
      <c r="BA10" s="11">
        <v>888.31200000000001</v>
      </c>
      <c r="BB10" s="11">
        <v>893.84199999999998</v>
      </c>
      <c r="BC10" s="11">
        <v>900.00099999999998</v>
      </c>
      <c r="BD10" s="11">
        <v>906.60199999999998</v>
      </c>
      <c r="BE10" s="11">
        <v>913.48</v>
      </c>
      <c r="BF10" s="11">
        <v>920.42100000000005</v>
      </c>
      <c r="BG10" s="11">
        <v>927.26700000000005</v>
      </c>
      <c r="BH10" s="11">
        <v>933.95899999999995</v>
      </c>
      <c r="BI10" s="11">
        <v>940.34199999999998</v>
      </c>
      <c r="BJ10" s="11">
        <v>946.35</v>
      </c>
      <c r="BK10" s="11">
        <v>951.92700000000002</v>
      </c>
      <c r="BL10" s="11">
        <v>957.03</v>
      </c>
      <c r="BM10" s="11">
        <v>961.62699999999995</v>
      </c>
      <c r="BN10" s="11">
        <v>965.73699999999997</v>
      </c>
      <c r="BO10" s="11">
        <v>969.31200000000001</v>
      </c>
      <c r="BP10" s="11">
        <v>972.44100000000003</v>
      </c>
      <c r="BQ10" s="11">
        <v>975.09699999999998</v>
      </c>
      <c r="BR10" s="11">
        <v>977.36800000000005</v>
      </c>
      <c r="BS10" s="11">
        <v>979.31700000000001</v>
      </c>
      <c r="BT10" s="11">
        <v>980.928</v>
      </c>
      <c r="BU10" s="11">
        <v>982.32299999999998</v>
      </c>
      <c r="BV10" s="11">
        <v>983.49900000000002</v>
      </c>
      <c r="BW10" s="11">
        <v>984.56399999999996</v>
      </c>
      <c r="BX10" s="11">
        <v>985.49800000000005</v>
      </c>
      <c r="BY10" s="11">
        <v>986.32399999999996</v>
      </c>
      <c r="BZ10" s="11">
        <v>987.10900000000004</v>
      </c>
      <c r="CA10" s="11">
        <v>987.82399999999996</v>
      </c>
      <c r="CB10" s="11">
        <v>988.49900000000002</v>
      </c>
      <c r="CC10" s="11">
        <v>989.07299999999998</v>
      </c>
      <c r="CD10" s="11">
        <v>989.55200000000002</v>
      </c>
      <c r="CE10" s="11">
        <v>989.875</v>
      </c>
      <c r="CF10" s="11">
        <v>989.98500000000001</v>
      </c>
      <c r="CG10" s="11">
        <v>989.77800000000002</v>
      </c>
      <c r="CH10" s="11">
        <v>989.18299999999999</v>
      </c>
      <c r="CI10" s="11">
        <v>988.15800000000002</v>
      </c>
      <c r="CJ10" s="11">
        <v>986.67200000000003</v>
      </c>
      <c r="CK10" s="11">
        <v>984.70600000000002</v>
      </c>
      <c r="CL10" s="11">
        <v>982.24099999999999</v>
      </c>
      <c r="CM10" s="11">
        <v>979.32899999999995</v>
      </c>
      <c r="CN10" s="11">
        <v>976.06899999999996</v>
      </c>
      <c r="CO10" s="11">
        <v>972.54499999999996</v>
      </c>
      <c r="CP10" s="11">
        <v>968.82</v>
      </c>
      <c r="CQ10" s="11">
        <v>964.99199999999996</v>
      </c>
      <c r="CR10" s="11">
        <v>961.21199999999999</v>
      </c>
      <c r="CS10" s="11">
        <v>957.56399999999996</v>
      </c>
      <c r="CT10" s="11">
        <v>954.15599999999995</v>
      </c>
      <c r="CU10" s="11">
        <v>951.08299999999997</v>
      </c>
      <c r="CV10" s="11">
        <v>948.41</v>
      </c>
      <c r="CW10" s="11">
        <v>946.16300000000001</v>
      </c>
      <c r="CX10" s="11">
        <v>944.42899999999997</v>
      </c>
    </row>
    <row r="11" spans="1:103" s="2" customFormat="1" ht="15" customHeight="1" x14ac:dyDescent="0.2">
      <c r="A11" s="12" t="s">
        <v>112</v>
      </c>
      <c r="B11" s="10" t="s">
        <v>109</v>
      </c>
      <c r="C11" s="11">
        <v>-16.263000000000002</v>
      </c>
      <c r="D11" s="11">
        <v>5.7439999999999998</v>
      </c>
      <c r="E11" s="11">
        <v>10.849</v>
      </c>
      <c r="F11" s="11">
        <v>12.519</v>
      </c>
      <c r="G11" s="11">
        <v>10.891999999999999</v>
      </c>
      <c r="H11" s="11">
        <v>6.1849999999999996</v>
      </c>
      <c r="I11" s="11">
        <v>-0.434</v>
      </c>
      <c r="J11" s="11">
        <v>-7.67</v>
      </c>
      <c r="K11" s="11">
        <v>-15.409000000000001</v>
      </c>
      <c r="L11" s="11">
        <v>-23.387</v>
      </c>
      <c r="M11" s="11">
        <v>-31.138999999999999</v>
      </c>
      <c r="N11" s="11">
        <v>-38.414000000000001</v>
      </c>
      <c r="O11" s="11">
        <v>-45.439</v>
      </c>
      <c r="P11" s="11">
        <v>-52.067</v>
      </c>
      <c r="Q11" s="11">
        <v>-58.131999999999998</v>
      </c>
      <c r="R11" s="11">
        <v>-63.603000000000002</v>
      </c>
      <c r="S11" s="11">
        <v>-68.603999999999999</v>
      </c>
      <c r="T11" s="11">
        <v>-73.248000000000005</v>
      </c>
      <c r="U11" s="11">
        <v>-77.578999999999994</v>
      </c>
      <c r="V11" s="11">
        <v>-81.680000000000007</v>
      </c>
      <c r="W11" s="11">
        <v>-85.957999999999998</v>
      </c>
      <c r="X11" s="11">
        <v>-90.734999999999999</v>
      </c>
      <c r="Y11" s="11">
        <v>-95.82</v>
      </c>
      <c r="Z11" s="11">
        <v>-101.185</v>
      </c>
      <c r="AA11" s="11">
        <v>-106.94799999999999</v>
      </c>
      <c r="AB11" s="11">
        <v>-114.07899999999999</v>
      </c>
      <c r="AC11" s="11">
        <v>-122.827</v>
      </c>
      <c r="AD11" s="11">
        <v>-132.15</v>
      </c>
      <c r="AE11" s="11">
        <v>-141.84700000000001</v>
      </c>
      <c r="AF11" s="11">
        <v>-151.584</v>
      </c>
      <c r="AG11" s="11">
        <v>-161.33699999999999</v>
      </c>
      <c r="AH11" s="11">
        <v>-170.87</v>
      </c>
      <c r="AI11" s="11">
        <v>-179.691</v>
      </c>
      <c r="AJ11" s="11">
        <v>-187.381</v>
      </c>
      <c r="AK11" s="11">
        <v>-193.86099999999999</v>
      </c>
      <c r="AL11" s="11">
        <v>-199.291</v>
      </c>
      <c r="AM11" s="11">
        <v>-203.56399999999999</v>
      </c>
      <c r="AN11" s="11">
        <v>-206.71700000000001</v>
      </c>
      <c r="AO11" s="11">
        <v>-208.81100000000001</v>
      </c>
      <c r="AP11" s="11">
        <v>-209.995</v>
      </c>
      <c r="AQ11" s="11">
        <v>-210.614</v>
      </c>
      <c r="AR11" s="11">
        <v>-210.85499999999999</v>
      </c>
      <c r="AS11" s="11">
        <v>-210.71899999999999</v>
      </c>
      <c r="AT11" s="11">
        <v>-210.40899999999999</v>
      </c>
      <c r="AU11" s="11">
        <v>-210.23699999999999</v>
      </c>
      <c r="AV11" s="11">
        <v>-210.399</v>
      </c>
      <c r="AW11" s="11">
        <v>-211.108</v>
      </c>
      <c r="AX11" s="11">
        <v>-212.54599999999999</v>
      </c>
      <c r="AY11" s="11">
        <v>-214.83600000000001</v>
      </c>
      <c r="AZ11" s="11">
        <v>-218.072</v>
      </c>
      <c r="BA11" s="11">
        <v>-222.285</v>
      </c>
      <c r="BB11" s="11">
        <v>-227.37299999999999</v>
      </c>
      <c r="BC11" s="11">
        <v>-233.286</v>
      </c>
      <c r="BD11" s="11">
        <v>-239.84399999999999</v>
      </c>
      <c r="BE11" s="11">
        <v>-246.92599999999999</v>
      </c>
      <c r="BF11" s="11">
        <v>-254.30600000000001</v>
      </c>
      <c r="BG11" s="11">
        <v>-261.83199999999999</v>
      </c>
      <c r="BH11" s="11">
        <v>-269.46100000000001</v>
      </c>
      <c r="BI11" s="11">
        <v>-277.00599999999997</v>
      </c>
      <c r="BJ11" s="11">
        <v>-284.39299999999997</v>
      </c>
      <c r="BK11" s="11">
        <v>-291.50599999999997</v>
      </c>
      <c r="BL11" s="11">
        <v>-298.28699999999998</v>
      </c>
      <c r="BM11" s="11">
        <v>-304.65100000000001</v>
      </c>
      <c r="BN11" s="11">
        <v>-310.55500000000001</v>
      </c>
      <c r="BO11" s="11">
        <v>-315.92500000000001</v>
      </c>
      <c r="BP11" s="11">
        <v>-320.77</v>
      </c>
      <c r="BQ11" s="11">
        <v>-325.06599999999997</v>
      </c>
      <c r="BR11" s="11">
        <v>-328.85399999999998</v>
      </c>
      <c r="BS11" s="11">
        <v>-332.17899999999997</v>
      </c>
      <c r="BT11" s="11">
        <v>-334.98399999999998</v>
      </c>
      <c r="BU11" s="11">
        <v>-337.38200000000001</v>
      </c>
      <c r="BV11" s="11">
        <v>-339.38200000000001</v>
      </c>
      <c r="BW11" s="11">
        <v>-341.09199999999998</v>
      </c>
      <c r="BX11" s="11">
        <v>-342.49900000000002</v>
      </c>
      <c r="BY11" s="11">
        <v>-343.64</v>
      </c>
      <c r="BZ11" s="11">
        <v>-344.596</v>
      </c>
      <c r="CA11" s="11">
        <v>-345.37200000000001</v>
      </c>
      <c r="CB11" s="11">
        <v>-346.00799999999998</v>
      </c>
      <c r="CC11" s="11">
        <v>-346.48399999999998</v>
      </c>
      <c r="CD11" s="11">
        <v>-346.82900000000001</v>
      </c>
      <c r="CE11" s="11">
        <v>-346.99700000000001</v>
      </c>
      <c r="CF11" s="11">
        <v>-346.95699999999999</v>
      </c>
      <c r="CG11" s="11">
        <v>-346.64</v>
      </c>
      <c r="CH11" s="11">
        <v>-345.97500000000002</v>
      </c>
      <c r="CI11" s="11">
        <v>-344.94900000000001</v>
      </c>
      <c r="CJ11" s="11">
        <v>-343.54399999999998</v>
      </c>
      <c r="CK11" s="11">
        <v>-341.74200000000002</v>
      </c>
      <c r="CL11" s="11">
        <v>-339.53399999999999</v>
      </c>
      <c r="CM11" s="11">
        <v>-336.98099999999999</v>
      </c>
      <c r="CN11" s="11">
        <v>-334.16800000000001</v>
      </c>
      <c r="CO11" s="11">
        <v>-331.18599999999998</v>
      </c>
      <c r="CP11" s="11">
        <v>-328.08600000000001</v>
      </c>
      <c r="CQ11" s="11">
        <v>-324.95800000000003</v>
      </c>
      <c r="CR11" s="11">
        <v>-321.94299999999998</v>
      </c>
      <c r="CS11" s="11">
        <v>-319.10000000000002</v>
      </c>
      <c r="CT11" s="11">
        <v>-316.52800000000002</v>
      </c>
      <c r="CU11" s="11">
        <v>-314.31200000000001</v>
      </c>
      <c r="CV11" s="11">
        <v>-312.49400000000003</v>
      </c>
      <c r="CW11" s="11">
        <v>-311.089</v>
      </c>
      <c r="CX11" s="11">
        <v>-310.16199999999998</v>
      </c>
    </row>
    <row r="12" spans="1:103" s="2" customFormat="1" ht="15" customHeight="1" x14ac:dyDescent="0.2">
      <c r="A12" s="9" t="s">
        <v>113</v>
      </c>
      <c r="B12" s="10" t="s">
        <v>109</v>
      </c>
      <c r="C12" s="11">
        <v>1319.5</v>
      </c>
      <c r="D12" s="11">
        <v>1207</v>
      </c>
      <c r="E12" s="11">
        <v>1119.7</v>
      </c>
      <c r="F12" s="11">
        <v>1032.4000000000001</v>
      </c>
      <c r="G12" s="11">
        <v>945.1</v>
      </c>
      <c r="H12" s="11">
        <v>858</v>
      </c>
      <c r="I12" s="11">
        <v>858</v>
      </c>
      <c r="J12" s="11">
        <v>858</v>
      </c>
      <c r="K12" s="11">
        <v>858</v>
      </c>
      <c r="L12" s="11">
        <v>858</v>
      </c>
      <c r="M12" s="11">
        <v>858</v>
      </c>
      <c r="N12" s="11">
        <v>858</v>
      </c>
      <c r="O12" s="11">
        <v>858</v>
      </c>
      <c r="P12" s="11">
        <v>858</v>
      </c>
      <c r="Q12" s="11">
        <v>858</v>
      </c>
      <c r="R12" s="11">
        <v>858</v>
      </c>
      <c r="S12" s="11">
        <v>858</v>
      </c>
      <c r="T12" s="11">
        <v>858</v>
      </c>
      <c r="U12" s="11">
        <v>858</v>
      </c>
      <c r="V12" s="11">
        <v>858</v>
      </c>
      <c r="W12" s="11">
        <v>858</v>
      </c>
      <c r="X12" s="11">
        <v>858</v>
      </c>
      <c r="Y12" s="11">
        <v>858</v>
      </c>
      <c r="Z12" s="11">
        <v>858</v>
      </c>
      <c r="AA12" s="11">
        <v>858</v>
      </c>
      <c r="AB12" s="11">
        <v>858</v>
      </c>
      <c r="AC12" s="11">
        <v>858</v>
      </c>
      <c r="AD12" s="11">
        <v>858</v>
      </c>
      <c r="AE12" s="11">
        <v>858</v>
      </c>
      <c r="AF12" s="11">
        <v>858</v>
      </c>
      <c r="AG12" s="11">
        <v>858</v>
      </c>
      <c r="AH12" s="11">
        <v>858</v>
      </c>
      <c r="AI12" s="11">
        <v>858</v>
      </c>
      <c r="AJ12" s="11">
        <v>858</v>
      </c>
      <c r="AK12" s="11">
        <v>858</v>
      </c>
      <c r="AL12" s="11">
        <v>858</v>
      </c>
      <c r="AM12" s="11">
        <v>858</v>
      </c>
      <c r="AN12" s="11">
        <v>858</v>
      </c>
      <c r="AO12" s="11">
        <v>858</v>
      </c>
      <c r="AP12" s="11">
        <v>858</v>
      </c>
      <c r="AQ12" s="11">
        <v>858</v>
      </c>
      <c r="AR12" s="11">
        <v>858</v>
      </c>
      <c r="AS12" s="11">
        <v>858</v>
      </c>
      <c r="AT12" s="11">
        <v>858</v>
      </c>
      <c r="AU12" s="11">
        <v>858</v>
      </c>
      <c r="AV12" s="11">
        <v>858</v>
      </c>
      <c r="AW12" s="11">
        <v>858</v>
      </c>
      <c r="AX12" s="11">
        <v>858</v>
      </c>
      <c r="AY12" s="11">
        <v>858</v>
      </c>
      <c r="AZ12" s="11">
        <v>858</v>
      </c>
      <c r="BA12" s="11">
        <v>858</v>
      </c>
      <c r="BB12" s="11">
        <v>858</v>
      </c>
      <c r="BC12" s="11">
        <v>858</v>
      </c>
      <c r="BD12" s="11">
        <v>858</v>
      </c>
      <c r="BE12" s="11">
        <v>858</v>
      </c>
      <c r="BF12" s="11">
        <v>858</v>
      </c>
      <c r="BG12" s="11">
        <v>858</v>
      </c>
      <c r="BH12" s="11">
        <v>858</v>
      </c>
      <c r="BI12" s="11">
        <v>858</v>
      </c>
      <c r="BJ12" s="11">
        <v>858</v>
      </c>
      <c r="BK12" s="11">
        <v>858</v>
      </c>
      <c r="BL12" s="11">
        <v>858</v>
      </c>
      <c r="BM12" s="11">
        <v>858</v>
      </c>
      <c r="BN12" s="11">
        <v>858</v>
      </c>
      <c r="BO12" s="11">
        <v>858</v>
      </c>
      <c r="BP12" s="11">
        <v>858</v>
      </c>
      <c r="BQ12" s="11">
        <v>858</v>
      </c>
      <c r="BR12" s="11">
        <v>858</v>
      </c>
      <c r="BS12" s="11">
        <v>858</v>
      </c>
      <c r="BT12" s="11">
        <v>858</v>
      </c>
      <c r="BU12" s="11">
        <v>858</v>
      </c>
      <c r="BV12" s="11">
        <v>858</v>
      </c>
      <c r="BW12" s="11">
        <v>858</v>
      </c>
      <c r="BX12" s="11">
        <v>858</v>
      </c>
      <c r="BY12" s="11">
        <v>858</v>
      </c>
      <c r="BZ12" s="11">
        <v>858</v>
      </c>
      <c r="CA12" s="11">
        <v>858</v>
      </c>
      <c r="CB12" s="11">
        <v>858</v>
      </c>
      <c r="CC12" s="11">
        <v>858</v>
      </c>
      <c r="CD12" s="11">
        <v>858</v>
      </c>
      <c r="CE12" s="11">
        <v>858</v>
      </c>
      <c r="CF12" s="11">
        <v>858</v>
      </c>
      <c r="CG12" s="11">
        <v>858</v>
      </c>
      <c r="CH12" s="11">
        <v>858</v>
      </c>
      <c r="CI12" s="11">
        <v>858</v>
      </c>
      <c r="CJ12" s="11">
        <v>858</v>
      </c>
      <c r="CK12" s="11">
        <v>858</v>
      </c>
      <c r="CL12" s="11">
        <v>858</v>
      </c>
      <c r="CM12" s="11">
        <v>858</v>
      </c>
      <c r="CN12" s="11">
        <v>858</v>
      </c>
      <c r="CO12" s="11">
        <v>858</v>
      </c>
      <c r="CP12" s="11">
        <v>858</v>
      </c>
      <c r="CQ12" s="11">
        <v>858</v>
      </c>
      <c r="CR12" s="11">
        <v>858</v>
      </c>
      <c r="CS12" s="11">
        <v>858</v>
      </c>
      <c r="CT12" s="11">
        <v>858</v>
      </c>
      <c r="CU12" s="11">
        <v>858</v>
      </c>
      <c r="CV12" s="11">
        <v>858</v>
      </c>
      <c r="CW12" s="11">
        <v>858</v>
      </c>
      <c r="CX12" s="11">
        <v>858</v>
      </c>
    </row>
    <row r="13" spans="1:103" s="2" customFormat="1" ht="15" customHeight="1" x14ac:dyDescent="0.2">
      <c r="A13" s="14" t="s">
        <v>114</v>
      </c>
      <c r="B13" s="10" t="s">
        <v>109</v>
      </c>
      <c r="C13" s="11" t="s">
        <v>109</v>
      </c>
      <c r="D13" s="11" t="s">
        <v>109</v>
      </c>
      <c r="E13" s="11" t="s">
        <v>109</v>
      </c>
      <c r="F13" s="11" t="s">
        <v>109</v>
      </c>
      <c r="G13" s="11" t="s">
        <v>109</v>
      </c>
      <c r="H13" s="11" t="s">
        <v>109</v>
      </c>
      <c r="I13" s="11" t="s">
        <v>109</v>
      </c>
      <c r="J13" s="11" t="s">
        <v>109</v>
      </c>
      <c r="K13" s="11" t="s">
        <v>109</v>
      </c>
      <c r="L13" s="11" t="s">
        <v>109</v>
      </c>
      <c r="M13" s="11" t="s">
        <v>109</v>
      </c>
      <c r="N13" s="11" t="s">
        <v>109</v>
      </c>
      <c r="O13" s="11" t="s">
        <v>109</v>
      </c>
      <c r="P13" s="11" t="s">
        <v>109</v>
      </c>
      <c r="Q13" s="11" t="s">
        <v>109</v>
      </c>
      <c r="R13" s="11" t="s">
        <v>109</v>
      </c>
      <c r="S13" s="11" t="s">
        <v>109</v>
      </c>
      <c r="T13" s="11" t="s">
        <v>109</v>
      </c>
      <c r="U13" s="11" t="s">
        <v>109</v>
      </c>
      <c r="V13" s="11" t="s">
        <v>109</v>
      </c>
      <c r="W13" s="11" t="s">
        <v>109</v>
      </c>
      <c r="X13" s="11" t="s">
        <v>109</v>
      </c>
      <c r="Y13" s="11" t="s">
        <v>109</v>
      </c>
      <c r="Z13" s="11" t="s">
        <v>109</v>
      </c>
      <c r="AA13" s="11" t="s">
        <v>109</v>
      </c>
      <c r="AB13" s="11" t="s">
        <v>109</v>
      </c>
      <c r="AC13" s="11" t="s">
        <v>109</v>
      </c>
      <c r="AD13" s="11" t="s">
        <v>109</v>
      </c>
      <c r="AE13" s="11" t="s">
        <v>109</v>
      </c>
      <c r="AF13" s="11" t="s">
        <v>109</v>
      </c>
      <c r="AG13" s="11" t="s">
        <v>109</v>
      </c>
      <c r="AH13" s="11" t="s">
        <v>109</v>
      </c>
      <c r="AI13" s="11" t="s">
        <v>109</v>
      </c>
      <c r="AJ13" s="11" t="s">
        <v>109</v>
      </c>
      <c r="AK13" s="11" t="s">
        <v>109</v>
      </c>
      <c r="AL13" s="11" t="s">
        <v>109</v>
      </c>
      <c r="AM13" s="11" t="s">
        <v>109</v>
      </c>
      <c r="AN13" s="11" t="s">
        <v>109</v>
      </c>
      <c r="AO13" s="11" t="s">
        <v>109</v>
      </c>
      <c r="AP13" s="11" t="s">
        <v>109</v>
      </c>
      <c r="AQ13" s="11" t="s">
        <v>109</v>
      </c>
      <c r="AR13" s="11" t="s">
        <v>109</v>
      </c>
      <c r="AS13" s="11" t="s">
        <v>109</v>
      </c>
      <c r="AT13" s="11" t="s">
        <v>109</v>
      </c>
      <c r="AU13" s="11" t="s">
        <v>109</v>
      </c>
      <c r="AV13" s="11" t="s">
        <v>109</v>
      </c>
      <c r="AW13" s="11" t="s">
        <v>109</v>
      </c>
      <c r="AX13" s="11" t="s">
        <v>109</v>
      </c>
      <c r="AY13" s="11" t="s">
        <v>109</v>
      </c>
      <c r="AZ13" s="11" t="s">
        <v>109</v>
      </c>
      <c r="BA13" s="11" t="s">
        <v>109</v>
      </c>
      <c r="BB13" s="11" t="s">
        <v>109</v>
      </c>
      <c r="BC13" s="11" t="s">
        <v>109</v>
      </c>
      <c r="BD13" s="11" t="s">
        <v>109</v>
      </c>
      <c r="BE13" s="11" t="s">
        <v>109</v>
      </c>
      <c r="BF13" s="11" t="s">
        <v>109</v>
      </c>
      <c r="BG13" s="11" t="s">
        <v>109</v>
      </c>
      <c r="BH13" s="11" t="s">
        <v>109</v>
      </c>
      <c r="BI13" s="11" t="s">
        <v>109</v>
      </c>
      <c r="BJ13" s="11" t="s">
        <v>109</v>
      </c>
      <c r="BK13" s="11" t="s">
        <v>109</v>
      </c>
      <c r="BL13" s="11" t="s">
        <v>109</v>
      </c>
      <c r="BM13" s="11" t="s">
        <v>109</v>
      </c>
      <c r="BN13" s="11" t="s">
        <v>109</v>
      </c>
      <c r="BO13" s="11" t="s">
        <v>109</v>
      </c>
      <c r="BP13" s="11" t="s">
        <v>109</v>
      </c>
      <c r="BQ13" s="11" t="s">
        <v>109</v>
      </c>
      <c r="BR13" s="11" t="s">
        <v>109</v>
      </c>
      <c r="BS13" s="11" t="s">
        <v>109</v>
      </c>
      <c r="BT13" s="11" t="s">
        <v>109</v>
      </c>
      <c r="BU13" s="11" t="s">
        <v>109</v>
      </c>
      <c r="BV13" s="11" t="s">
        <v>109</v>
      </c>
      <c r="BW13" s="11" t="s">
        <v>109</v>
      </c>
      <c r="BX13" s="11" t="s">
        <v>109</v>
      </c>
      <c r="BY13" s="11" t="s">
        <v>109</v>
      </c>
      <c r="BZ13" s="11" t="s">
        <v>109</v>
      </c>
      <c r="CA13" s="11" t="s">
        <v>109</v>
      </c>
      <c r="CB13" s="11" t="s">
        <v>109</v>
      </c>
      <c r="CC13" s="11" t="s">
        <v>109</v>
      </c>
      <c r="CD13" s="11" t="s">
        <v>109</v>
      </c>
      <c r="CE13" s="11" t="s">
        <v>109</v>
      </c>
      <c r="CF13" s="11" t="s">
        <v>109</v>
      </c>
      <c r="CG13" s="11" t="s">
        <v>109</v>
      </c>
      <c r="CH13" s="11" t="s">
        <v>109</v>
      </c>
      <c r="CI13" s="11" t="s">
        <v>109</v>
      </c>
      <c r="CJ13" s="11" t="s">
        <v>109</v>
      </c>
      <c r="CK13" s="11" t="s">
        <v>109</v>
      </c>
      <c r="CL13" s="11" t="s">
        <v>109</v>
      </c>
      <c r="CM13" s="11" t="s">
        <v>109</v>
      </c>
      <c r="CN13" s="11" t="s">
        <v>109</v>
      </c>
      <c r="CO13" s="11" t="s">
        <v>109</v>
      </c>
      <c r="CP13" s="11" t="s">
        <v>109</v>
      </c>
      <c r="CQ13" s="11" t="s">
        <v>109</v>
      </c>
      <c r="CR13" s="11" t="s">
        <v>109</v>
      </c>
      <c r="CS13" s="11" t="s">
        <v>109</v>
      </c>
      <c r="CT13" s="11" t="s">
        <v>109</v>
      </c>
      <c r="CU13" s="11" t="s">
        <v>109</v>
      </c>
      <c r="CV13" s="11" t="s">
        <v>109</v>
      </c>
      <c r="CW13" s="11" t="s">
        <v>109</v>
      </c>
      <c r="CX13" s="11" t="s">
        <v>109</v>
      </c>
      <c r="CY13"/>
    </row>
    <row r="14" spans="1:103" s="2" customFormat="1" ht="15" customHeight="1" x14ac:dyDescent="0.2">
      <c r="A14" s="9" t="s">
        <v>115</v>
      </c>
      <c r="B14" s="10" t="s">
        <v>109</v>
      </c>
      <c r="C14" s="11">
        <v>413.5</v>
      </c>
      <c r="D14" s="11">
        <v>479</v>
      </c>
      <c r="E14" s="11">
        <v>488.8</v>
      </c>
      <c r="F14" s="11">
        <v>498.6</v>
      </c>
      <c r="G14" s="11">
        <v>508.4</v>
      </c>
      <c r="H14" s="11">
        <v>518</v>
      </c>
      <c r="I14" s="11">
        <v>518</v>
      </c>
      <c r="J14" s="11">
        <v>518</v>
      </c>
      <c r="K14" s="11">
        <v>518</v>
      </c>
      <c r="L14" s="11">
        <v>518</v>
      </c>
      <c r="M14" s="11">
        <v>518</v>
      </c>
      <c r="N14" s="11">
        <v>518</v>
      </c>
      <c r="O14" s="11">
        <v>518</v>
      </c>
      <c r="P14" s="11">
        <v>518</v>
      </c>
      <c r="Q14" s="11">
        <v>518</v>
      </c>
      <c r="R14" s="11">
        <v>518</v>
      </c>
      <c r="S14" s="11">
        <v>518</v>
      </c>
      <c r="T14" s="11">
        <v>518</v>
      </c>
      <c r="U14" s="11">
        <v>518</v>
      </c>
      <c r="V14" s="11">
        <v>518</v>
      </c>
      <c r="W14" s="11">
        <v>518</v>
      </c>
      <c r="X14" s="11">
        <v>518</v>
      </c>
      <c r="Y14" s="11">
        <v>518</v>
      </c>
      <c r="Z14" s="11">
        <v>518</v>
      </c>
      <c r="AA14" s="11">
        <v>518</v>
      </c>
      <c r="AB14" s="11">
        <v>518</v>
      </c>
      <c r="AC14" s="11">
        <v>518</v>
      </c>
      <c r="AD14" s="11">
        <v>518</v>
      </c>
      <c r="AE14" s="11">
        <v>518</v>
      </c>
      <c r="AF14" s="11">
        <v>518</v>
      </c>
      <c r="AG14" s="11">
        <v>518</v>
      </c>
      <c r="AH14" s="11">
        <v>518</v>
      </c>
      <c r="AI14" s="11">
        <v>518</v>
      </c>
      <c r="AJ14" s="11">
        <v>518</v>
      </c>
      <c r="AK14" s="11">
        <v>518</v>
      </c>
      <c r="AL14" s="11">
        <v>518</v>
      </c>
      <c r="AM14" s="11">
        <v>518</v>
      </c>
      <c r="AN14" s="11">
        <v>518</v>
      </c>
      <c r="AO14" s="11">
        <v>518</v>
      </c>
      <c r="AP14" s="11">
        <v>518</v>
      </c>
      <c r="AQ14" s="11">
        <v>518</v>
      </c>
      <c r="AR14" s="11">
        <v>518</v>
      </c>
      <c r="AS14" s="11">
        <v>518</v>
      </c>
      <c r="AT14" s="11">
        <v>518</v>
      </c>
      <c r="AU14" s="11">
        <v>518</v>
      </c>
      <c r="AV14" s="11">
        <v>518</v>
      </c>
      <c r="AW14" s="11">
        <v>518</v>
      </c>
      <c r="AX14" s="11">
        <v>518</v>
      </c>
      <c r="AY14" s="11">
        <v>518</v>
      </c>
      <c r="AZ14" s="11">
        <v>518</v>
      </c>
      <c r="BA14" s="11">
        <v>518</v>
      </c>
      <c r="BB14" s="11">
        <v>518</v>
      </c>
      <c r="BC14" s="11">
        <v>518</v>
      </c>
      <c r="BD14" s="11">
        <v>518</v>
      </c>
      <c r="BE14" s="11">
        <v>518</v>
      </c>
      <c r="BF14" s="11">
        <v>518</v>
      </c>
      <c r="BG14" s="11">
        <v>518</v>
      </c>
      <c r="BH14" s="11">
        <v>518</v>
      </c>
      <c r="BI14" s="11">
        <v>518</v>
      </c>
      <c r="BJ14" s="11">
        <v>518</v>
      </c>
      <c r="BK14" s="11">
        <v>518</v>
      </c>
      <c r="BL14" s="11">
        <v>518</v>
      </c>
      <c r="BM14" s="11">
        <v>518</v>
      </c>
      <c r="BN14" s="11">
        <v>518</v>
      </c>
      <c r="BO14" s="11">
        <v>518</v>
      </c>
      <c r="BP14" s="11">
        <v>518</v>
      </c>
      <c r="BQ14" s="11">
        <v>518</v>
      </c>
      <c r="BR14" s="11">
        <v>518</v>
      </c>
      <c r="BS14" s="11">
        <v>518</v>
      </c>
      <c r="BT14" s="11">
        <v>518</v>
      </c>
      <c r="BU14" s="11">
        <v>518</v>
      </c>
      <c r="BV14" s="11">
        <v>518</v>
      </c>
      <c r="BW14" s="11">
        <v>518</v>
      </c>
      <c r="BX14" s="11">
        <v>518</v>
      </c>
      <c r="BY14" s="11">
        <v>518</v>
      </c>
      <c r="BZ14" s="11">
        <v>518</v>
      </c>
      <c r="CA14" s="11">
        <v>518</v>
      </c>
      <c r="CB14" s="11">
        <v>518</v>
      </c>
      <c r="CC14" s="11">
        <v>518</v>
      </c>
      <c r="CD14" s="11">
        <v>518</v>
      </c>
      <c r="CE14" s="11">
        <v>518</v>
      </c>
      <c r="CF14" s="11">
        <v>518</v>
      </c>
      <c r="CG14" s="11">
        <v>518</v>
      </c>
      <c r="CH14" s="11">
        <v>518</v>
      </c>
      <c r="CI14" s="11">
        <v>518</v>
      </c>
      <c r="CJ14" s="11">
        <v>518</v>
      </c>
      <c r="CK14" s="11">
        <v>518</v>
      </c>
      <c r="CL14" s="11">
        <v>518</v>
      </c>
      <c r="CM14" s="11">
        <v>518</v>
      </c>
      <c r="CN14" s="11">
        <v>518</v>
      </c>
      <c r="CO14" s="11">
        <v>518</v>
      </c>
      <c r="CP14" s="11">
        <v>518</v>
      </c>
      <c r="CQ14" s="11">
        <v>518</v>
      </c>
      <c r="CR14" s="11">
        <v>518</v>
      </c>
      <c r="CS14" s="11">
        <v>518</v>
      </c>
      <c r="CT14" s="11">
        <v>518</v>
      </c>
      <c r="CU14" s="11">
        <v>518</v>
      </c>
      <c r="CV14" s="11">
        <v>518</v>
      </c>
      <c r="CW14" s="11">
        <v>518</v>
      </c>
      <c r="CX14" s="11">
        <v>518</v>
      </c>
    </row>
    <row r="15" spans="1:103" s="2" customFormat="1" ht="15" customHeight="1" x14ac:dyDescent="0.2">
      <c r="A15" s="14" t="s">
        <v>116</v>
      </c>
      <c r="B15" s="10" t="s">
        <v>109</v>
      </c>
      <c r="C15" s="11" t="s">
        <v>109</v>
      </c>
      <c r="D15" s="11" t="s">
        <v>109</v>
      </c>
      <c r="E15" s="11" t="s">
        <v>109</v>
      </c>
      <c r="F15" s="11" t="s">
        <v>109</v>
      </c>
      <c r="G15" s="11" t="s">
        <v>109</v>
      </c>
      <c r="H15" s="11" t="s">
        <v>109</v>
      </c>
      <c r="I15" s="11" t="s">
        <v>109</v>
      </c>
      <c r="J15" s="11" t="s">
        <v>109</v>
      </c>
      <c r="K15" s="11" t="s">
        <v>109</v>
      </c>
      <c r="L15" s="11" t="s">
        <v>109</v>
      </c>
      <c r="M15" s="11" t="s">
        <v>109</v>
      </c>
      <c r="N15" s="11" t="s">
        <v>109</v>
      </c>
      <c r="O15" s="11" t="s">
        <v>109</v>
      </c>
      <c r="P15" s="11" t="s">
        <v>109</v>
      </c>
      <c r="Q15" s="11" t="s">
        <v>109</v>
      </c>
      <c r="R15" s="11" t="s">
        <v>109</v>
      </c>
      <c r="S15" s="11" t="s">
        <v>109</v>
      </c>
      <c r="T15" s="11" t="s">
        <v>109</v>
      </c>
      <c r="U15" s="11" t="s">
        <v>109</v>
      </c>
      <c r="V15" s="11" t="s">
        <v>109</v>
      </c>
      <c r="W15" s="11" t="s">
        <v>109</v>
      </c>
      <c r="X15" s="11" t="s">
        <v>109</v>
      </c>
      <c r="Y15" s="11" t="s">
        <v>109</v>
      </c>
      <c r="Z15" s="11" t="s">
        <v>109</v>
      </c>
      <c r="AA15" s="11" t="s">
        <v>109</v>
      </c>
      <c r="AB15" s="11" t="s">
        <v>109</v>
      </c>
      <c r="AC15" s="11" t="s">
        <v>109</v>
      </c>
      <c r="AD15" s="11" t="s">
        <v>109</v>
      </c>
      <c r="AE15" s="11" t="s">
        <v>109</v>
      </c>
      <c r="AF15" s="11" t="s">
        <v>109</v>
      </c>
      <c r="AG15" s="11" t="s">
        <v>109</v>
      </c>
      <c r="AH15" s="11" t="s">
        <v>109</v>
      </c>
      <c r="AI15" s="11" t="s">
        <v>109</v>
      </c>
      <c r="AJ15" s="11" t="s">
        <v>109</v>
      </c>
      <c r="AK15" s="11" t="s">
        <v>109</v>
      </c>
      <c r="AL15" s="11" t="s">
        <v>109</v>
      </c>
      <c r="AM15" s="11" t="s">
        <v>109</v>
      </c>
      <c r="AN15" s="11" t="s">
        <v>109</v>
      </c>
      <c r="AO15" s="11" t="s">
        <v>109</v>
      </c>
      <c r="AP15" s="11" t="s">
        <v>109</v>
      </c>
      <c r="AQ15" s="11" t="s">
        <v>109</v>
      </c>
      <c r="AR15" s="11" t="s">
        <v>109</v>
      </c>
      <c r="AS15" s="11" t="s">
        <v>109</v>
      </c>
      <c r="AT15" s="11" t="s">
        <v>109</v>
      </c>
      <c r="AU15" s="11" t="s">
        <v>109</v>
      </c>
      <c r="AV15" s="11" t="s">
        <v>109</v>
      </c>
      <c r="AW15" s="11" t="s">
        <v>109</v>
      </c>
      <c r="AX15" s="11" t="s">
        <v>109</v>
      </c>
      <c r="AY15" s="11" t="s">
        <v>109</v>
      </c>
      <c r="AZ15" s="11" t="s">
        <v>109</v>
      </c>
      <c r="BA15" s="11" t="s">
        <v>109</v>
      </c>
      <c r="BB15" s="11" t="s">
        <v>109</v>
      </c>
      <c r="BC15" s="11" t="s">
        <v>109</v>
      </c>
      <c r="BD15" s="11" t="s">
        <v>109</v>
      </c>
      <c r="BE15" s="11" t="s">
        <v>109</v>
      </c>
      <c r="BF15" s="11" t="s">
        <v>109</v>
      </c>
      <c r="BG15" s="11" t="s">
        <v>109</v>
      </c>
      <c r="BH15" s="11" t="s">
        <v>109</v>
      </c>
      <c r="BI15" s="11" t="s">
        <v>109</v>
      </c>
      <c r="BJ15" s="11" t="s">
        <v>109</v>
      </c>
      <c r="BK15" s="11" t="s">
        <v>109</v>
      </c>
      <c r="BL15" s="11" t="s">
        <v>109</v>
      </c>
      <c r="BM15" s="11" t="s">
        <v>109</v>
      </c>
      <c r="BN15" s="11" t="s">
        <v>109</v>
      </c>
      <c r="BO15" s="11" t="s">
        <v>109</v>
      </c>
      <c r="BP15" s="11" t="s">
        <v>109</v>
      </c>
      <c r="BQ15" s="11" t="s">
        <v>109</v>
      </c>
      <c r="BR15" s="11" t="s">
        <v>109</v>
      </c>
      <c r="BS15" s="11" t="s">
        <v>109</v>
      </c>
      <c r="BT15" s="11" t="s">
        <v>109</v>
      </c>
      <c r="BU15" s="11" t="s">
        <v>109</v>
      </c>
      <c r="BV15" s="11" t="s">
        <v>109</v>
      </c>
      <c r="BW15" s="11" t="s">
        <v>109</v>
      </c>
      <c r="BX15" s="11" t="s">
        <v>109</v>
      </c>
      <c r="BY15" s="11" t="s">
        <v>109</v>
      </c>
      <c r="BZ15" s="11" t="s">
        <v>109</v>
      </c>
      <c r="CA15" s="11" t="s">
        <v>109</v>
      </c>
      <c r="CB15" s="11" t="s">
        <v>109</v>
      </c>
      <c r="CC15" s="11" t="s">
        <v>109</v>
      </c>
      <c r="CD15" s="11" t="s">
        <v>109</v>
      </c>
      <c r="CE15" s="11" t="s">
        <v>109</v>
      </c>
      <c r="CF15" s="11" t="s">
        <v>109</v>
      </c>
      <c r="CG15" s="11" t="s">
        <v>109</v>
      </c>
      <c r="CH15" s="11" t="s">
        <v>109</v>
      </c>
      <c r="CI15" s="11" t="s">
        <v>109</v>
      </c>
      <c r="CJ15" s="11" t="s">
        <v>109</v>
      </c>
      <c r="CK15" s="11" t="s">
        <v>109</v>
      </c>
      <c r="CL15" s="11" t="s">
        <v>109</v>
      </c>
      <c r="CM15" s="11" t="s">
        <v>109</v>
      </c>
      <c r="CN15" s="11" t="s">
        <v>109</v>
      </c>
      <c r="CO15" s="11" t="s">
        <v>109</v>
      </c>
      <c r="CP15" s="11" t="s">
        <v>109</v>
      </c>
      <c r="CQ15" s="11" t="s">
        <v>109</v>
      </c>
      <c r="CR15" s="11" t="s">
        <v>109</v>
      </c>
      <c r="CS15" s="11" t="s">
        <v>109</v>
      </c>
      <c r="CT15" s="11" t="s">
        <v>109</v>
      </c>
      <c r="CU15" s="11" t="s">
        <v>109</v>
      </c>
      <c r="CV15" s="11" t="s">
        <v>109</v>
      </c>
      <c r="CW15" s="11" t="s">
        <v>109</v>
      </c>
      <c r="CX15" s="11" t="s">
        <v>109</v>
      </c>
      <c r="CY15"/>
    </row>
    <row r="16" spans="1:103" s="2" customFormat="1" ht="15" customHeight="1" x14ac:dyDescent="0.2">
      <c r="A16" s="9" t="s">
        <v>117</v>
      </c>
      <c r="B16" s="10" t="s">
        <v>109</v>
      </c>
      <c r="C16" s="11">
        <v>906</v>
      </c>
      <c r="D16" s="11">
        <v>728</v>
      </c>
      <c r="E16" s="11">
        <v>630.9</v>
      </c>
      <c r="F16" s="11">
        <v>533.79999999999995</v>
      </c>
      <c r="G16" s="11">
        <v>436.7</v>
      </c>
      <c r="H16" s="11">
        <v>340</v>
      </c>
      <c r="I16" s="11">
        <v>340</v>
      </c>
      <c r="J16" s="11">
        <v>340</v>
      </c>
      <c r="K16" s="11">
        <v>340</v>
      </c>
      <c r="L16" s="11">
        <v>340</v>
      </c>
      <c r="M16" s="11">
        <v>340</v>
      </c>
      <c r="N16" s="11">
        <v>340</v>
      </c>
      <c r="O16" s="11">
        <v>340</v>
      </c>
      <c r="P16" s="11">
        <v>340</v>
      </c>
      <c r="Q16" s="11">
        <v>340</v>
      </c>
      <c r="R16" s="11">
        <v>340</v>
      </c>
      <c r="S16" s="11">
        <v>340</v>
      </c>
      <c r="T16" s="11">
        <v>340</v>
      </c>
      <c r="U16" s="11">
        <v>340</v>
      </c>
      <c r="V16" s="11">
        <v>340</v>
      </c>
      <c r="W16" s="11">
        <v>340</v>
      </c>
      <c r="X16" s="11">
        <v>340</v>
      </c>
      <c r="Y16" s="11">
        <v>340</v>
      </c>
      <c r="Z16" s="11">
        <v>340</v>
      </c>
      <c r="AA16" s="11">
        <v>340</v>
      </c>
      <c r="AB16" s="11">
        <v>340</v>
      </c>
      <c r="AC16" s="11">
        <v>340</v>
      </c>
      <c r="AD16" s="11">
        <v>340</v>
      </c>
      <c r="AE16" s="11">
        <v>340</v>
      </c>
      <c r="AF16" s="11">
        <v>340</v>
      </c>
      <c r="AG16" s="11">
        <v>340</v>
      </c>
      <c r="AH16" s="11">
        <v>340</v>
      </c>
      <c r="AI16" s="11">
        <v>340</v>
      </c>
      <c r="AJ16" s="11">
        <v>340</v>
      </c>
      <c r="AK16" s="11">
        <v>340</v>
      </c>
      <c r="AL16" s="11">
        <v>340</v>
      </c>
      <c r="AM16" s="11">
        <v>340</v>
      </c>
      <c r="AN16" s="11">
        <v>340</v>
      </c>
      <c r="AO16" s="11">
        <v>340</v>
      </c>
      <c r="AP16" s="11">
        <v>340</v>
      </c>
      <c r="AQ16" s="11">
        <v>340</v>
      </c>
      <c r="AR16" s="11">
        <v>340</v>
      </c>
      <c r="AS16" s="11">
        <v>340</v>
      </c>
      <c r="AT16" s="11">
        <v>340</v>
      </c>
      <c r="AU16" s="11">
        <v>340</v>
      </c>
      <c r="AV16" s="11">
        <v>340</v>
      </c>
      <c r="AW16" s="11">
        <v>340</v>
      </c>
      <c r="AX16" s="11">
        <v>340</v>
      </c>
      <c r="AY16" s="11">
        <v>340</v>
      </c>
      <c r="AZ16" s="11">
        <v>340</v>
      </c>
      <c r="BA16" s="11">
        <v>340</v>
      </c>
      <c r="BB16" s="11">
        <v>340</v>
      </c>
      <c r="BC16" s="11">
        <v>340</v>
      </c>
      <c r="BD16" s="11">
        <v>340</v>
      </c>
      <c r="BE16" s="11">
        <v>340</v>
      </c>
      <c r="BF16" s="11">
        <v>340</v>
      </c>
      <c r="BG16" s="11">
        <v>340</v>
      </c>
      <c r="BH16" s="11">
        <v>340</v>
      </c>
      <c r="BI16" s="11">
        <v>340</v>
      </c>
      <c r="BJ16" s="11">
        <v>340</v>
      </c>
      <c r="BK16" s="11">
        <v>340</v>
      </c>
      <c r="BL16" s="11">
        <v>340</v>
      </c>
      <c r="BM16" s="11">
        <v>340</v>
      </c>
      <c r="BN16" s="11">
        <v>340</v>
      </c>
      <c r="BO16" s="11">
        <v>340</v>
      </c>
      <c r="BP16" s="11">
        <v>340</v>
      </c>
      <c r="BQ16" s="11">
        <v>340</v>
      </c>
      <c r="BR16" s="11">
        <v>340</v>
      </c>
      <c r="BS16" s="11">
        <v>340</v>
      </c>
      <c r="BT16" s="11">
        <v>340</v>
      </c>
      <c r="BU16" s="11">
        <v>340</v>
      </c>
      <c r="BV16" s="11">
        <v>340</v>
      </c>
      <c r="BW16" s="11">
        <v>340</v>
      </c>
      <c r="BX16" s="11">
        <v>340</v>
      </c>
      <c r="BY16" s="11">
        <v>340</v>
      </c>
      <c r="BZ16" s="11">
        <v>340</v>
      </c>
      <c r="CA16" s="11">
        <v>340</v>
      </c>
      <c r="CB16" s="11">
        <v>340</v>
      </c>
      <c r="CC16" s="11">
        <v>340</v>
      </c>
      <c r="CD16" s="11">
        <v>340</v>
      </c>
      <c r="CE16" s="11">
        <v>340</v>
      </c>
      <c r="CF16" s="11">
        <v>340</v>
      </c>
      <c r="CG16" s="11">
        <v>340</v>
      </c>
      <c r="CH16" s="11">
        <v>340</v>
      </c>
      <c r="CI16" s="11">
        <v>340</v>
      </c>
      <c r="CJ16" s="11">
        <v>340</v>
      </c>
      <c r="CK16" s="11">
        <v>340</v>
      </c>
      <c r="CL16" s="11">
        <v>340</v>
      </c>
      <c r="CM16" s="11">
        <v>340</v>
      </c>
      <c r="CN16" s="11">
        <v>340</v>
      </c>
      <c r="CO16" s="11">
        <v>340</v>
      </c>
      <c r="CP16" s="11">
        <v>340</v>
      </c>
      <c r="CQ16" s="11">
        <v>340</v>
      </c>
      <c r="CR16" s="11">
        <v>340</v>
      </c>
      <c r="CS16" s="11">
        <v>340</v>
      </c>
      <c r="CT16" s="11">
        <v>340</v>
      </c>
      <c r="CU16" s="11">
        <v>340</v>
      </c>
      <c r="CV16" s="11">
        <v>340</v>
      </c>
      <c r="CW16" s="11">
        <v>340</v>
      </c>
      <c r="CX16" s="11">
        <v>340</v>
      </c>
    </row>
    <row r="17" spans="1:103" s="2" customFormat="1" ht="15" customHeight="1" x14ac:dyDescent="0.2">
      <c r="A17" s="14" t="s">
        <v>118</v>
      </c>
      <c r="B17" s="10" t="s">
        <v>109</v>
      </c>
      <c r="C17" s="11" t="s">
        <v>109</v>
      </c>
      <c r="D17" s="11" t="s">
        <v>109</v>
      </c>
      <c r="E17" s="11" t="s">
        <v>109</v>
      </c>
      <c r="F17" s="11" t="s">
        <v>109</v>
      </c>
      <c r="G17" s="11" t="s">
        <v>109</v>
      </c>
      <c r="H17" s="11" t="s">
        <v>109</v>
      </c>
      <c r="I17" s="11" t="s">
        <v>109</v>
      </c>
      <c r="J17" s="11" t="s">
        <v>109</v>
      </c>
      <c r="K17" s="11" t="s">
        <v>109</v>
      </c>
      <c r="L17" s="11" t="s">
        <v>109</v>
      </c>
      <c r="M17" s="11" t="s">
        <v>109</v>
      </c>
      <c r="N17" s="11" t="s">
        <v>109</v>
      </c>
      <c r="O17" s="11" t="s">
        <v>109</v>
      </c>
      <c r="P17" s="11" t="s">
        <v>109</v>
      </c>
      <c r="Q17" s="11" t="s">
        <v>109</v>
      </c>
      <c r="R17" s="11" t="s">
        <v>109</v>
      </c>
      <c r="S17" s="11" t="s">
        <v>109</v>
      </c>
      <c r="T17" s="11" t="s">
        <v>109</v>
      </c>
      <c r="U17" s="11" t="s">
        <v>109</v>
      </c>
      <c r="V17" s="11" t="s">
        <v>109</v>
      </c>
      <c r="W17" s="11" t="s">
        <v>109</v>
      </c>
      <c r="X17" s="11" t="s">
        <v>109</v>
      </c>
      <c r="Y17" s="11" t="s">
        <v>109</v>
      </c>
      <c r="Z17" s="11" t="s">
        <v>109</v>
      </c>
      <c r="AA17" s="11" t="s">
        <v>109</v>
      </c>
      <c r="AB17" s="11" t="s">
        <v>109</v>
      </c>
      <c r="AC17" s="11" t="s">
        <v>109</v>
      </c>
      <c r="AD17" s="11" t="s">
        <v>109</v>
      </c>
      <c r="AE17" s="11" t="s">
        <v>109</v>
      </c>
      <c r="AF17" s="11" t="s">
        <v>109</v>
      </c>
      <c r="AG17" s="11" t="s">
        <v>109</v>
      </c>
      <c r="AH17" s="11" t="s">
        <v>109</v>
      </c>
      <c r="AI17" s="11" t="s">
        <v>109</v>
      </c>
      <c r="AJ17" s="11" t="s">
        <v>109</v>
      </c>
      <c r="AK17" s="11" t="s">
        <v>109</v>
      </c>
      <c r="AL17" s="11" t="s">
        <v>109</v>
      </c>
      <c r="AM17" s="11" t="s">
        <v>109</v>
      </c>
      <c r="AN17" s="11" t="s">
        <v>109</v>
      </c>
      <c r="AO17" s="11" t="s">
        <v>109</v>
      </c>
      <c r="AP17" s="11" t="s">
        <v>109</v>
      </c>
      <c r="AQ17" s="11" t="s">
        <v>109</v>
      </c>
      <c r="AR17" s="11" t="s">
        <v>109</v>
      </c>
      <c r="AS17" s="11" t="s">
        <v>109</v>
      </c>
      <c r="AT17" s="11" t="s">
        <v>109</v>
      </c>
      <c r="AU17" s="11" t="s">
        <v>109</v>
      </c>
      <c r="AV17" s="11" t="s">
        <v>109</v>
      </c>
      <c r="AW17" s="11" t="s">
        <v>109</v>
      </c>
      <c r="AX17" s="11" t="s">
        <v>109</v>
      </c>
      <c r="AY17" s="11" t="s">
        <v>109</v>
      </c>
      <c r="AZ17" s="11" t="s">
        <v>109</v>
      </c>
      <c r="BA17" s="11" t="s">
        <v>109</v>
      </c>
      <c r="BB17" s="11" t="s">
        <v>109</v>
      </c>
      <c r="BC17" s="11" t="s">
        <v>109</v>
      </c>
      <c r="BD17" s="11" t="s">
        <v>109</v>
      </c>
      <c r="BE17" s="11" t="s">
        <v>109</v>
      </c>
      <c r="BF17" s="11" t="s">
        <v>109</v>
      </c>
      <c r="BG17" s="11" t="s">
        <v>109</v>
      </c>
      <c r="BH17" s="11" t="s">
        <v>109</v>
      </c>
      <c r="BI17" s="11" t="s">
        <v>109</v>
      </c>
      <c r="BJ17" s="11" t="s">
        <v>109</v>
      </c>
      <c r="BK17" s="11" t="s">
        <v>109</v>
      </c>
      <c r="BL17" s="11" t="s">
        <v>109</v>
      </c>
      <c r="BM17" s="11" t="s">
        <v>109</v>
      </c>
      <c r="BN17" s="11" t="s">
        <v>109</v>
      </c>
      <c r="BO17" s="11" t="s">
        <v>109</v>
      </c>
      <c r="BP17" s="11" t="s">
        <v>109</v>
      </c>
      <c r="BQ17" s="11" t="s">
        <v>109</v>
      </c>
      <c r="BR17" s="11" t="s">
        <v>109</v>
      </c>
      <c r="BS17" s="11" t="s">
        <v>109</v>
      </c>
      <c r="BT17" s="11" t="s">
        <v>109</v>
      </c>
      <c r="BU17" s="11" t="s">
        <v>109</v>
      </c>
      <c r="BV17" s="11" t="s">
        <v>109</v>
      </c>
      <c r="BW17" s="11" t="s">
        <v>109</v>
      </c>
      <c r="BX17" s="11" t="s">
        <v>109</v>
      </c>
      <c r="BY17" s="11" t="s">
        <v>109</v>
      </c>
      <c r="BZ17" s="11" t="s">
        <v>109</v>
      </c>
      <c r="CA17" s="11" t="s">
        <v>109</v>
      </c>
      <c r="CB17" s="11" t="s">
        <v>109</v>
      </c>
      <c r="CC17" s="11" t="s">
        <v>109</v>
      </c>
      <c r="CD17" s="11" t="s">
        <v>109</v>
      </c>
      <c r="CE17" s="11" t="s">
        <v>109</v>
      </c>
      <c r="CF17" s="11" t="s">
        <v>109</v>
      </c>
      <c r="CG17" s="11" t="s">
        <v>109</v>
      </c>
      <c r="CH17" s="11" t="s">
        <v>109</v>
      </c>
      <c r="CI17" s="11" t="s">
        <v>109</v>
      </c>
      <c r="CJ17" s="11" t="s">
        <v>109</v>
      </c>
      <c r="CK17" s="11" t="s">
        <v>109</v>
      </c>
      <c r="CL17" s="11" t="s">
        <v>109</v>
      </c>
      <c r="CM17" s="11" t="s">
        <v>109</v>
      </c>
      <c r="CN17" s="11" t="s">
        <v>109</v>
      </c>
      <c r="CO17" s="11" t="s">
        <v>109</v>
      </c>
      <c r="CP17" s="11" t="s">
        <v>109</v>
      </c>
      <c r="CQ17" s="11" t="s">
        <v>109</v>
      </c>
      <c r="CR17" s="11" t="s">
        <v>109</v>
      </c>
      <c r="CS17" s="11" t="s">
        <v>109</v>
      </c>
      <c r="CT17" s="11" t="s">
        <v>109</v>
      </c>
      <c r="CU17" s="11" t="s">
        <v>109</v>
      </c>
      <c r="CV17" s="11" t="s">
        <v>109</v>
      </c>
      <c r="CW17" s="11" t="s">
        <v>109</v>
      </c>
      <c r="CX17" s="11" t="s">
        <v>109</v>
      </c>
      <c r="CY17"/>
    </row>
    <row r="18" spans="1:103" s="2" customFormat="1" ht="15" customHeight="1" x14ac:dyDescent="0.2">
      <c r="A18" s="9" t="s">
        <v>119</v>
      </c>
      <c r="B18" s="10" t="s">
        <v>109</v>
      </c>
      <c r="C18" s="11">
        <v>906</v>
      </c>
      <c r="D18" s="11">
        <v>728</v>
      </c>
      <c r="E18" s="11">
        <v>630.9</v>
      </c>
      <c r="F18" s="11">
        <v>533.79999999999995</v>
      </c>
      <c r="G18" s="11">
        <v>436.7</v>
      </c>
      <c r="H18" s="11">
        <v>340</v>
      </c>
      <c r="I18" s="11">
        <v>340</v>
      </c>
      <c r="J18" s="11">
        <v>340</v>
      </c>
      <c r="K18" s="11">
        <v>340</v>
      </c>
      <c r="L18" s="11">
        <v>340</v>
      </c>
      <c r="M18" s="11">
        <v>340</v>
      </c>
      <c r="N18" s="11">
        <v>340</v>
      </c>
      <c r="O18" s="11">
        <v>340</v>
      </c>
      <c r="P18" s="11">
        <v>340</v>
      </c>
      <c r="Q18" s="11">
        <v>340</v>
      </c>
      <c r="R18" s="11">
        <v>340</v>
      </c>
      <c r="S18" s="11">
        <v>340</v>
      </c>
      <c r="T18" s="11">
        <v>340</v>
      </c>
      <c r="U18" s="11">
        <v>340</v>
      </c>
      <c r="V18" s="11">
        <v>340</v>
      </c>
      <c r="W18" s="11">
        <v>340</v>
      </c>
      <c r="X18" s="11">
        <v>340</v>
      </c>
      <c r="Y18" s="11">
        <v>340</v>
      </c>
      <c r="Z18" s="11">
        <v>340</v>
      </c>
      <c r="AA18" s="11">
        <v>340</v>
      </c>
      <c r="AB18" s="11">
        <v>340</v>
      </c>
      <c r="AC18" s="11">
        <v>340</v>
      </c>
      <c r="AD18" s="11">
        <v>340</v>
      </c>
      <c r="AE18" s="11">
        <v>340</v>
      </c>
      <c r="AF18" s="11">
        <v>340</v>
      </c>
      <c r="AG18" s="11">
        <v>340</v>
      </c>
      <c r="AH18" s="11">
        <v>340</v>
      </c>
      <c r="AI18" s="11">
        <v>340</v>
      </c>
      <c r="AJ18" s="11">
        <v>340</v>
      </c>
      <c r="AK18" s="11">
        <v>340</v>
      </c>
      <c r="AL18" s="11">
        <v>340</v>
      </c>
      <c r="AM18" s="11">
        <v>340</v>
      </c>
      <c r="AN18" s="11">
        <v>340</v>
      </c>
      <c r="AO18" s="11">
        <v>340</v>
      </c>
      <c r="AP18" s="11">
        <v>340</v>
      </c>
      <c r="AQ18" s="11">
        <v>340</v>
      </c>
      <c r="AR18" s="11">
        <v>340</v>
      </c>
      <c r="AS18" s="11">
        <v>340</v>
      </c>
      <c r="AT18" s="11">
        <v>340</v>
      </c>
      <c r="AU18" s="11">
        <v>340</v>
      </c>
      <c r="AV18" s="11">
        <v>340</v>
      </c>
      <c r="AW18" s="11">
        <v>340</v>
      </c>
      <c r="AX18" s="11">
        <v>340</v>
      </c>
      <c r="AY18" s="11">
        <v>340</v>
      </c>
      <c r="AZ18" s="11">
        <v>340</v>
      </c>
      <c r="BA18" s="11">
        <v>340</v>
      </c>
      <c r="BB18" s="11">
        <v>340</v>
      </c>
      <c r="BC18" s="11">
        <v>340</v>
      </c>
      <c r="BD18" s="11">
        <v>340</v>
      </c>
      <c r="BE18" s="11">
        <v>340</v>
      </c>
      <c r="BF18" s="11">
        <v>340</v>
      </c>
      <c r="BG18" s="11">
        <v>340</v>
      </c>
      <c r="BH18" s="11">
        <v>340</v>
      </c>
      <c r="BI18" s="11">
        <v>340</v>
      </c>
      <c r="BJ18" s="11">
        <v>340</v>
      </c>
      <c r="BK18" s="11">
        <v>340</v>
      </c>
      <c r="BL18" s="11">
        <v>340</v>
      </c>
      <c r="BM18" s="11">
        <v>340</v>
      </c>
      <c r="BN18" s="11">
        <v>340</v>
      </c>
      <c r="BO18" s="11">
        <v>340</v>
      </c>
      <c r="BP18" s="11">
        <v>340</v>
      </c>
      <c r="BQ18" s="11">
        <v>340</v>
      </c>
      <c r="BR18" s="11">
        <v>340</v>
      </c>
      <c r="BS18" s="11">
        <v>340</v>
      </c>
      <c r="BT18" s="11">
        <v>340</v>
      </c>
      <c r="BU18" s="11">
        <v>340</v>
      </c>
      <c r="BV18" s="11">
        <v>340</v>
      </c>
      <c r="BW18" s="11">
        <v>340</v>
      </c>
      <c r="BX18" s="11">
        <v>340</v>
      </c>
      <c r="BY18" s="11">
        <v>340</v>
      </c>
      <c r="BZ18" s="11">
        <v>340</v>
      </c>
      <c r="CA18" s="11">
        <v>340</v>
      </c>
      <c r="CB18" s="11">
        <v>340</v>
      </c>
      <c r="CC18" s="11">
        <v>340</v>
      </c>
      <c r="CD18" s="11">
        <v>340</v>
      </c>
      <c r="CE18" s="11">
        <v>340</v>
      </c>
      <c r="CF18" s="11">
        <v>340</v>
      </c>
      <c r="CG18" s="11">
        <v>340</v>
      </c>
      <c r="CH18" s="11">
        <v>340</v>
      </c>
      <c r="CI18" s="11">
        <v>340</v>
      </c>
      <c r="CJ18" s="11">
        <v>340</v>
      </c>
      <c r="CK18" s="11">
        <v>340</v>
      </c>
      <c r="CL18" s="11">
        <v>340</v>
      </c>
      <c r="CM18" s="11">
        <v>340</v>
      </c>
      <c r="CN18" s="11">
        <v>340</v>
      </c>
      <c r="CO18" s="11">
        <v>340</v>
      </c>
      <c r="CP18" s="11">
        <v>340</v>
      </c>
      <c r="CQ18" s="11">
        <v>340</v>
      </c>
      <c r="CR18" s="11">
        <v>340</v>
      </c>
      <c r="CS18" s="11">
        <v>340</v>
      </c>
      <c r="CT18" s="11">
        <v>340</v>
      </c>
      <c r="CU18" s="11">
        <v>340</v>
      </c>
      <c r="CV18" s="11">
        <v>340</v>
      </c>
      <c r="CW18" s="11">
        <v>340</v>
      </c>
      <c r="CX18" s="11">
        <v>340</v>
      </c>
    </row>
    <row r="19" spans="1:103" s="2" customFormat="1" ht="15" customHeight="1" x14ac:dyDescent="0.2">
      <c r="A19" s="14" t="s">
        <v>120</v>
      </c>
      <c r="B19" s="10" t="s">
        <v>109</v>
      </c>
      <c r="C19" s="11">
        <v>889.73699999999997</v>
      </c>
      <c r="D19" s="11">
        <v>733.74400000000003</v>
      </c>
      <c r="E19" s="11">
        <v>641.74900000000002</v>
      </c>
      <c r="F19" s="11">
        <v>546.31899999999996</v>
      </c>
      <c r="G19" s="11">
        <v>447.59199999999998</v>
      </c>
      <c r="H19" s="11">
        <v>346.185</v>
      </c>
      <c r="I19" s="11">
        <v>339.56599999999997</v>
      </c>
      <c r="J19" s="11">
        <v>332.33</v>
      </c>
      <c r="K19" s="11">
        <v>324.59100000000001</v>
      </c>
      <c r="L19" s="11">
        <v>316.613</v>
      </c>
      <c r="M19" s="11">
        <v>308.86099999999999</v>
      </c>
      <c r="N19" s="11">
        <v>301.58600000000001</v>
      </c>
      <c r="O19" s="11">
        <v>294.56099999999998</v>
      </c>
      <c r="P19" s="11">
        <v>287.93299999999999</v>
      </c>
      <c r="Q19" s="11">
        <v>281.86799999999999</v>
      </c>
      <c r="R19" s="11">
        <v>276.39699999999999</v>
      </c>
      <c r="S19" s="11">
        <v>271.39600000000002</v>
      </c>
      <c r="T19" s="11">
        <v>266.75200000000001</v>
      </c>
      <c r="U19" s="11">
        <v>262.42099999999999</v>
      </c>
      <c r="V19" s="11">
        <v>258.32</v>
      </c>
      <c r="W19" s="11">
        <v>254.042</v>
      </c>
      <c r="X19" s="11">
        <v>249.26499999999999</v>
      </c>
      <c r="Y19" s="11">
        <v>244.18</v>
      </c>
      <c r="Z19" s="11">
        <v>238.815</v>
      </c>
      <c r="AA19" s="11">
        <v>233.05199999999999</v>
      </c>
      <c r="AB19" s="11">
        <v>225.92099999999999</v>
      </c>
      <c r="AC19" s="11">
        <v>217.173</v>
      </c>
      <c r="AD19" s="11">
        <v>207.85</v>
      </c>
      <c r="AE19" s="11">
        <v>198.15299999999999</v>
      </c>
      <c r="AF19" s="11">
        <v>188.416</v>
      </c>
      <c r="AG19" s="11">
        <v>178.66300000000001</v>
      </c>
      <c r="AH19" s="11">
        <v>169.13</v>
      </c>
      <c r="AI19" s="11">
        <v>160.309</v>
      </c>
      <c r="AJ19" s="11">
        <v>152.619</v>
      </c>
      <c r="AK19" s="11">
        <v>146.13900000000001</v>
      </c>
      <c r="AL19" s="11">
        <v>140.709</v>
      </c>
      <c r="AM19" s="11">
        <v>136.43600000000001</v>
      </c>
      <c r="AN19" s="11">
        <v>133.28299999999999</v>
      </c>
      <c r="AO19" s="11">
        <v>131.18899999999999</v>
      </c>
      <c r="AP19" s="11">
        <v>130.005</v>
      </c>
      <c r="AQ19" s="11">
        <v>129.386</v>
      </c>
      <c r="AR19" s="11">
        <v>129.14500000000001</v>
      </c>
      <c r="AS19" s="11">
        <v>129.28100000000001</v>
      </c>
      <c r="AT19" s="11">
        <v>129.59100000000001</v>
      </c>
      <c r="AU19" s="11">
        <v>129.76300000000001</v>
      </c>
      <c r="AV19" s="11">
        <v>129.601</v>
      </c>
      <c r="AW19" s="11">
        <v>128.892</v>
      </c>
      <c r="AX19" s="11">
        <v>127.45399999999999</v>
      </c>
      <c r="AY19" s="11">
        <v>125.164</v>
      </c>
      <c r="AZ19" s="11">
        <v>121.928</v>
      </c>
      <c r="BA19" s="11">
        <v>117.715</v>
      </c>
      <c r="BB19" s="11">
        <v>112.627</v>
      </c>
      <c r="BC19" s="11">
        <v>106.714</v>
      </c>
      <c r="BD19" s="11">
        <v>100.15600000000001</v>
      </c>
      <c r="BE19" s="11">
        <v>93.074000000000012</v>
      </c>
      <c r="BF19" s="11">
        <v>85.693999999999988</v>
      </c>
      <c r="BG19" s="11">
        <v>78.168000000000006</v>
      </c>
      <c r="BH19" s="11">
        <v>70.538999999999987</v>
      </c>
      <c r="BI19" s="11">
        <v>62.994000000000028</v>
      </c>
      <c r="BJ19" s="11">
        <v>55.607000000000028</v>
      </c>
      <c r="BK19" s="11">
        <v>48.494000000000028</v>
      </c>
      <c r="BL19" s="11">
        <v>41.713000000000022</v>
      </c>
      <c r="BM19" s="11">
        <v>35.34899999999999</v>
      </c>
      <c r="BN19" s="11">
        <v>29.44499999999999</v>
      </c>
      <c r="BO19" s="11">
        <v>24.074999999999989</v>
      </c>
      <c r="BP19" s="11">
        <v>19.230000000000022</v>
      </c>
      <c r="BQ19" s="11">
        <v>14.934000000000029</v>
      </c>
      <c r="BR19" s="11">
        <v>11.14600000000002</v>
      </c>
      <c r="BS19" s="11">
        <v>7.8210000000000264</v>
      </c>
      <c r="BT19" s="11">
        <v>5.0160000000000204</v>
      </c>
      <c r="BU19" s="11">
        <v>2.617999999999995</v>
      </c>
      <c r="BV19" s="11">
        <v>0.617999999999995</v>
      </c>
      <c r="BW19" s="11">
        <v>-1.091999999999985</v>
      </c>
      <c r="BX19" s="11">
        <v>-2.4990000000000241</v>
      </c>
      <c r="BY19" s="11">
        <v>-3.6399999999999859</v>
      </c>
      <c r="BZ19" s="11">
        <v>-4.5960000000000036</v>
      </c>
      <c r="CA19" s="11">
        <v>-5.3720000000000141</v>
      </c>
      <c r="CB19" s="11">
        <v>-6.0079999999999814</v>
      </c>
      <c r="CC19" s="11">
        <v>-6.4839999999999796</v>
      </c>
      <c r="CD19" s="11">
        <v>-6.8290000000000077</v>
      </c>
      <c r="CE19" s="11">
        <v>-6.9970000000000141</v>
      </c>
      <c r="CF19" s="11">
        <v>-6.9569999999999936</v>
      </c>
      <c r="CG19" s="11">
        <v>-6.6399999999999864</v>
      </c>
      <c r="CH19" s="11">
        <v>-5.9750000000000227</v>
      </c>
      <c r="CI19" s="11">
        <v>-4.9490000000000123</v>
      </c>
      <c r="CJ19" s="11">
        <v>-3.5439999999999832</v>
      </c>
      <c r="CK19" s="11">
        <v>-1.7420000000000191</v>
      </c>
      <c r="CL19" s="11">
        <v>0.46600000000000819</v>
      </c>
      <c r="CM19" s="11">
        <v>3.019000000000005</v>
      </c>
      <c r="CN19" s="11">
        <v>5.8319999999999936</v>
      </c>
      <c r="CO19" s="11">
        <v>8.8140000000000214</v>
      </c>
      <c r="CP19" s="11">
        <v>11.913999999999991</v>
      </c>
      <c r="CQ19" s="11">
        <v>15.04199999999997</v>
      </c>
      <c r="CR19" s="11">
        <v>18.05700000000002</v>
      </c>
      <c r="CS19" s="11">
        <v>20.899999999999981</v>
      </c>
      <c r="CT19" s="11">
        <v>23.47199999999998</v>
      </c>
      <c r="CU19" s="11">
        <v>25.687999999999992</v>
      </c>
      <c r="CV19" s="11">
        <v>27.505999999999968</v>
      </c>
      <c r="CW19" s="11">
        <v>28.911000000000001</v>
      </c>
      <c r="CX19" s="11">
        <v>29.838000000000019</v>
      </c>
    </row>
    <row r="20" spans="1:103" s="2" customFormat="1" ht="15" customHeight="1" x14ac:dyDescent="0.2">
      <c r="A20" s="9" t="s">
        <v>121</v>
      </c>
      <c r="B20" s="10" t="s">
        <v>109</v>
      </c>
      <c r="C20" s="11">
        <v>68492.494999999995</v>
      </c>
      <c r="D20" s="11">
        <v>69226.231</v>
      </c>
      <c r="E20" s="11">
        <v>69867.979000000007</v>
      </c>
      <c r="F20" s="11">
        <v>70414.3</v>
      </c>
      <c r="G20" s="11">
        <v>70861.913</v>
      </c>
      <c r="H20" s="11">
        <v>71208.100999999995</v>
      </c>
      <c r="I20" s="11">
        <v>71547.661999999997</v>
      </c>
      <c r="J20" s="11">
        <v>71879.987999999998</v>
      </c>
      <c r="K20" s="11">
        <v>72204.573999999993</v>
      </c>
      <c r="L20" s="11">
        <v>72521.172999999995</v>
      </c>
      <c r="M20" s="11">
        <v>72830.020999999993</v>
      </c>
      <c r="N20" s="11">
        <v>73131.596999999994</v>
      </c>
      <c r="O20" s="11">
        <v>73426.168000000005</v>
      </c>
      <c r="P20" s="11">
        <v>73714.089000000007</v>
      </c>
      <c r="Q20" s="11">
        <v>73995.941000000006</v>
      </c>
      <c r="R20" s="11">
        <v>74272.334000000003</v>
      </c>
      <c r="S20" s="11">
        <v>74543.737999999998</v>
      </c>
      <c r="T20" s="11">
        <v>74810.478000000003</v>
      </c>
      <c r="U20" s="11">
        <v>75072.892000000007</v>
      </c>
      <c r="V20" s="11">
        <v>75331.209000000003</v>
      </c>
      <c r="W20" s="11">
        <v>75585.236000000004</v>
      </c>
      <c r="X20" s="11">
        <v>75834.506999999998</v>
      </c>
      <c r="Y20" s="11">
        <v>76078.686000000002</v>
      </c>
      <c r="Z20" s="11">
        <v>76317.48</v>
      </c>
      <c r="AA20" s="11">
        <v>76550.535000000003</v>
      </c>
      <c r="AB20" s="11">
        <v>76776.460000000006</v>
      </c>
      <c r="AC20" s="11">
        <v>76993.637000000002</v>
      </c>
      <c r="AD20" s="11">
        <v>77201.482999999993</v>
      </c>
      <c r="AE20" s="11">
        <v>77399.645000000004</v>
      </c>
      <c r="AF20" s="11">
        <v>77588.048999999999</v>
      </c>
      <c r="AG20" s="11">
        <v>77766.710000000006</v>
      </c>
      <c r="AH20" s="11">
        <v>77935.834000000003</v>
      </c>
      <c r="AI20" s="11">
        <v>78096.133000000002</v>
      </c>
      <c r="AJ20" s="11">
        <v>78248.758000000002</v>
      </c>
      <c r="AK20" s="11">
        <v>78394.895999999993</v>
      </c>
      <c r="AL20" s="11">
        <v>78535.61</v>
      </c>
      <c r="AM20" s="11">
        <v>78672.035999999993</v>
      </c>
      <c r="AN20" s="11">
        <v>78805.316999999995</v>
      </c>
      <c r="AO20" s="11">
        <v>78936.486999999994</v>
      </c>
      <c r="AP20" s="11">
        <v>79066.48</v>
      </c>
      <c r="AQ20" s="11">
        <v>79195.862999999998</v>
      </c>
      <c r="AR20" s="11">
        <v>79325.004000000001</v>
      </c>
      <c r="AS20" s="11">
        <v>79454.27</v>
      </c>
      <c r="AT20" s="11">
        <v>79583.857000000004</v>
      </c>
      <c r="AU20" s="11">
        <v>79713.62</v>
      </c>
      <c r="AV20" s="11">
        <v>79843.214000000007</v>
      </c>
      <c r="AW20" s="11">
        <v>79972.100000000006</v>
      </c>
      <c r="AX20" s="11">
        <v>80099.543999999994</v>
      </c>
      <c r="AY20" s="11">
        <v>80224.705000000002</v>
      </c>
      <c r="AZ20" s="11">
        <v>80346.626000000004</v>
      </c>
      <c r="BA20" s="11">
        <v>80464.327999999994</v>
      </c>
      <c r="BB20" s="11">
        <v>80576.957999999999</v>
      </c>
      <c r="BC20" s="11">
        <v>80683.665999999997</v>
      </c>
      <c r="BD20" s="11">
        <v>80783.804999999993</v>
      </c>
      <c r="BE20" s="11">
        <v>80876.875</v>
      </c>
      <c r="BF20" s="11">
        <v>80962.573999999993</v>
      </c>
      <c r="BG20" s="11">
        <v>81040.744000000006</v>
      </c>
      <c r="BH20" s="11">
        <v>81111.28</v>
      </c>
      <c r="BI20" s="11">
        <v>81174.269</v>
      </c>
      <c r="BJ20" s="11">
        <v>81229.881999999998</v>
      </c>
      <c r="BK20" s="11">
        <v>81278.373000000007</v>
      </c>
      <c r="BL20" s="11">
        <v>81320.103000000003</v>
      </c>
      <c r="BM20" s="11">
        <v>81355.441999999995</v>
      </c>
      <c r="BN20" s="11">
        <v>81384.875</v>
      </c>
      <c r="BO20" s="11">
        <v>81408.956999999995</v>
      </c>
      <c r="BP20" s="11">
        <v>81428.186000000002</v>
      </c>
      <c r="BQ20" s="11">
        <v>81443.111000000004</v>
      </c>
      <c r="BR20" s="11">
        <v>81454.243000000002</v>
      </c>
      <c r="BS20" s="11">
        <v>81462.067999999999</v>
      </c>
      <c r="BT20" s="11">
        <v>81467.091</v>
      </c>
      <c r="BU20" s="11">
        <v>81469.703999999998</v>
      </c>
      <c r="BV20" s="11">
        <v>81470.320000000007</v>
      </c>
      <c r="BW20" s="11">
        <v>81469.232000000004</v>
      </c>
      <c r="BX20" s="11">
        <v>81466.731</v>
      </c>
      <c r="BY20" s="11">
        <v>81463.092999999993</v>
      </c>
      <c r="BZ20" s="11">
        <v>81458.489000000001</v>
      </c>
      <c r="CA20" s="11">
        <v>81453.119999999995</v>
      </c>
      <c r="CB20" s="11">
        <v>81447.095000000001</v>
      </c>
      <c r="CC20" s="11">
        <v>81440.607999999993</v>
      </c>
      <c r="CD20" s="11">
        <v>81433.781000000003</v>
      </c>
      <c r="CE20" s="11">
        <v>81426.782999999996</v>
      </c>
      <c r="CF20" s="11">
        <v>81419.828999999998</v>
      </c>
      <c r="CG20" s="11">
        <v>81413.183000000005</v>
      </c>
      <c r="CH20" s="11">
        <v>81407.199999999997</v>
      </c>
      <c r="CI20" s="11">
        <v>81402.25</v>
      </c>
      <c r="CJ20" s="11">
        <v>81398.709000000003</v>
      </c>
      <c r="CK20" s="11">
        <v>81396.967000000004</v>
      </c>
      <c r="CL20" s="11">
        <v>81397.436000000002</v>
      </c>
      <c r="CM20" s="11">
        <v>81400.459000000003</v>
      </c>
      <c r="CN20" s="11">
        <v>81406.275999999998</v>
      </c>
      <c r="CO20" s="11">
        <v>81415.084000000003</v>
      </c>
      <c r="CP20" s="11">
        <v>81426.995999999999</v>
      </c>
      <c r="CQ20" s="11">
        <v>81442.03</v>
      </c>
      <c r="CR20" s="11">
        <v>81460.095000000001</v>
      </c>
      <c r="CS20" s="11">
        <v>81480.985000000001</v>
      </c>
      <c r="CT20" s="11">
        <v>81504.456000000006</v>
      </c>
      <c r="CU20" s="11">
        <v>81530.145000000004</v>
      </c>
      <c r="CV20" s="11">
        <v>81557.638999999996</v>
      </c>
      <c r="CW20" s="11">
        <v>81586.535000000003</v>
      </c>
      <c r="CX20" s="11">
        <v>81616.369000000006</v>
      </c>
    </row>
    <row r="21" spans="1:103" s="2" customFormat="1" ht="15" customHeight="1" x14ac:dyDescent="0.2">
      <c r="A21" s="14" t="s">
        <v>122</v>
      </c>
      <c r="B21" s="10" t="s">
        <v>109</v>
      </c>
      <c r="C21" s="15">
        <v>1.3161208016341181E-2</v>
      </c>
      <c r="D21" s="15">
        <v>1.071264815218083E-2</v>
      </c>
      <c r="E21" s="15">
        <v>9.2703010221661039E-3</v>
      </c>
      <c r="F21" s="15">
        <v>7.8193330881947548E-3</v>
      </c>
      <c r="G21" s="15">
        <v>6.3568479698015538E-3</v>
      </c>
      <c r="H21" s="15">
        <v>4.8853888547998221E-3</v>
      </c>
      <c r="I21" s="15">
        <v>4.768572609456353E-3</v>
      </c>
      <c r="J21" s="15">
        <v>4.6448198405141588E-3</v>
      </c>
      <c r="K21" s="15">
        <v>4.5156657510849289E-3</v>
      </c>
      <c r="L21" s="15">
        <v>4.3847499190287033E-3</v>
      </c>
      <c r="M21" s="15">
        <v>4.2587286887926946E-3</v>
      </c>
      <c r="N21" s="15">
        <v>4.1408198962348368E-3</v>
      </c>
      <c r="O21" s="15">
        <v>4.0279579837427977E-3</v>
      </c>
      <c r="P21" s="15">
        <v>3.9212314606967107E-3</v>
      </c>
      <c r="Q21" s="15">
        <v>3.823583847044476E-3</v>
      </c>
      <c r="R21" s="15">
        <v>3.7352454237996159E-3</v>
      </c>
      <c r="S21" s="15">
        <v>3.654173571548121E-3</v>
      </c>
      <c r="T21" s="15">
        <v>3.5783019091423251E-3</v>
      </c>
      <c r="U21" s="15">
        <v>3.5077171943748882E-3</v>
      </c>
      <c r="V21" s="15">
        <v>3.44088249590805E-3</v>
      </c>
      <c r="W21" s="15">
        <v>3.3721349142292649E-3</v>
      </c>
      <c r="X21" s="15">
        <v>3.2978794959374518E-3</v>
      </c>
      <c r="Y21" s="15">
        <v>3.2198930231062718E-3</v>
      </c>
      <c r="Z21" s="15">
        <v>3.138776608207907E-3</v>
      </c>
      <c r="AA21" s="15">
        <v>3.0537564919597389E-3</v>
      </c>
      <c r="AB21" s="15">
        <v>2.951318367663961E-3</v>
      </c>
      <c r="AC21" s="15">
        <v>2.8286925445637381E-3</v>
      </c>
      <c r="AD21" s="15">
        <v>2.699521779962031E-3</v>
      </c>
      <c r="AE21" s="15">
        <v>2.56681597683831E-3</v>
      </c>
      <c r="AF21" s="15">
        <v>2.434171371199377E-3</v>
      </c>
      <c r="AG21" s="15">
        <v>2.3026871058454811E-3</v>
      </c>
      <c r="AH21" s="15">
        <v>2.1747608970470291E-3</v>
      </c>
      <c r="AI21" s="15">
        <v>2.056807398763438E-3</v>
      </c>
      <c r="AJ21" s="15">
        <v>1.954322117331981E-3</v>
      </c>
      <c r="AK21" s="15">
        <v>1.8676079178150239E-3</v>
      </c>
      <c r="AL21" s="15">
        <v>1.7949382827168649E-3</v>
      </c>
      <c r="AM21" s="15">
        <v>1.7371228160065501E-3</v>
      </c>
      <c r="AN21" s="15">
        <v>1.6941343681508719E-3</v>
      </c>
      <c r="AO21" s="15">
        <v>1.6644815983672559E-3</v>
      </c>
      <c r="AP21" s="15">
        <v>1.6468049813263439E-3</v>
      </c>
      <c r="AQ21" s="15">
        <v>1.6363824467713959E-3</v>
      </c>
      <c r="AR21" s="15">
        <v>1.6306533587493489E-3</v>
      </c>
      <c r="AS21" s="15">
        <v>1.629574452968238E-3</v>
      </c>
      <c r="AT21" s="15">
        <v>1.630963320158873E-3</v>
      </c>
      <c r="AU21" s="15">
        <v>1.630519113945328E-3</v>
      </c>
      <c r="AV21" s="15">
        <v>1.6257447598040571E-3</v>
      </c>
      <c r="AW21" s="15">
        <v>1.614238625213642E-3</v>
      </c>
      <c r="AX21" s="15">
        <v>1.593605770012149E-3</v>
      </c>
      <c r="AY21" s="15">
        <v>1.5625681963933201E-3</v>
      </c>
      <c r="AZ21" s="15">
        <v>1.5197438245488359E-3</v>
      </c>
      <c r="BA21" s="15">
        <v>1.4649277245318329E-3</v>
      </c>
      <c r="BB21" s="15">
        <v>1.399750706922012E-3</v>
      </c>
      <c r="BC21" s="15">
        <v>1.324299187368165E-3</v>
      </c>
      <c r="BD21" s="15">
        <v>1.2411310115729691E-3</v>
      </c>
      <c r="BE21" s="15">
        <v>1.152087352161822E-3</v>
      </c>
      <c r="BF21" s="15">
        <v>1.059623038105679E-3</v>
      </c>
      <c r="BG21" s="15">
        <v>9.6550784069702144E-4</v>
      </c>
      <c r="BH21" s="15">
        <v>8.7037700443609914E-4</v>
      </c>
      <c r="BI21" s="15">
        <v>7.7657509535050359E-4</v>
      </c>
      <c r="BJ21" s="15">
        <v>6.8510626193624927E-4</v>
      </c>
      <c r="BK21" s="15">
        <v>5.9696011869140816E-4</v>
      </c>
      <c r="BL21" s="15">
        <v>5.1342071032839105E-4</v>
      </c>
      <c r="BM21" s="15">
        <v>4.3456659173184598E-4</v>
      </c>
      <c r="BN21" s="15">
        <v>3.6178280489219808E-4</v>
      </c>
      <c r="BO21" s="15">
        <v>2.9590264775850402E-4</v>
      </c>
      <c r="BP21" s="15">
        <v>2.3620251024720329E-4</v>
      </c>
      <c r="BQ21" s="15">
        <v>1.8329034125852821E-4</v>
      </c>
      <c r="BR21" s="15">
        <v>1.366843660969408E-4</v>
      </c>
      <c r="BS21" s="15">
        <v>9.6066204924365805E-5</v>
      </c>
      <c r="BT21" s="15">
        <v>6.1660600121286489E-5</v>
      </c>
      <c r="BU21" s="15">
        <v>3.2074301020488807E-5</v>
      </c>
      <c r="BV21" s="15">
        <v>7.5610928942258141E-6</v>
      </c>
      <c r="BW21" s="15">
        <v>-1.3354556604213361E-5</v>
      </c>
      <c r="BX21" s="15">
        <v>-3.0698705985148383E-5</v>
      </c>
      <c r="BY21" s="15">
        <v>-4.4656265881176533E-5</v>
      </c>
      <c r="BZ21" s="15">
        <v>-5.6516390802790708E-5</v>
      </c>
      <c r="CA21" s="15">
        <v>-6.5910871487022722E-5</v>
      </c>
      <c r="CB21" s="15">
        <v>-7.3968928384746704E-5</v>
      </c>
      <c r="CC21" s="15">
        <v>-7.9646794032473049E-5</v>
      </c>
      <c r="CD21" s="15">
        <v>-8.3827959633973043E-5</v>
      </c>
      <c r="CE21" s="15">
        <v>-8.5934853006602602E-5</v>
      </c>
      <c r="CF21" s="15">
        <v>-8.540187569485466E-5</v>
      </c>
      <c r="CG21" s="15">
        <v>-8.1626307517710021E-5</v>
      </c>
      <c r="CH21" s="15">
        <v>-7.3489326661106599E-5</v>
      </c>
      <c r="CI21" s="15">
        <v>-6.0805432443286222E-5</v>
      </c>
      <c r="CJ21" s="15">
        <v>-4.3500026104898069E-5</v>
      </c>
      <c r="CK21" s="15">
        <v>-2.1400830816596491E-5</v>
      </c>
      <c r="CL21" s="15">
        <v>5.7618854520380648E-6</v>
      </c>
      <c r="CM21" s="15">
        <v>3.7138761962981828E-5</v>
      </c>
      <c r="CN21" s="15">
        <v>7.1461513503203459E-5</v>
      </c>
      <c r="CO21" s="15">
        <v>1.0819804605734009E-4</v>
      </c>
      <c r="CP21" s="15">
        <v>1.4631195369148821E-4</v>
      </c>
      <c r="CQ21" s="15">
        <v>1.8463164231184031E-4</v>
      </c>
      <c r="CR21" s="15">
        <v>2.218142155838003E-4</v>
      </c>
      <c r="CS21" s="15">
        <v>2.564445818532303E-4</v>
      </c>
      <c r="CT21" s="15">
        <v>2.8805493698934803E-4</v>
      </c>
      <c r="CU21" s="15">
        <v>3.1518522128407911E-4</v>
      </c>
      <c r="CV21" s="15">
        <v>3.3722496139300992E-4</v>
      </c>
      <c r="CW21" s="15">
        <v>3.5430157560112688E-4</v>
      </c>
      <c r="CX21" s="15">
        <v>3.6567308563848882E-4</v>
      </c>
    </row>
    <row r="22" spans="1:103" s="2" customFormat="1" ht="15" customHeight="1" x14ac:dyDescent="0.2">
      <c r="A22" s="9" t="s">
        <v>123</v>
      </c>
      <c r="B22" s="10" t="s">
        <v>109</v>
      </c>
      <c r="C22" s="16">
        <v>1.4474239373754281</v>
      </c>
      <c r="D22" s="16">
        <v>1.4281623940472381</v>
      </c>
      <c r="E22" s="16">
        <v>1.4233952402054151</v>
      </c>
      <c r="F22" s="16">
        <v>1.4188950579643249</v>
      </c>
      <c r="G22" s="16">
        <v>1.4146367294304061</v>
      </c>
      <c r="H22" s="16">
        <v>1.41213624318438</v>
      </c>
      <c r="I22" s="16">
        <v>1.411340584260566</v>
      </c>
      <c r="J22" s="16">
        <v>1.4107551315815789</v>
      </c>
      <c r="K22" s="16">
        <v>1.4103275999275899</v>
      </c>
      <c r="L22" s="16">
        <v>1.410049391250781</v>
      </c>
      <c r="M22" s="16">
        <v>1.4106370245301261</v>
      </c>
      <c r="N22" s="16">
        <v>1.412101544742407</v>
      </c>
      <c r="O22" s="16">
        <v>1.413744572363455</v>
      </c>
      <c r="P22" s="16">
        <v>1.415626657001021</v>
      </c>
      <c r="Q22" s="16">
        <v>1.4177247256814649</v>
      </c>
      <c r="R22" s="16">
        <v>1.420187399409792</v>
      </c>
      <c r="S22" s="16">
        <v>1.423039771315711</v>
      </c>
      <c r="T22" s="16">
        <v>1.426045532240475</v>
      </c>
      <c r="U22" s="16">
        <v>1.4291702099166561</v>
      </c>
      <c r="V22" s="16">
        <v>1.432468868336374</v>
      </c>
      <c r="W22" s="16">
        <v>1.4352697823801019</v>
      </c>
      <c r="X22" s="16">
        <v>1.4375888064156841</v>
      </c>
      <c r="Y22" s="16">
        <v>1.440093919759577</v>
      </c>
      <c r="Z22" s="16">
        <v>1.4427302255193111</v>
      </c>
      <c r="AA22" s="16">
        <v>1.4455258264006161</v>
      </c>
      <c r="AB22" s="16">
        <v>1.4469497638031881</v>
      </c>
      <c r="AC22" s="16">
        <v>1.4469342087306469</v>
      </c>
      <c r="AD22" s="16">
        <v>1.446935537206731</v>
      </c>
      <c r="AE22" s="16">
        <v>1.4469161883544099</v>
      </c>
      <c r="AF22" s="16">
        <v>1.446910723092687</v>
      </c>
      <c r="AG22" s="16">
        <v>1.4468911401731941</v>
      </c>
      <c r="AH22" s="16">
        <v>1.446881856262916</v>
      </c>
      <c r="AI22" s="16">
        <v>1.446873479639027</v>
      </c>
      <c r="AJ22" s="16">
        <v>1.4468476965053381</v>
      </c>
      <c r="AK22" s="16">
        <v>1.4468375783026779</v>
      </c>
      <c r="AL22" s="16">
        <v>1.4468120107932609</v>
      </c>
      <c r="AM22" s="16">
        <v>1.446824251487062</v>
      </c>
      <c r="AN22" s="16">
        <v>1.446795309201834</v>
      </c>
      <c r="AO22" s="16">
        <v>1.446807790159621</v>
      </c>
      <c r="AP22" s="16">
        <v>1.4467984560174709</v>
      </c>
      <c r="AQ22" s="16">
        <v>1.4467718867174419</v>
      </c>
      <c r="AR22" s="16">
        <v>1.4467642625562891</v>
      </c>
      <c r="AS22" s="16">
        <v>1.446758391959752</v>
      </c>
      <c r="AT22" s="16">
        <v>1.446750803677783</v>
      </c>
      <c r="AU22" s="16">
        <v>1.446762301641594</v>
      </c>
      <c r="AV22" s="16">
        <v>1.446758631185544</v>
      </c>
      <c r="AW22" s="16">
        <v>1.446780845921577</v>
      </c>
      <c r="AX22" s="16">
        <v>1.4467839429367491</v>
      </c>
      <c r="AY22" s="16">
        <v>1.4467965545374499</v>
      </c>
      <c r="AZ22" s="16">
        <v>1.4468148335148441</v>
      </c>
      <c r="BA22" s="16">
        <v>1.446834247072162</v>
      </c>
      <c r="BB22" s="16">
        <v>1.4468496355101199</v>
      </c>
      <c r="BC22" s="16">
        <v>1.4468570352126959</v>
      </c>
      <c r="BD22" s="16">
        <v>1.4468954050482219</v>
      </c>
      <c r="BE22" s="16">
        <v>1.446890253559014</v>
      </c>
      <c r="BF22" s="16">
        <v>1.4468991168003671</v>
      </c>
      <c r="BG22" s="16">
        <v>1.446923567005018</v>
      </c>
      <c r="BH22" s="16">
        <v>1.446929338963598</v>
      </c>
      <c r="BI22" s="16">
        <v>1.446948966362047</v>
      </c>
      <c r="BJ22" s="16">
        <v>1.4469323229718081</v>
      </c>
      <c r="BK22" s="16">
        <v>1.4469397261446071</v>
      </c>
      <c r="BL22" s="16">
        <v>1.4469295368661941</v>
      </c>
      <c r="BM22" s="16">
        <v>1.446918640851524</v>
      </c>
      <c r="BN22" s="16">
        <v>1.446934031808049</v>
      </c>
      <c r="BO22" s="16">
        <v>1.4469096127497989</v>
      </c>
      <c r="BP22" s="16">
        <v>1.446929461974777</v>
      </c>
      <c r="BQ22" s="16">
        <v>1.4469198010276609</v>
      </c>
      <c r="BR22" s="16">
        <v>1.4469163782176939</v>
      </c>
      <c r="BS22" s="16">
        <v>1.446891252580631</v>
      </c>
      <c r="BT22" s="16">
        <v>1.4468855627429329</v>
      </c>
      <c r="BU22" s="16">
        <v>1.4468903395109769</v>
      </c>
      <c r="BV22" s="16">
        <v>1.446885004125301</v>
      </c>
      <c r="BW22" s="16">
        <v>1.446882959068996</v>
      </c>
      <c r="BX22" s="16">
        <v>1.4468827053339799</v>
      </c>
      <c r="BY22" s="16">
        <v>1.446877462932888</v>
      </c>
      <c r="BZ22" s="16">
        <v>1.4468825581141349</v>
      </c>
      <c r="CA22" s="16">
        <v>1.446870036040407</v>
      </c>
      <c r="CB22" s="16">
        <v>1.446886107700069</v>
      </c>
      <c r="CC22" s="16">
        <v>1.446885362191048</v>
      </c>
      <c r="CD22" s="16">
        <v>1.446873270829105</v>
      </c>
      <c r="CE22" s="16">
        <v>1.4468764692104941</v>
      </c>
      <c r="CF22" s="16">
        <v>1.4468911398999109</v>
      </c>
      <c r="CG22" s="16">
        <v>1.446886050106976</v>
      </c>
      <c r="CH22" s="16">
        <v>1.446903378320322</v>
      </c>
      <c r="CI22" s="16">
        <v>1.446909104426559</v>
      </c>
      <c r="CJ22" s="16">
        <v>1.4469046099824041</v>
      </c>
      <c r="CK22" s="16">
        <v>1.4469093576338901</v>
      </c>
      <c r="CL22" s="16">
        <v>1.4469226120672349</v>
      </c>
      <c r="CM22" s="16">
        <v>1.446919192868771</v>
      </c>
      <c r="CN22" s="16">
        <v>1.4469320467219231</v>
      </c>
      <c r="CO22" s="16">
        <v>1.446934897104132</v>
      </c>
      <c r="CP22" s="16">
        <v>1.4469405438376439</v>
      </c>
      <c r="CQ22" s="16">
        <v>1.44694171872858</v>
      </c>
      <c r="CR22" s="16">
        <v>1.446932929689817</v>
      </c>
      <c r="CS22" s="16">
        <v>1.446941648214672</v>
      </c>
      <c r="CT22" s="16">
        <v>1.446951145415625</v>
      </c>
      <c r="CU22" s="16">
        <v>1.446945827550854</v>
      </c>
      <c r="CV22" s="16">
        <v>1.4469460871220261</v>
      </c>
      <c r="CW22" s="16">
        <v>1.44693643062712</v>
      </c>
      <c r="CX22" s="16">
        <v>1.4469420227761101</v>
      </c>
    </row>
    <row r="23" spans="1:103" s="2" customFormat="1" ht="15" customHeight="1" x14ac:dyDescent="0.2">
      <c r="A23" s="14" t="s">
        <v>124</v>
      </c>
      <c r="B23" s="10" t="s">
        <v>109</v>
      </c>
      <c r="C23" s="17">
        <v>78.858002376783517</v>
      </c>
      <c r="D23" s="17">
        <v>79.31286512539215</v>
      </c>
      <c r="E23" s="17">
        <v>79.471534099265725</v>
      </c>
      <c r="F23" s="17">
        <v>79.62731388050986</v>
      </c>
      <c r="G23" s="17">
        <v>79.777205992556887</v>
      </c>
      <c r="H23" s="17">
        <v>79.912905859630001</v>
      </c>
      <c r="I23" s="17">
        <v>80.03294435241304</v>
      </c>
      <c r="J23" s="17">
        <v>80.149986068652126</v>
      </c>
      <c r="K23" s="17">
        <v>80.264583089724923</v>
      </c>
      <c r="L23" s="17">
        <v>80.379011145813493</v>
      </c>
      <c r="M23" s="17">
        <v>80.491726781711989</v>
      </c>
      <c r="N23" s="17">
        <v>80.603626553093861</v>
      </c>
      <c r="O23" s="17">
        <v>80.714519083839136</v>
      </c>
      <c r="P23" s="17">
        <v>80.824330169192152</v>
      </c>
      <c r="Q23" s="17">
        <v>80.934371779418399</v>
      </c>
      <c r="R23" s="17">
        <v>81.045187222790091</v>
      </c>
      <c r="S23" s="17">
        <v>81.154670242267969</v>
      </c>
      <c r="T23" s="17">
        <v>81.264620734958513</v>
      </c>
      <c r="U23" s="17">
        <v>81.374849253939942</v>
      </c>
      <c r="V23" s="17">
        <v>81.482364340534829</v>
      </c>
      <c r="W23" s="17">
        <v>81.592313153660356</v>
      </c>
      <c r="X23" s="17">
        <v>81.701573934100679</v>
      </c>
      <c r="Y23" s="17">
        <v>81.811314257543671</v>
      </c>
      <c r="Z23" s="17">
        <v>81.920329605403495</v>
      </c>
      <c r="AA23" s="17">
        <v>82.028585953416538</v>
      </c>
      <c r="AB23" s="17">
        <v>82.13731476868773</v>
      </c>
      <c r="AC23" s="17">
        <v>82.244999556879293</v>
      </c>
      <c r="AD23" s="17">
        <v>82.353638920362329</v>
      </c>
      <c r="AE23" s="17">
        <v>82.461620075618242</v>
      </c>
      <c r="AF23" s="17">
        <v>82.569387567616587</v>
      </c>
      <c r="AG23" s="17">
        <v>82.67620838883758</v>
      </c>
      <c r="AH23" s="17">
        <v>82.783549965542505</v>
      </c>
      <c r="AI23" s="17">
        <v>82.890229123943499</v>
      </c>
      <c r="AJ23" s="17">
        <v>82.997659948872979</v>
      </c>
      <c r="AK23" s="17">
        <v>83.104616812594074</v>
      </c>
      <c r="AL23" s="17">
        <v>83.210779685568212</v>
      </c>
      <c r="AM23" s="17">
        <v>83.317770360224571</v>
      </c>
      <c r="AN23" s="17">
        <v>83.422543874913771</v>
      </c>
      <c r="AO23" s="17">
        <v>83.527233715378856</v>
      </c>
      <c r="AP23" s="17">
        <v>83.631387935816008</v>
      </c>
      <c r="AQ23" s="17">
        <v>83.73707588842467</v>
      </c>
      <c r="AR23" s="17">
        <v>83.841858227199424</v>
      </c>
      <c r="AS23" s="17">
        <v>83.946323880232924</v>
      </c>
      <c r="AT23" s="17">
        <v>84.0498112191339</v>
      </c>
      <c r="AU23" s="17">
        <v>84.153711801941611</v>
      </c>
      <c r="AV23" s="17">
        <v>84.256903950087022</v>
      </c>
      <c r="AW23" s="17">
        <v>84.359515067506081</v>
      </c>
      <c r="AX23" s="17">
        <v>84.463273993116658</v>
      </c>
      <c r="AY23" s="17">
        <v>84.566312586662988</v>
      </c>
      <c r="AZ23" s="17">
        <v>84.668741138962616</v>
      </c>
      <c r="BA23" s="17">
        <v>84.771136213564304</v>
      </c>
      <c r="BB23" s="17">
        <v>84.873003317616124</v>
      </c>
      <c r="BC23" s="17">
        <v>84.974533552854865</v>
      </c>
      <c r="BD23" s="17">
        <v>85.075591646400582</v>
      </c>
      <c r="BE23" s="17">
        <v>85.17634192457075</v>
      </c>
      <c r="BF23" s="17">
        <v>85.276963924122455</v>
      </c>
      <c r="BG23" s="17">
        <v>85.379157966076434</v>
      </c>
      <c r="BH23" s="17">
        <v>85.47933970163642</v>
      </c>
      <c r="BI23" s="17">
        <v>85.578614741351316</v>
      </c>
      <c r="BJ23" s="17">
        <v>85.67793667718594</v>
      </c>
      <c r="BK23" s="17">
        <v>85.778113675140034</v>
      </c>
      <c r="BL23" s="17">
        <v>85.877118480219707</v>
      </c>
      <c r="BM23" s="17">
        <v>85.976696130032778</v>
      </c>
      <c r="BN23" s="17">
        <v>86.076475895051431</v>
      </c>
      <c r="BO23" s="17">
        <v>86.174529933557068</v>
      </c>
      <c r="BP23" s="17">
        <v>86.271701721698165</v>
      </c>
      <c r="BQ23" s="17">
        <v>86.369476090916166</v>
      </c>
      <c r="BR23" s="17">
        <v>86.468091572830204</v>
      </c>
      <c r="BS23" s="17">
        <v>86.564760122772014</v>
      </c>
      <c r="BT23" s="17">
        <v>86.661745719104843</v>
      </c>
      <c r="BU23" s="17">
        <v>86.756354482257919</v>
      </c>
      <c r="BV23" s="17">
        <v>86.853930301594758</v>
      </c>
      <c r="BW23" s="17">
        <v>86.951165935963829</v>
      </c>
      <c r="BX23" s="17">
        <v>87.047275122937407</v>
      </c>
      <c r="BY23" s="17">
        <v>87.142484458904136</v>
      </c>
      <c r="BZ23" s="17">
        <v>87.236115753652157</v>
      </c>
      <c r="CA23" s="17">
        <v>87.331323732134237</v>
      </c>
      <c r="CB23" s="17">
        <v>87.426186982442943</v>
      </c>
      <c r="CC23" s="17">
        <v>87.520851940956689</v>
      </c>
      <c r="CD23" s="17">
        <v>87.615268491167313</v>
      </c>
      <c r="CE23" s="17">
        <v>87.708970388668945</v>
      </c>
      <c r="CF23" s="17">
        <v>87.801615455912852</v>
      </c>
      <c r="CG23" s="17">
        <v>87.895512277052774</v>
      </c>
      <c r="CH23" s="17">
        <v>87.988796043807014</v>
      </c>
      <c r="CI23" s="17">
        <v>88.081606833610792</v>
      </c>
      <c r="CJ23" s="17">
        <v>88.174063984558344</v>
      </c>
      <c r="CK23" s="17">
        <v>88.26567091719113</v>
      </c>
      <c r="CL23" s="17">
        <v>88.356697867211111</v>
      </c>
      <c r="CM23" s="17">
        <v>88.449060827365798</v>
      </c>
      <c r="CN23" s="17">
        <v>88.539866163724369</v>
      </c>
      <c r="CO23" s="17">
        <v>88.62943105976052</v>
      </c>
      <c r="CP23" s="17">
        <v>88.720304506755511</v>
      </c>
      <c r="CQ23" s="17">
        <v>88.810319875064835</v>
      </c>
      <c r="CR23" s="17">
        <v>88.898948485645818</v>
      </c>
      <c r="CS23" s="17">
        <v>88.990103834516674</v>
      </c>
      <c r="CT23" s="17">
        <v>89.079770346551243</v>
      </c>
      <c r="CU23" s="17">
        <v>89.168413731862472</v>
      </c>
      <c r="CV23" s="17">
        <v>89.255989109507624</v>
      </c>
      <c r="CW23" s="17">
        <v>89.344199230916814</v>
      </c>
      <c r="CX23" s="17">
        <v>89.431847886427391</v>
      </c>
    </row>
    <row r="24" spans="1:103" s="2" customFormat="1" ht="15" customHeight="1" x14ac:dyDescent="0.2">
      <c r="A24" s="18" t="s">
        <v>125</v>
      </c>
      <c r="B24" s="10" t="s">
        <v>109</v>
      </c>
      <c r="C24" s="17">
        <v>82.701026255098569</v>
      </c>
      <c r="D24" s="17">
        <v>83.088346692155653</v>
      </c>
      <c r="E24" s="17">
        <v>83.24323386635163</v>
      </c>
      <c r="F24" s="17">
        <v>83.391282215136101</v>
      </c>
      <c r="G24" s="17">
        <v>83.53783559810249</v>
      </c>
      <c r="H24" s="17">
        <v>83.669818281239216</v>
      </c>
      <c r="I24" s="17">
        <v>83.786408466022564</v>
      </c>
      <c r="J24" s="17">
        <v>83.902360844143033</v>
      </c>
      <c r="K24" s="17">
        <v>84.013845563035787</v>
      </c>
      <c r="L24" s="17">
        <v>84.123776230894578</v>
      </c>
      <c r="M24" s="17">
        <v>84.229323950691423</v>
      </c>
      <c r="N24" s="17">
        <v>84.335053635762733</v>
      </c>
      <c r="O24" s="17">
        <v>84.438379422024482</v>
      </c>
      <c r="P24" s="17">
        <v>84.540681076654238</v>
      </c>
      <c r="Q24" s="17">
        <v>84.642845849178684</v>
      </c>
      <c r="R24" s="17">
        <v>84.742750557680679</v>
      </c>
      <c r="S24" s="17">
        <v>84.84105308262879</v>
      </c>
      <c r="T24" s="17">
        <v>84.939735928398946</v>
      </c>
      <c r="U24" s="17">
        <v>85.037685585589529</v>
      </c>
      <c r="V24" s="17">
        <v>85.136512735788074</v>
      </c>
      <c r="W24" s="17">
        <v>85.23412443449152</v>
      </c>
      <c r="X24" s="17">
        <v>85.331772237213997</v>
      </c>
      <c r="Y24" s="17">
        <v>85.428661504140678</v>
      </c>
      <c r="Z24" s="17">
        <v>85.526718677936273</v>
      </c>
      <c r="AA24" s="17">
        <v>85.622874110055278</v>
      </c>
      <c r="AB24" s="17">
        <v>85.718785159003474</v>
      </c>
      <c r="AC24" s="17">
        <v>85.814684570992227</v>
      </c>
      <c r="AD24" s="17">
        <v>85.911333795393546</v>
      </c>
      <c r="AE24" s="17">
        <v>86.006833935437157</v>
      </c>
      <c r="AF24" s="17">
        <v>86.102160543704628</v>
      </c>
      <c r="AG24" s="17">
        <v>86.197345699568501</v>
      </c>
      <c r="AH24" s="17">
        <v>86.293392979563947</v>
      </c>
      <c r="AI24" s="17">
        <v>86.387537838625121</v>
      </c>
      <c r="AJ24" s="17">
        <v>86.482368884310603</v>
      </c>
      <c r="AK24" s="17">
        <v>86.576739154594392</v>
      </c>
      <c r="AL24" s="17">
        <v>86.670017465356182</v>
      </c>
      <c r="AM24" s="17">
        <v>86.76331385794613</v>
      </c>
      <c r="AN24" s="17">
        <v>86.856097853129313</v>
      </c>
      <c r="AO24" s="17">
        <v>86.94931572662432</v>
      </c>
      <c r="AP24" s="17">
        <v>87.042735799085079</v>
      </c>
      <c r="AQ24" s="17">
        <v>87.135472873690659</v>
      </c>
      <c r="AR24" s="17">
        <v>87.227529794953398</v>
      </c>
      <c r="AS24" s="17">
        <v>87.318049677196726</v>
      </c>
      <c r="AT24" s="17">
        <v>87.41036590055181</v>
      </c>
      <c r="AU24" s="17">
        <v>87.50259022708525</v>
      </c>
      <c r="AV24" s="17">
        <v>87.59305510887944</v>
      </c>
      <c r="AW24" s="17">
        <v>87.68308775589405</v>
      </c>
      <c r="AX24" s="17">
        <v>87.774054132449947</v>
      </c>
      <c r="AY24" s="17">
        <v>87.865148426557042</v>
      </c>
      <c r="AZ24" s="17">
        <v>87.95453398264047</v>
      </c>
      <c r="BA24" s="17">
        <v>88.04359634040172</v>
      </c>
      <c r="BB24" s="17">
        <v>88.132916681009817</v>
      </c>
      <c r="BC24" s="17">
        <v>88.221665304359107</v>
      </c>
      <c r="BD24" s="17">
        <v>88.310679146208145</v>
      </c>
      <c r="BE24" s="17">
        <v>88.39930268519818</v>
      </c>
      <c r="BF24" s="17">
        <v>88.488069680370216</v>
      </c>
      <c r="BG24" s="17">
        <v>88.575722481145931</v>
      </c>
      <c r="BH24" s="17">
        <v>88.663684293817724</v>
      </c>
      <c r="BI24" s="17">
        <v>88.750635027724201</v>
      </c>
      <c r="BJ24" s="17">
        <v>88.837148321072249</v>
      </c>
      <c r="BK24" s="17">
        <v>88.924064757414939</v>
      </c>
      <c r="BL24" s="17">
        <v>89.010478398279631</v>
      </c>
      <c r="BM24" s="17">
        <v>89.09657269520811</v>
      </c>
      <c r="BN24" s="17">
        <v>89.181677575236108</v>
      </c>
      <c r="BO24" s="17">
        <v>89.268362842213222</v>
      </c>
      <c r="BP24" s="17">
        <v>89.352257857434935</v>
      </c>
      <c r="BQ24" s="17">
        <v>89.438754912910056</v>
      </c>
      <c r="BR24" s="17">
        <v>89.523084126129177</v>
      </c>
      <c r="BS24" s="17">
        <v>89.606829415171831</v>
      </c>
      <c r="BT24" s="17">
        <v>89.69159123166547</v>
      </c>
      <c r="BU24" s="17">
        <v>89.775745360876243</v>
      </c>
      <c r="BV24" s="17">
        <v>89.860800257738774</v>
      </c>
      <c r="BW24" s="17">
        <v>89.942959772710807</v>
      </c>
      <c r="BX24" s="17">
        <v>90.026640793238045</v>
      </c>
      <c r="BY24" s="17">
        <v>90.110366596970735</v>
      </c>
      <c r="BZ24" s="17">
        <v>90.193248205047169</v>
      </c>
      <c r="CA24" s="17">
        <v>90.27483283881169</v>
      </c>
      <c r="CB24" s="17">
        <v>90.357488991802015</v>
      </c>
      <c r="CC24" s="17">
        <v>90.43846623688772</v>
      </c>
      <c r="CD24" s="17">
        <v>90.519585819018914</v>
      </c>
      <c r="CE24" s="17">
        <v>90.600823070083607</v>
      </c>
      <c r="CF24" s="17">
        <v>90.681885673910159</v>
      </c>
      <c r="CG24" s="17">
        <v>90.762653935056093</v>
      </c>
      <c r="CH24" s="17">
        <v>90.841558601645929</v>
      </c>
      <c r="CI24" s="17">
        <v>90.921970597909834</v>
      </c>
      <c r="CJ24" s="17">
        <v>91.001785426296792</v>
      </c>
      <c r="CK24" s="17">
        <v>91.080591557690923</v>
      </c>
      <c r="CL24" s="17">
        <v>91.159836424689132</v>
      </c>
      <c r="CM24" s="17">
        <v>91.239024472675823</v>
      </c>
      <c r="CN24" s="17">
        <v>91.316707345638008</v>
      </c>
      <c r="CO24" s="17">
        <v>91.394654087055315</v>
      </c>
      <c r="CP24" s="17">
        <v>91.471989526447032</v>
      </c>
      <c r="CQ24" s="17">
        <v>91.550131360167541</v>
      </c>
      <c r="CR24" s="17">
        <v>91.627467811346548</v>
      </c>
      <c r="CS24" s="17">
        <v>91.704167498196171</v>
      </c>
      <c r="CT24" s="17">
        <v>91.780237502927648</v>
      </c>
      <c r="CU24" s="17">
        <v>91.855835997096932</v>
      </c>
      <c r="CV24" s="17">
        <v>91.932061595699849</v>
      </c>
      <c r="CW24" s="17">
        <v>92.008030962215727</v>
      </c>
      <c r="CX24" s="17">
        <v>92.083126915509368</v>
      </c>
    </row>
    <row r="25" spans="1:103" ht="15" customHeight="1" x14ac:dyDescent="0.2"/>
    <row r="26" spans="1:103" ht="28.7" customHeight="1" x14ac:dyDescent="0.25">
      <c r="A26" s="5" t="s">
        <v>126</v>
      </c>
    </row>
    <row r="27" spans="1:103" s="22" customFormat="1" ht="15.6" customHeight="1" x14ac:dyDescent="0.2">
      <c r="A27" s="20" t="s">
        <v>127</v>
      </c>
      <c r="B27" s="21" t="s">
        <v>128</v>
      </c>
      <c r="C27" s="21" t="s">
        <v>8</v>
      </c>
      <c r="D27" s="21" t="s">
        <v>9</v>
      </c>
      <c r="E27" s="21" t="s">
        <v>10</v>
      </c>
      <c r="F27" s="21" t="s">
        <v>11</v>
      </c>
      <c r="G27" s="21" t="s">
        <v>12</v>
      </c>
      <c r="H27" s="21" t="s">
        <v>13</v>
      </c>
      <c r="I27" s="21" t="s">
        <v>14</v>
      </c>
      <c r="J27" s="21" t="s">
        <v>15</v>
      </c>
      <c r="K27" s="21" t="s">
        <v>16</v>
      </c>
      <c r="L27" s="21" t="s">
        <v>17</v>
      </c>
      <c r="M27" s="21" t="s">
        <v>18</v>
      </c>
      <c r="N27" s="21" t="s">
        <v>19</v>
      </c>
      <c r="O27" s="21" t="s">
        <v>20</v>
      </c>
      <c r="P27" s="21" t="s">
        <v>21</v>
      </c>
      <c r="Q27" s="21" t="s">
        <v>22</v>
      </c>
      <c r="R27" s="21" t="s">
        <v>23</v>
      </c>
      <c r="S27" s="21" t="s">
        <v>24</v>
      </c>
      <c r="T27" s="21" t="s">
        <v>25</v>
      </c>
      <c r="U27" s="21" t="s">
        <v>26</v>
      </c>
      <c r="V27" s="21" t="s">
        <v>27</v>
      </c>
      <c r="W27" s="21" t="s">
        <v>28</v>
      </c>
      <c r="X27" s="21" t="s">
        <v>29</v>
      </c>
      <c r="Y27" s="21" t="s">
        <v>30</v>
      </c>
      <c r="Z27" s="21" t="s">
        <v>31</v>
      </c>
      <c r="AA27" s="21" t="s">
        <v>32</v>
      </c>
      <c r="AB27" s="21" t="s">
        <v>33</v>
      </c>
      <c r="AC27" s="21" t="s">
        <v>34</v>
      </c>
      <c r="AD27" s="21" t="s">
        <v>35</v>
      </c>
      <c r="AE27" s="21" t="s">
        <v>36</v>
      </c>
      <c r="AF27" s="21" t="s">
        <v>37</v>
      </c>
      <c r="AG27" s="21" t="s">
        <v>38</v>
      </c>
      <c r="AH27" s="21" t="s">
        <v>39</v>
      </c>
      <c r="AI27" s="21" t="s">
        <v>40</v>
      </c>
      <c r="AJ27" s="21" t="s">
        <v>41</v>
      </c>
      <c r="AK27" s="21" t="s">
        <v>42</v>
      </c>
      <c r="AL27" s="21" t="s">
        <v>43</v>
      </c>
      <c r="AM27" s="21" t="s">
        <v>44</v>
      </c>
      <c r="AN27" s="21" t="s">
        <v>45</v>
      </c>
      <c r="AO27" s="21" t="s">
        <v>46</v>
      </c>
      <c r="AP27" s="21" t="s">
        <v>47</v>
      </c>
      <c r="AQ27" s="21" t="s">
        <v>48</v>
      </c>
      <c r="AR27" s="21" t="s">
        <v>49</v>
      </c>
      <c r="AS27" s="21" t="s">
        <v>50</v>
      </c>
      <c r="AT27" s="21" t="s">
        <v>51</v>
      </c>
      <c r="AU27" s="21" t="s">
        <v>52</v>
      </c>
      <c r="AV27" s="21" t="s">
        <v>53</v>
      </c>
      <c r="AW27" s="21" t="s">
        <v>54</v>
      </c>
      <c r="AX27" s="21" t="s">
        <v>55</v>
      </c>
      <c r="AY27" s="21" t="s">
        <v>56</v>
      </c>
      <c r="AZ27" s="21" t="s">
        <v>57</v>
      </c>
      <c r="BA27" s="21" t="s">
        <v>58</v>
      </c>
      <c r="BB27" s="21" t="s">
        <v>59</v>
      </c>
      <c r="BC27" s="21" t="s">
        <v>60</v>
      </c>
      <c r="BD27" s="21" t="s">
        <v>61</v>
      </c>
      <c r="BE27" s="21" t="s">
        <v>62</v>
      </c>
      <c r="BF27" s="21" t="s">
        <v>63</v>
      </c>
      <c r="BG27" s="21" t="s">
        <v>64</v>
      </c>
      <c r="BH27" s="21" t="s">
        <v>65</v>
      </c>
      <c r="BI27" s="21" t="s">
        <v>66</v>
      </c>
      <c r="BJ27" s="21" t="s">
        <v>67</v>
      </c>
      <c r="BK27" s="21" t="s">
        <v>68</v>
      </c>
      <c r="BL27" s="21" t="s">
        <v>69</v>
      </c>
      <c r="BM27" s="21" t="s">
        <v>70</v>
      </c>
      <c r="BN27" s="21" t="s">
        <v>71</v>
      </c>
      <c r="BO27" s="21" t="s">
        <v>72</v>
      </c>
      <c r="BP27" s="21" t="s">
        <v>73</v>
      </c>
      <c r="BQ27" s="21" t="s">
        <v>74</v>
      </c>
      <c r="BR27" s="21" t="s">
        <v>75</v>
      </c>
      <c r="BS27" s="21" t="s">
        <v>76</v>
      </c>
      <c r="BT27" s="21" t="s">
        <v>77</v>
      </c>
      <c r="BU27" s="21" t="s">
        <v>78</v>
      </c>
      <c r="BV27" s="21" t="s">
        <v>79</v>
      </c>
      <c r="BW27" s="21" t="s">
        <v>80</v>
      </c>
      <c r="BX27" s="21" t="s">
        <v>81</v>
      </c>
      <c r="BY27" s="21" t="s">
        <v>82</v>
      </c>
      <c r="BZ27" s="21" t="s">
        <v>83</v>
      </c>
      <c r="CA27" s="21" t="s">
        <v>84</v>
      </c>
      <c r="CB27" s="21" t="s">
        <v>85</v>
      </c>
      <c r="CC27" s="21" t="s">
        <v>86</v>
      </c>
      <c r="CD27" s="21" t="s">
        <v>87</v>
      </c>
      <c r="CE27" s="21" t="s">
        <v>88</v>
      </c>
      <c r="CF27" s="21" t="s">
        <v>89</v>
      </c>
      <c r="CG27" s="21" t="s">
        <v>90</v>
      </c>
      <c r="CH27" s="21" t="s">
        <v>91</v>
      </c>
      <c r="CI27" s="21" t="s">
        <v>92</v>
      </c>
      <c r="CJ27" s="21" t="s">
        <v>93</v>
      </c>
      <c r="CK27" s="21" t="s">
        <v>94</v>
      </c>
      <c r="CL27" s="21" t="s">
        <v>95</v>
      </c>
      <c r="CM27" s="21" t="s">
        <v>96</v>
      </c>
      <c r="CN27" s="21" t="s">
        <v>97</v>
      </c>
      <c r="CO27" s="21" t="s">
        <v>98</v>
      </c>
      <c r="CP27" s="21" t="s">
        <v>99</v>
      </c>
      <c r="CQ27" s="21" t="s">
        <v>100</v>
      </c>
      <c r="CR27" s="21" t="s">
        <v>101</v>
      </c>
      <c r="CS27" s="21" t="s">
        <v>102</v>
      </c>
      <c r="CT27" s="21" t="s">
        <v>103</v>
      </c>
      <c r="CU27" s="21" t="s">
        <v>104</v>
      </c>
      <c r="CV27" s="21" t="s">
        <v>105</v>
      </c>
      <c r="CW27" s="21" t="s">
        <v>106</v>
      </c>
      <c r="CX27" s="21" t="s">
        <v>107</v>
      </c>
    </row>
    <row r="28" spans="1:103" s="24" customFormat="1" ht="15" customHeight="1" x14ac:dyDescent="0.2">
      <c r="A28" s="2" t="s">
        <v>129</v>
      </c>
      <c r="B28" s="23">
        <v>11607.401</v>
      </c>
      <c r="C28" s="23">
        <v>11567.178</v>
      </c>
      <c r="D28" s="23">
        <v>11508.288</v>
      </c>
      <c r="E28" s="23">
        <v>11433.002</v>
      </c>
      <c r="F28" s="23">
        <v>11335.691999999999</v>
      </c>
      <c r="G28" s="23">
        <v>11226.353999999999</v>
      </c>
      <c r="H28" s="23">
        <v>11123.895</v>
      </c>
      <c r="I28" s="23">
        <v>11039.102999999999</v>
      </c>
      <c r="J28" s="23">
        <v>10956.434999999999</v>
      </c>
      <c r="K28" s="23">
        <v>10865.52</v>
      </c>
      <c r="L28" s="23">
        <v>10795.144</v>
      </c>
      <c r="M28" s="23">
        <v>10740.802</v>
      </c>
      <c r="N28" s="23">
        <v>10694.25</v>
      </c>
      <c r="O28" s="23">
        <v>10661.159</v>
      </c>
      <c r="P28" s="23">
        <v>10649.522000000001</v>
      </c>
      <c r="Q28" s="23">
        <v>10632.808000000001</v>
      </c>
      <c r="R28" s="23">
        <v>10653.025</v>
      </c>
      <c r="S28" s="23">
        <v>10677.084999999999</v>
      </c>
      <c r="T28" s="23">
        <v>10700.120999999999</v>
      </c>
      <c r="U28" s="23">
        <v>10723.018</v>
      </c>
      <c r="V28" s="23">
        <v>10746.576999999999</v>
      </c>
      <c r="W28" s="23">
        <v>10770.677</v>
      </c>
      <c r="X28" s="23">
        <v>10794.531999999999</v>
      </c>
      <c r="Y28" s="23">
        <v>10817.643</v>
      </c>
      <c r="Z28" s="23">
        <v>10839.607</v>
      </c>
      <c r="AA28" s="23">
        <v>10860.096</v>
      </c>
      <c r="AB28" s="23">
        <v>10877.454</v>
      </c>
      <c r="AC28" s="23">
        <v>10889.754999999999</v>
      </c>
      <c r="AD28" s="23">
        <v>10896.373</v>
      </c>
      <c r="AE28" s="23">
        <v>10896.891</v>
      </c>
      <c r="AF28" s="23">
        <v>10890.938</v>
      </c>
      <c r="AG28" s="23">
        <v>10878.063</v>
      </c>
      <c r="AH28" s="23">
        <v>10858.085999999999</v>
      </c>
      <c r="AI28" s="23">
        <v>10831.492</v>
      </c>
      <c r="AJ28" s="23">
        <v>10799.098</v>
      </c>
      <c r="AK28" s="23">
        <v>10761.75</v>
      </c>
      <c r="AL28" s="23">
        <v>10720.571</v>
      </c>
      <c r="AM28" s="23">
        <v>10676.875</v>
      </c>
      <c r="AN28" s="23">
        <v>10631.786</v>
      </c>
      <c r="AO28" s="23">
        <v>10586.223</v>
      </c>
      <c r="AP28" s="23">
        <v>10541.008</v>
      </c>
      <c r="AQ28" s="23">
        <v>10497.677</v>
      </c>
      <c r="AR28" s="23">
        <v>10457.834000000001</v>
      </c>
      <c r="AS28" s="23">
        <v>10422.258</v>
      </c>
      <c r="AT28" s="23">
        <v>10391.495999999999</v>
      </c>
      <c r="AU28" s="23">
        <v>10365.771000000001</v>
      </c>
      <c r="AV28" s="23">
        <v>10345.277</v>
      </c>
      <c r="AW28" s="23">
        <v>10330.099</v>
      </c>
      <c r="AX28" s="23">
        <v>10319.888000000001</v>
      </c>
      <c r="AY28" s="23">
        <v>10314.063</v>
      </c>
      <c r="AZ28" s="23">
        <v>10311.933999999999</v>
      </c>
      <c r="BA28" s="23">
        <v>10312.918</v>
      </c>
      <c r="BB28" s="23">
        <v>10316.424000000001</v>
      </c>
      <c r="BC28" s="23">
        <v>10321.714</v>
      </c>
      <c r="BD28" s="23">
        <v>10328.07</v>
      </c>
      <c r="BE28" s="23">
        <v>10334.777</v>
      </c>
      <c r="BF28" s="23">
        <v>10341.334000000001</v>
      </c>
      <c r="BG28" s="23">
        <v>10347.293</v>
      </c>
      <c r="BH28" s="23">
        <v>10352.025</v>
      </c>
      <c r="BI28" s="23">
        <v>10354.999</v>
      </c>
      <c r="BJ28" s="23">
        <v>10355.855</v>
      </c>
      <c r="BK28" s="23">
        <v>10354.317999999999</v>
      </c>
      <c r="BL28" s="23">
        <v>10350.252</v>
      </c>
      <c r="BM28" s="23">
        <v>10343.587</v>
      </c>
      <c r="BN28" s="23">
        <v>10334.278</v>
      </c>
      <c r="BO28" s="23">
        <v>10322.442999999999</v>
      </c>
      <c r="BP28" s="23">
        <v>10308.268</v>
      </c>
      <c r="BQ28" s="23">
        <v>10292.019</v>
      </c>
      <c r="BR28" s="23">
        <v>10274.005999999999</v>
      </c>
      <c r="BS28" s="23">
        <v>10254.578</v>
      </c>
      <c r="BT28" s="23">
        <v>10234.159</v>
      </c>
      <c r="BU28" s="23">
        <v>10213.161</v>
      </c>
      <c r="BV28" s="23">
        <v>10192.023999999999</v>
      </c>
      <c r="BW28" s="23">
        <v>10171.189</v>
      </c>
      <c r="BX28" s="23">
        <v>10151.036</v>
      </c>
      <c r="BY28" s="23">
        <v>10131.939</v>
      </c>
      <c r="BZ28" s="23">
        <v>10114.209999999999</v>
      </c>
      <c r="CA28" s="23">
        <v>10098.088</v>
      </c>
      <c r="CB28" s="23">
        <v>10083.764999999999</v>
      </c>
      <c r="CC28" s="23">
        <v>10071.329</v>
      </c>
      <c r="CD28" s="23">
        <v>10060.819</v>
      </c>
      <c r="CE28" s="23">
        <v>10052.191999999999</v>
      </c>
      <c r="CF28" s="23">
        <v>10045.342000000001</v>
      </c>
      <c r="CG28" s="23">
        <v>10040.111999999999</v>
      </c>
      <c r="CH28" s="23">
        <v>10036.316000000001</v>
      </c>
      <c r="CI28" s="23">
        <v>10033.709999999999</v>
      </c>
      <c r="CJ28" s="23">
        <v>10032.034</v>
      </c>
      <c r="CK28" s="23">
        <v>10031.014999999999</v>
      </c>
      <c r="CL28" s="23">
        <v>10030.379999999999</v>
      </c>
      <c r="CM28" s="23">
        <v>10029.853999999999</v>
      </c>
      <c r="CN28" s="23">
        <v>10029.192999999999</v>
      </c>
      <c r="CO28" s="23">
        <v>10028.162</v>
      </c>
      <c r="CP28" s="23">
        <v>10026.56</v>
      </c>
      <c r="CQ28" s="23">
        <v>10024.231</v>
      </c>
      <c r="CR28" s="23">
        <v>10021.037</v>
      </c>
      <c r="CS28" s="23">
        <v>10016.898999999999</v>
      </c>
      <c r="CT28" s="23">
        <v>10011.767</v>
      </c>
      <c r="CU28" s="23">
        <v>10005.629000000001</v>
      </c>
      <c r="CV28" s="23">
        <v>9998.5229999999992</v>
      </c>
      <c r="CW28" s="23">
        <v>9990.51</v>
      </c>
      <c r="CX28" s="23">
        <v>9981.6839999999993</v>
      </c>
    </row>
    <row r="29" spans="1:103" s="24" customFormat="1" ht="15" customHeight="1" x14ac:dyDescent="0.2">
      <c r="A29" s="2" t="s">
        <v>130</v>
      </c>
      <c r="B29" s="23">
        <v>12333.328</v>
      </c>
      <c r="C29" s="23">
        <v>12709.81</v>
      </c>
      <c r="D29" s="23">
        <v>12973.174000000001</v>
      </c>
      <c r="E29" s="23">
        <v>13198.527</v>
      </c>
      <c r="F29" s="23">
        <v>13380.458000000001</v>
      </c>
      <c r="G29" s="23">
        <v>13485.653</v>
      </c>
      <c r="H29" s="23">
        <v>13530.284</v>
      </c>
      <c r="I29" s="23">
        <v>13550.369000000001</v>
      </c>
      <c r="J29" s="23">
        <v>13582.775</v>
      </c>
      <c r="K29" s="23">
        <v>13632.999</v>
      </c>
      <c r="L29" s="23">
        <v>13658.96</v>
      </c>
      <c r="M29" s="23">
        <v>13657.107</v>
      </c>
      <c r="N29" s="23">
        <v>13635.804</v>
      </c>
      <c r="O29" s="23">
        <v>13606.477999999999</v>
      </c>
      <c r="P29" s="23">
        <v>13559.618</v>
      </c>
      <c r="Q29" s="23">
        <v>13508.549000000001</v>
      </c>
      <c r="R29" s="23">
        <v>13393.097</v>
      </c>
      <c r="S29" s="23">
        <v>13283.865</v>
      </c>
      <c r="T29" s="23">
        <v>13171.289000000001</v>
      </c>
      <c r="U29" s="23">
        <v>13049.257</v>
      </c>
      <c r="V29" s="23">
        <v>12927.94</v>
      </c>
      <c r="W29" s="23">
        <v>12826.239</v>
      </c>
      <c r="X29" s="23">
        <v>12742.128000000001</v>
      </c>
      <c r="Y29" s="23">
        <v>12660.138000000001</v>
      </c>
      <c r="Z29" s="23">
        <v>12569.928</v>
      </c>
      <c r="AA29" s="23">
        <v>12500.165999999999</v>
      </c>
      <c r="AB29" s="23">
        <v>12446.374</v>
      </c>
      <c r="AC29" s="23">
        <v>12400.332</v>
      </c>
      <c r="AD29" s="23">
        <v>12367.7</v>
      </c>
      <c r="AE29" s="23">
        <v>12356.424999999999</v>
      </c>
      <c r="AF29" s="23">
        <v>12340.106</v>
      </c>
      <c r="AG29" s="23">
        <v>12360.564</v>
      </c>
      <c r="AH29" s="23">
        <v>12384.851000000001</v>
      </c>
      <c r="AI29" s="23">
        <v>12408.121999999999</v>
      </c>
      <c r="AJ29" s="23">
        <v>12431.254999999999</v>
      </c>
      <c r="AK29" s="23">
        <v>12455.039000000001</v>
      </c>
      <c r="AL29" s="23">
        <v>12479.348</v>
      </c>
      <c r="AM29" s="23">
        <v>12503.422</v>
      </c>
      <c r="AN29" s="23">
        <v>12526.746999999999</v>
      </c>
      <c r="AO29" s="23">
        <v>12548.92</v>
      </c>
      <c r="AP29" s="23">
        <v>12569.618</v>
      </c>
      <c r="AQ29" s="23">
        <v>12587.181</v>
      </c>
      <c r="AR29" s="23">
        <v>12599.684999999999</v>
      </c>
      <c r="AS29" s="23">
        <v>12606.519</v>
      </c>
      <c r="AT29" s="23">
        <v>12607.252</v>
      </c>
      <c r="AU29" s="23">
        <v>12601.513000000001</v>
      </c>
      <c r="AV29" s="23">
        <v>12588.870999999999</v>
      </c>
      <c r="AW29" s="23">
        <v>12569.14</v>
      </c>
      <c r="AX29" s="23">
        <v>12542.794</v>
      </c>
      <c r="AY29" s="23">
        <v>12510.661</v>
      </c>
      <c r="AZ29" s="23">
        <v>12473.575000000001</v>
      </c>
      <c r="BA29" s="23">
        <v>12432.67</v>
      </c>
      <c r="BB29" s="23">
        <v>12389.261</v>
      </c>
      <c r="BC29" s="23">
        <v>12344.445</v>
      </c>
      <c r="BD29" s="23">
        <v>12299.183000000001</v>
      </c>
      <c r="BE29" s="23">
        <v>12254.272000000001</v>
      </c>
      <c r="BF29" s="23">
        <v>12211.231</v>
      </c>
      <c r="BG29" s="23">
        <v>12171.684999999999</v>
      </c>
      <c r="BH29" s="23">
        <v>12136.391</v>
      </c>
      <c r="BI29" s="23">
        <v>12105.894</v>
      </c>
      <c r="BJ29" s="23">
        <v>12080.409</v>
      </c>
      <c r="BK29" s="23">
        <v>12060.156999999999</v>
      </c>
      <c r="BL29" s="23">
        <v>12045.205</v>
      </c>
      <c r="BM29" s="23">
        <v>12035.205</v>
      </c>
      <c r="BN29" s="23">
        <v>12029.59</v>
      </c>
      <c r="BO29" s="23">
        <v>12027.65</v>
      </c>
      <c r="BP29" s="23">
        <v>12028.815000000001</v>
      </c>
      <c r="BQ29" s="23">
        <v>12032.495000000001</v>
      </c>
      <c r="BR29" s="23">
        <v>12037.954</v>
      </c>
      <c r="BS29" s="23">
        <v>12044.484</v>
      </c>
      <c r="BT29" s="23">
        <v>12051.362999999999</v>
      </c>
      <c r="BU29" s="23">
        <v>12058.082</v>
      </c>
      <c r="BV29" s="23">
        <v>12064.203</v>
      </c>
      <c r="BW29" s="23">
        <v>12069.084999999999</v>
      </c>
      <c r="BX29" s="23">
        <v>12072.22</v>
      </c>
      <c r="BY29" s="23">
        <v>12073.236999999999</v>
      </c>
      <c r="BZ29" s="23">
        <v>12071.837</v>
      </c>
      <c r="CA29" s="23">
        <v>12067.919</v>
      </c>
      <c r="CB29" s="23">
        <v>12061.392</v>
      </c>
      <c r="CC29" s="23">
        <v>12052.244000000001</v>
      </c>
      <c r="CD29" s="23">
        <v>12040.566000000001</v>
      </c>
      <c r="CE29" s="23">
        <v>12026.557000000001</v>
      </c>
      <c r="CF29" s="23">
        <v>12010.472</v>
      </c>
      <c r="CG29" s="23">
        <v>11992.625</v>
      </c>
      <c r="CH29" s="23">
        <v>11973.371999999999</v>
      </c>
      <c r="CI29" s="23">
        <v>11953.124</v>
      </c>
      <c r="CJ29" s="23">
        <v>11932.299000000001</v>
      </c>
      <c r="CK29" s="23">
        <v>11911.328</v>
      </c>
      <c r="CL29" s="23">
        <v>11890.648999999999</v>
      </c>
      <c r="CM29" s="23">
        <v>11870.665999999999</v>
      </c>
      <c r="CN29" s="23">
        <v>11851.734</v>
      </c>
      <c r="CO29" s="23">
        <v>11834.162</v>
      </c>
      <c r="CP29" s="23">
        <v>11818.191000000001</v>
      </c>
      <c r="CQ29" s="23">
        <v>11804.009</v>
      </c>
      <c r="CR29" s="23">
        <v>11791.724</v>
      </c>
      <c r="CS29" s="23">
        <v>11781.361999999999</v>
      </c>
      <c r="CT29" s="23">
        <v>11772.866</v>
      </c>
      <c r="CU29" s="23">
        <v>11766.15</v>
      </c>
      <c r="CV29" s="23">
        <v>11761.053</v>
      </c>
      <c r="CW29" s="23">
        <v>11757.373</v>
      </c>
      <c r="CX29" s="23">
        <v>11754.897999999999</v>
      </c>
    </row>
    <row r="30" spans="1:103" s="24" customFormat="1" ht="15" customHeight="1" x14ac:dyDescent="0.2">
      <c r="A30" s="2" t="s">
        <v>131</v>
      </c>
      <c r="B30" s="23">
        <v>13533.36</v>
      </c>
      <c r="C30" s="23">
        <v>13870.659</v>
      </c>
      <c r="D30" s="23">
        <v>14117.975</v>
      </c>
      <c r="E30" s="23">
        <v>14298.245000000001</v>
      </c>
      <c r="F30" s="23">
        <v>14458.553</v>
      </c>
      <c r="G30" s="23">
        <v>14627.361999999999</v>
      </c>
      <c r="H30" s="23">
        <v>14754.477999999999</v>
      </c>
      <c r="I30" s="23">
        <v>14885.36</v>
      </c>
      <c r="J30" s="23">
        <v>14968.74</v>
      </c>
      <c r="K30" s="23">
        <v>15033.2</v>
      </c>
      <c r="L30" s="23">
        <v>15088.272000000001</v>
      </c>
      <c r="M30" s="23">
        <v>15125.879000000001</v>
      </c>
      <c r="N30" s="23">
        <v>15178.993</v>
      </c>
      <c r="O30" s="23">
        <v>15213.009</v>
      </c>
      <c r="P30" s="23">
        <v>15230.072</v>
      </c>
      <c r="Q30" s="23">
        <v>15259.064</v>
      </c>
      <c r="R30" s="23">
        <v>15332.101000000001</v>
      </c>
      <c r="S30" s="23">
        <v>15386.19</v>
      </c>
      <c r="T30" s="23">
        <v>15456.846</v>
      </c>
      <c r="U30" s="23">
        <v>15537.847</v>
      </c>
      <c r="V30" s="23">
        <v>15594.346</v>
      </c>
      <c r="W30" s="23">
        <v>15639.674000000001</v>
      </c>
      <c r="X30" s="23">
        <v>15660.726000000001</v>
      </c>
      <c r="Y30" s="23">
        <v>15693.986000000001</v>
      </c>
      <c r="Z30" s="23">
        <v>15744.928</v>
      </c>
      <c r="AA30" s="23">
        <v>15771.752</v>
      </c>
      <c r="AB30" s="23">
        <v>15771.031000000001</v>
      </c>
      <c r="AC30" s="23">
        <v>15750.995000000001</v>
      </c>
      <c r="AD30" s="23">
        <v>15722.941999999999</v>
      </c>
      <c r="AE30" s="23">
        <v>15677.422</v>
      </c>
      <c r="AF30" s="23">
        <v>15627.771000000001</v>
      </c>
      <c r="AG30" s="23">
        <v>15514.239</v>
      </c>
      <c r="AH30" s="23">
        <v>15406.855</v>
      </c>
      <c r="AI30" s="23">
        <v>15296.201999999999</v>
      </c>
      <c r="AJ30" s="23">
        <v>15176.246999999999</v>
      </c>
      <c r="AK30" s="23">
        <v>15057.014999999999</v>
      </c>
      <c r="AL30" s="23">
        <v>14957.209000000001</v>
      </c>
      <c r="AM30" s="23">
        <v>14874.825000000001</v>
      </c>
      <c r="AN30" s="23">
        <v>14794.543</v>
      </c>
      <c r="AO30" s="23">
        <v>14706.165000000001</v>
      </c>
      <c r="AP30" s="23">
        <v>14638.028</v>
      </c>
      <c r="AQ30" s="23">
        <v>14585.716</v>
      </c>
      <c r="AR30" s="23">
        <v>14541.112999999999</v>
      </c>
      <c r="AS30" s="23">
        <v>14509.788</v>
      </c>
      <c r="AT30" s="23">
        <v>14499.626</v>
      </c>
      <c r="AU30" s="23">
        <v>14484.484</v>
      </c>
      <c r="AV30" s="23">
        <v>14505.759</v>
      </c>
      <c r="AW30" s="23">
        <v>14530.819</v>
      </c>
      <c r="AX30" s="23">
        <v>14554.871999999999</v>
      </c>
      <c r="AY30" s="23">
        <v>14578.78</v>
      </c>
      <c r="AZ30" s="23">
        <v>14603.337</v>
      </c>
      <c r="BA30" s="23">
        <v>14628.411</v>
      </c>
      <c r="BB30" s="23">
        <v>14653.243</v>
      </c>
      <c r="BC30" s="23">
        <v>14677.332</v>
      </c>
      <c r="BD30" s="23">
        <v>14700.241</v>
      </c>
      <c r="BE30" s="23">
        <v>14721.665000000001</v>
      </c>
      <c r="BF30" s="23">
        <v>14739.950999999999</v>
      </c>
      <c r="BG30" s="23">
        <v>14753.196</v>
      </c>
      <c r="BH30" s="23">
        <v>14760.796</v>
      </c>
      <c r="BI30" s="23">
        <v>14762.317999999999</v>
      </c>
      <c r="BJ30" s="23">
        <v>14757.398999999999</v>
      </c>
      <c r="BK30" s="23">
        <v>14745.593999999999</v>
      </c>
      <c r="BL30" s="23">
        <v>14726.73</v>
      </c>
      <c r="BM30" s="23">
        <v>14701.27</v>
      </c>
      <c r="BN30" s="23">
        <v>14670.039000000001</v>
      </c>
      <c r="BO30" s="23">
        <v>14633.893</v>
      </c>
      <c r="BP30" s="23">
        <v>14593.937</v>
      </c>
      <c r="BQ30" s="23">
        <v>14551.472</v>
      </c>
      <c r="BR30" s="23">
        <v>14507.63</v>
      </c>
      <c r="BS30" s="23">
        <v>14463.324000000001</v>
      </c>
      <c r="BT30" s="23">
        <v>14419.359</v>
      </c>
      <c r="BU30" s="23">
        <v>14377.243</v>
      </c>
      <c r="BV30" s="23">
        <v>14338.602000000001</v>
      </c>
      <c r="BW30" s="23">
        <v>14304.182000000001</v>
      </c>
      <c r="BX30" s="23">
        <v>14274.539000000001</v>
      </c>
      <c r="BY30" s="23">
        <v>14249.876</v>
      </c>
      <c r="BZ30" s="23">
        <v>14230.414000000001</v>
      </c>
      <c r="CA30" s="23">
        <v>14216.21</v>
      </c>
      <c r="CB30" s="23">
        <v>14206.934999999999</v>
      </c>
      <c r="CC30" s="23">
        <v>14201.991</v>
      </c>
      <c r="CD30" s="23">
        <v>14200.699000000001</v>
      </c>
      <c r="CE30" s="23">
        <v>14202.486999999999</v>
      </c>
      <c r="CF30" s="23">
        <v>14206.778</v>
      </c>
      <c r="CG30" s="23">
        <v>14212.835999999999</v>
      </c>
      <c r="CH30" s="23">
        <v>14219.945</v>
      </c>
      <c r="CI30" s="23">
        <v>14227.388000000001</v>
      </c>
      <c r="CJ30" s="23">
        <v>14234.671</v>
      </c>
      <c r="CK30" s="23">
        <v>14241.343999999999</v>
      </c>
      <c r="CL30" s="23">
        <v>14246.79</v>
      </c>
      <c r="CM30" s="23">
        <v>14250.471</v>
      </c>
      <c r="CN30" s="23">
        <v>14252.028</v>
      </c>
      <c r="CO30" s="23">
        <v>14251.191000000001</v>
      </c>
      <c r="CP30" s="23">
        <v>14247.839</v>
      </c>
      <c r="CQ30" s="23">
        <v>14241.886</v>
      </c>
      <c r="CR30" s="23">
        <v>14233.3</v>
      </c>
      <c r="CS30" s="23">
        <v>14222.186</v>
      </c>
      <c r="CT30" s="23">
        <v>14208.75</v>
      </c>
      <c r="CU30" s="23">
        <v>14193.236999999999</v>
      </c>
      <c r="CV30" s="23">
        <v>14175.954</v>
      </c>
      <c r="CW30" s="23">
        <v>14157.275</v>
      </c>
      <c r="CX30" s="23">
        <v>14137.592000000001</v>
      </c>
    </row>
    <row r="31" spans="1:103" s="24" customFormat="1" ht="15" customHeight="1" x14ac:dyDescent="0.2">
      <c r="A31" s="2" t="s">
        <v>132</v>
      </c>
      <c r="B31" s="23">
        <v>13314.705</v>
      </c>
      <c r="C31" s="23">
        <v>13221.608</v>
      </c>
      <c r="D31" s="23">
        <v>13164.691999999999</v>
      </c>
      <c r="E31" s="23">
        <v>13132.775</v>
      </c>
      <c r="F31" s="23">
        <v>13105.031999999999</v>
      </c>
      <c r="G31" s="23">
        <v>13065.369000000001</v>
      </c>
      <c r="H31" s="23">
        <v>13036.768</v>
      </c>
      <c r="I31" s="23">
        <v>13013.37</v>
      </c>
      <c r="J31" s="23">
        <v>13047.085999999999</v>
      </c>
      <c r="K31" s="23">
        <v>13071.745999999999</v>
      </c>
      <c r="L31" s="23">
        <v>13145.043</v>
      </c>
      <c r="M31" s="23">
        <v>13281.620999999999</v>
      </c>
      <c r="N31" s="23">
        <v>13447.999</v>
      </c>
      <c r="O31" s="23">
        <v>13640.267</v>
      </c>
      <c r="P31" s="23">
        <v>13861.482</v>
      </c>
      <c r="Q31" s="23">
        <v>14098.594999999999</v>
      </c>
      <c r="R31" s="23">
        <v>14305.950999999999</v>
      </c>
      <c r="S31" s="23">
        <v>14465.111999999999</v>
      </c>
      <c r="T31" s="23">
        <v>14577.897999999999</v>
      </c>
      <c r="U31" s="23">
        <v>14691.49</v>
      </c>
      <c r="V31" s="23">
        <v>14835.804</v>
      </c>
      <c r="W31" s="23">
        <v>14963.923000000001</v>
      </c>
      <c r="X31" s="23">
        <v>15095.367</v>
      </c>
      <c r="Y31" s="23">
        <v>15180.494000000001</v>
      </c>
      <c r="Z31" s="23">
        <v>15246.862999999999</v>
      </c>
      <c r="AA31" s="23">
        <v>15303.991</v>
      </c>
      <c r="AB31" s="23">
        <v>15344.532999999999</v>
      </c>
      <c r="AC31" s="23">
        <v>15400.146000000001</v>
      </c>
      <c r="AD31" s="23">
        <v>15437.178</v>
      </c>
      <c r="AE31" s="23">
        <v>15457.833000000001</v>
      </c>
      <c r="AF31" s="23">
        <v>15490.147000000001</v>
      </c>
      <c r="AG31" s="23">
        <v>15565.462</v>
      </c>
      <c r="AH31" s="23">
        <v>15622.272999999999</v>
      </c>
      <c r="AI31" s="23">
        <v>15695.079</v>
      </c>
      <c r="AJ31" s="23">
        <v>15778.073</v>
      </c>
      <c r="AK31" s="23">
        <v>15837.466</v>
      </c>
      <c r="AL31" s="23">
        <v>15885.540999999999</v>
      </c>
      <c r="AM31" s="23">
        <v>15909.808000000001</v>
      </c>
      <c r="AN31" s="23">
        <v>15945.788</v>
      </c>
      <c r="AO31" s="23">
        <v>15998.86</v>
      </c>
      <c r="AP31" s="23">
        <v>16028.074000000001</v>
      </c>
      <c r="AQ31" s="23">
        <v>16030.346</v>
      </c>
      <c r="AR31" s="23">
        <v>16013.71</v>
      </c>
      <c r="AS31" s="23">
        <v>15988.955</v>
      </c>
      <c r="AT31" s="23">
        <v>15946.826999999999</v>
      </c>
      <c r="AU31" s="23">
        <v>15900.837</v>
      </c>
      <c r="AV31" s="23">
        <v>15792.333000000001</v>
      </c>
      <c r="AW31" s="23">
        <v>15689.808999999999</v>
      </c>
      <c r="AX31" s="23">
        <v>15584.281000000001</v>
      </c>
      <c r="AY31" s="23">
        <v>15469.931</v>
      </c>
      <c r="AZ31" s="23">
        <v>15356.413</v>
      </c>
      <c r="BA31" s="23">
        <v>15261.806</v>
      </c>
      <c r="BB31" s="23">
        <v>15184.166999999999</v>
      </c>
      <c r="BC31" s="23">
        <v>15108.648999999999</v>
      </c>
      <c r="BD31" s="23">
        <v>15025.416999999999</v>
      </c>
      <c r="BE31" s="23">
        <v>14961.88</v>
      </c>
      <c r="BF31" s="23">
        <v>14913.763000000001</v>
      </c>
      <c r="BG31" s="23">
        <v>14873.232</v>
      </c>
      <c r="BH31" s="23">
        <v>14845.620999999999</v>
      </c>
      <c r="BI31" s="23">
        <v>14838.6</v>
      </c>
      <c r="BJ31" s="23">
        <v>14826.807000000001</v>
      </c>
      <c r="BK31" s="23">
        <v>14850.404</v>
      </c>
      <c r="BL31" s="23">
        <v>14877.692999999999</v>
      </c>
      <c r="BM31" s="23">
        <v>14904.008</v>
      </c>
      <c r="BN31" s="23">
        <v>14930.165999999999</v>
      </c>
      <c r="BO31" s="23">
        <v>14956.97</v>
      </c>
      <c r="BP31" s="23">
        <v>14984.259</v>
      </c>
      <c r="BQ31" s="23">
        <v>15011.262000000001</v>
      </c>
      <c r="BR31" s="23">
        <v>15037.494000000001</v>
      </c>
      <c r="BS31" s="23">
        <v>15062.527</v>
      </c>
      <c r="BT31" s="23">
        <v>15086.058000000001</v>
      </c>
      <c r="BU31" s="23">
        <v>15106.459000000001</v>
      </c>
      <c r="BV31" s="23">
        <v>15121.823</v>
      </c>
      <c r="BW31" s="23">
        <v>15131.573</v>
      </c>
      <c r="BX31" s="23">
        <v>15135.286</v>
      </c>
      <c r="BY31" s="23">
        <v>15132.602000000001</v>
      </c>
      <c r="BZ31" s="23">
        <v>15123.091</v>
      </c>
      <c r="CA31" s="23">
        <v>15106.599</v>
      </c>
      <c r="CB31" s="23">
        <v>15083.585999999999</v>
      </c>
      <c r="CC31" s="23">
        <v>15054.887000000001</v>
      </c>
      <c r="CD31" s="23">
        <v>15021.314</v>
      </c>
      <c r="CE31" s="23">
        <v>14983.97</v>
      </c>
      <c r="CF31" s="23">
        <v>14944.148999999999</v>
      </c>
      <c r="CG31" s="23">
        <v>14902.968000000001</v>
      </c>
      <c r="CH31" s="23">
        <v>14861.331</v>
      </c>
      <c r="CI31" s="23">
        <v>14820.04</v>
      </c>
      <c r="CJ31" s="23">
        <v>14780.565000000001</v>
      </c>
      <c r="CK31" s="23">
        <v>14744.493</v>
      </c>
      <c r="CL31" s="23">
        <v>14712.566000000001</v>
      </c>
      <c r="CM31" s="23">
        <v>14685.341</v>
      </c>
      <c r="CN31" s="23">
        <v>14663.003000000001</v>
      </c>
      <c r="CO31" s="23">
        <v>14645.77</v>
      </c>
      <c r="CP31" s="23">
        <v>14633.708000000001</v>
      </c>
      <c r="CQ31" s="23">
        <v>14626.473</v>
      </c>
      <c r="CR31" s="23">
        <v>14623.494000000001</v>
      </c>
      <c r="CS31" s="23">
        <v>14624.099</v>
      </c>
      <c r="CT31" s="23">
        <v>14627.707</v>
      </c>
      <c r="CU31" s="23">
        <v>14633.755999999999</v>
      </c>
      <c r="CV31" s="23">
        <v>14641.526</v>
      </c>
      <c r="CW31" s="23">
        <v>14650.3</v>
      </c>
      <c r="CX31" s="23">
        <v>14659.380999999999</v>
      </c>
    </row>
    <row r="32" spans="1:103" s="24" customFormat="1" ht="15" customHeight="1" x14ac:dyDescent="0.2">
      <c r="A32" s="2" t="s">
        <v>133</v>
      </c>
      <c r="B32" s="23">
        <v>10693.165000000001</v>
      </c>
      <c r="C32" s="23">
        <v>10803.975</v>
      </c>
      <c r="D32" s="23">
        <v>10974.592000000001</v>
      </c>
      <c r="E32" s="23">
        <v>11173.947</v>
      </c>
      <c r="F32" s="23">
        <v>11376.867</v>
      </c>
      <c r="G32" s="23">
        <v>11587.109</v>
      </c>
      <c r="H32" s="23">
        <v>11773.027</v>
      </c>
      <c r="I32" s="23">
        <v>11951.638000000001</v>
      </c>
      <c r="J32" s="23">
        <v>12109.967000000001</v>
      </c>
      <c r="K32" s="23">
        <v>12266.134</v>
      </c>
      <c r="L32" s="23">
        <v>12366.884</v>
      </c>
      <c r="M32" s="23">
        <v>12410.162</v>
      </c>
      <c r="N32" s="23">
        <v>12406.290999999999</v>
      </c>
      <c r="O32" s="23">
        <v>12377.459000000001</v>
      </c>
      <c r="P32" s="23">
        <v>12310.053</v>
      </c>
      <c r="Q32" s="23">
        <v>12203.486000000001</v>
      </c>
      <c r="R32" s="23">
        <v>12098.199000000001</v>
      </c>
      <c r="S32" s="23">
        <v>12039.071</v>
      </c>
      <c r="T32" s="23">
        <v>12010.561</v>
      </c>
      <c r="U32" s="23">
        <v>11991.067999999999</v>
      </c>
      <c r="V32" s="23">
        <v>11966.822</v>
      </c>
      <c r="W32" s="23">
        <v>11958.932000000001</v>
      </c>
      <c r="X32" s="23">
        <v>11956.585999999999</v>
      </c>
      <c r="Y32" s="23">
        <v>12006.617</v>
      </c>
      <c r="Z32" s="23">
        <v>12050.376</v>
      </c>
      <c r="AA32" s="23">
        <v>12137.127</v>
      </c>
      <c r="AB32" s="23">
        <v>12280.5</v>
      </c>
      <c r="AC32" s="23">
        <v>12448.184999999999</v>
      </c>
      <c r="AD32" s="23">
        <v>12638.487999999999</v>
      </c>
      <c r="AE32" s="23">
        <v>12853.736000000001</v>
      </c>
      <c r="AF32" s="23">
        <v>13081.005999999999</v>
      </c>
      <c r="AG32" s="23">
        <v>13279.718999999999</v>
      </c>
      <c r="AH32" s="23">
        <v>13437.013000000001</v>
      </c>
      <c r="AI32" s="23">
        <v>13552.446</v>
      </c>
      <c r="AJ32" s="23">
        <v>13667.851000000001</v>
      </c>
      <c r="AK32" s="23">
        <v>13811.366</v>
      </c>
      <c r="AL32" s="23">
        <v>13939.127</v>
      </c>
      <c r="AM32" s="23">
        <v>14069.441999999999</v>
      </c>
      <c r="AN32" s="23">
        <v>14157.404</v>
      </c>
      <c r="AO32" s="23">
        <v>14227.633</v>
      </c>
      <c r="AP32" s="23">
        <v>14289.51</v>
      </c>
      <c r="AQ32" s="23">
        <v>14337.63</v>
      </c>
      <c r="AR32" s="23">
        <v>14399.834000000001</v>
      </c>
      <c r="AS32" s="23">
        <v>14445.148999999999</v>
      </c>
      <c r="AT32" s="23">
        <v>14475.829</v>
      </c>
      <c r="AU32" s="23">
        <v>14517.529</v>
      </c>
      <c r="AV32" s="23">
        <v>14599.305</v>
      </c>
      <c r="AW32" s="23">
        <v>14663.861999999999</v>
      </c>
      <c r="AX32" s="23">
        <v>14742.797</v>
      </c>
      <c r="AY32" s="23">
        <v>14831.418</v>
      </c>
      <c r="AZ32" s="23">
        <v>14898.976000000001</v>
      </c>
      <c r="BA32" s="23">
        <v>14954.781000000001</v>
      </c>
      <c r="BB32" s="23">
        <v>14988.096</v>
      </c>
      <c r="BC32" s="23">
        <v>15031.553</v>
      </c>
      <c r="BD32" s="23">
        <v>15090.476000000001</v>
      </c>
      <c r="BE32" s="23">
        <v>15126.370999999999</v>
      </c>
      <c r="BF32" s="23">
        <v>15137.142</v>
      </c>
      <c r="BG32" s="23">
        <v>15130.332</v>
      </c>
      <c r="BH32" s="23">
        <v>15115.27</v>
      </c>
      <c r="BI32" s="23">
        <v>15083.089</v>
      </c>
      <c r="BJ32" s="23">
        <v>15047.913</v>
      </c>
      <c r="BK32" s="23">
        <v>14954.321</v>
      </c>
      <c r="BL32" s="23">
        <v>14866.258</v>
      </c>
      <c r="BM32" s="23">
        <v>14775.966</v>
      </c>
      <c r="BN32" s="23">
        <v>14678.281999999999</v>
      </c>
      <c r="BO32" s="23">
        <v>14581.805</v>
      </c>
      <c r="BP32" s="23">
        <v>14502.749</v>
      </c>
      <c r="BQ32" s="23">
        <v>14439.286</v>
      </c>
      <c r="BR32" s="23">
        <v>14378.028</v>
      </c>
      <c r="BS32" s="23">
        <v>14310.156999999999</v>
      </c>
      <c r="BT32" s="23">
        <v>14260.373</v>
      </c>
      <c r="BU32" s="23">
        <v>14224.796</v>
      </c>
      <c r="BV32" s="23">
        <v>14196.4</v>
      </c>
      <c r="BW32" s="23">
        <v>14179.907999999999</v>
      </c>
      <c r="BX32" s="23">
        <v>14182.291999999999</v>
      </c>
      <c r="BY32" s="23">
        <v>14180.51</v>
      </c>
      <c r="BZ32" s="23">
        <v>14211.041999999999</v>
      </c>
      <c r="CA32" s="23">
        <v>14244.948</v>
      </c>
      <c r="CB32" s="23">
        <v>14277.965</v>
      </c>
      <c r="CC32" s="23">
        <v>14310.857</v>
      </c>
      <c r="CD32" s="23">
        <v>14344.317999999999</v>
      </c>
      <c r="CE32" s="23">
        <v>14378.186</v>
      </c>
      <c r="CF32" s="23">
        <v>14411.679</v>
      </c>
      <c r="CG32" s="23">
        <v>14444.314</v>
      </c>
      <c r="CH32" s="23">
        <v>14475.665000000001</v>
      </c>
      <c r="CI32" s="23">
        <v>14505.446</v>
      </c>
      <c r="CJ32" s="23">
        <v>14532.096</v>
      </c>
      <c r="CK32" s="23">
        <v>14553.789000000001</v>
      </c>
      <c r="CL32" s="23">
        <v>14569.953</v>
      </c>
      <c r="CM32" s="23">
        <v>14580.222</v>
      </c>
      <c r="CN32" s="23">
        <v>14584.243</v>
      </c>
      <c r="CO32" s="23">
        <v>14581.66</v>
      </c>
      <c r="CP32" s="23">
        <v>14572.325000000001</v>
      </c>
      <c r="CQ32" s="23">
        <v>14556.686</v>
      </c>
      <c r="CR32" s="23">
        <v>14535.581</v>
      </c>
      <c r="CS32" s="23">
        <v>14509.795</v>
      </c>
      <c r="CT32" s="23">
        <v>14480.419</v>
      </c>
      <c r="CU32" s="23">
        <v>14448.655000000001</v>
      </c>
      <c r="CV32" s="23">
        <v>14415.571</v>
      </c>
      <c r="CW32" s="23">
        <v>14382.071</v>
      </c>
      <c r="CX32" s="23">
        <v>14348.902</v>
      </c>
    </row>
    <row r="33" spans="1:102" s="24" customFormat="1" ht="15" customHeight="1" x14ac:dyDescent="0.2">
      <c r="A33" s="2" t="s">
        <v>134</v>
      </c>
      <c r="B33" s="23">
        <v>6120.8019999999997</v>
      </c>
      <c r="C33" s="23">
        <v>6319.2650000000003</v>
      </c>
      <c r="D33" s="23">
        <v>6487.51</v>
      </c>
      <c r="E33" s="23">
        <v>6631.4830000000002</v>
      </c>
      <c r="F33" s="23">
        <v>6757.6980000000003</v>
      </c>
      <c r="G33" s="23">
        <v>6870.0659999999998</v>
      </c>
      <c r="H33" s="23">
        <v>6989.6490000000003</v>
      </c>
      <c r="I33" s="23">
        <v>7107.8220000000001</v>
      </c>
      <c r="J33" s="23">
        <v>7214.9849999999997</v>
      </c>
      <c r="K33" s="23">
        <v>7334.9750000000004</v>
      </c>
      <c r="L33" s="23">
        <v>7466.87</v>
      </c>
      <c r="M33" s="23">
        <v>7614.45</v>
      </c>
      <c r="N33" s="23">
        <v>7768.26</v>
      </c>
      <c r="O33" s="23">
        <v>7927.7960000000003</v>
      </c>
      <c r="P33" s="23">
        <v>8103.3419999999996</v>
      </c>
      <c r="Q33" s="23">
        <v>8293.4390000000003</v>
      </c>
      <c r="R33" s="23">
        <v>8489.9609999999993</v>
      </c>
      <c r="S33" s="23">
        <v>8692.4150000000009</v>
      </c>
      <c r="T33" s="23">
        <v>8893.7630000000008</v>
      </c>
      <c r="U33" s="23">
        <v>9080.2119999999995</v>
      </c>
      <c r="V33" s="23">
        <v>9259.7199999999993</v>
      </c>
      <c r="W33" s="23">
        <v>9425.7909999999993</v>
      </c>
      <c r="X33" s="23">
        <v>9585.1679999999997</v>
      </c>
      <c r="Y33" s="23">
        <v>9719.8080000000009</v>
      </c>
      <c r="Z33" s="23">
        <v>9865.7780000000002</v>
      </c>
      <c r="AA33" s="23">
        <v>9977.4030000000002</v>
      </c>
      <c r="AB33" s="23">
        <v>10056.567999999999</v>
      </c>
      <c r="AC33" s="23">
        <v>10104.224</v>
      </c>
      <c r="AD33" s="23">
        <v>10138.802</v>
      </c>
      <c r="AE33" s="23">
        <v>10157.338</v>
      </c>
      <c r="AF33" s="23">
        <v>10158.081</v>
      </c>
      <c r="AG33" s="23">
        <v>10168.663</v>
      </c>
      <c r="AH33" s="23">
        <v>10226.755999999999</v>
      </c>
      <c r="AI33" s="23">
        <v>10312.791999999999</v>
      </c>
      <c r="AJ33" s="23">
        <v>10396.234</v>
      </c>
      <c r="AK33" s="23">
        <v>10472.26</v>
      </c>
      <c r="AL33" s="23">
        <v>10553.814</v>
      </c>
      <c r="AM33" s="23">
        <v>10637.664000000001</v>
      </c>
      <c r="AN33" s="23">
        <v>10749.049000000001</v>
      </c>
      <c r="AO33" s="23">
        <v>10868.686</v>
      </c>
      <c r="AP33" s="23">
        <v>11000.242</v>
      </c>
      <c r="AQ33" s="23">
        <v>11157.313</v>
      </c>
      <c r="AR33" s="23">
        <v>11312.828</v>
      </c>
      <c r="AS33" s="23">
        <v>11481.601000000001</v>
      </c>
      <c r="AT33" s="23">
        <v>11662.826999999999</v>
      </c>
      <c r="AU33" s="23">
        <v>11843.486000000001</v>
      </c>
      <c r="AV33" s="23">
        <v>12011.669</v>
      </c>
      <c r="AW33" s="23">
        <v>12188.370999999999</v>
      </c>
      <c r="AX33" s="23">
        <v>12354.912</v>
      </c>
      <c r="AY33" s="23">
        <v>12519.852000000001</v>
      </c>
      <c r="AZ33" s="23">
        <v>12702.391</v>
      </c>
      <c r="BA33" s="23">
        <v>12873.742</v>
      </c>
      <c r="BB33" s="23">
        <v>13045.767</v>
      </c>
      <c r="BC33" s="23">
        <v>13199.973</v>
      </c>
      <c r="BD33" s="23">
        <v>13340.418</v>
      </c>
      <c r="BE33" s="23">
        <v>13477.91</v>
      </c>
      <c r="BF33" s="23">
        <v>13619.153</v>
      </c>
      <c r="BG33" s="23">
        <v>13765.005999999999</v>
      </c>
      <c r="BH33" s="23">
        <v>13901.177</v>
      </c>
      <c r="BI33" s="23">
        <v>14029.369000000001</v>
      </c>
      <c r="BJ33" s="23">
        <v>14161.499</v>
      </c>
      <c r="BK33" s="23">
        <v>14313.579</v>
      </c>
      <c r="BL33" s="23">
        <v>14453.965</v>
      </c>
      <c r="BM33" s="23">
        <v>14595.406000000001</v>
      </c>
      <c r="BN33" s="23">
        <v>14742.52</v>
      </c>
      <c r="BO33" s="23">
        <v>14886.196</v>
      </c>
      <c r="BP33" s="23">
        <v>15010.157999999999</v>
      </c>
      <c r="BQ33" s="23">
        <v>15116.576999999999</v>
      </c>
      <c r="BR33" s="23">
        <v>15219.130999999999</v>
      </c>
      <c r="BS33" s="23">
        <v>15326.998</v>
      </c>
      <c r="BT33" s="23">
        <v>15415.779</v>
      </c>
      <c r="BU33" s="23">
        <v>15489.963</v>
      </c>
      <c r="BV33" s="23">
        <v>15557.268</v>
      </c>
      <c r="BW33" s="23">
        <v>15613.295</v>
      </c>
      <c r="BX33" s="23">
        <v>15651.358</v>
      </c>
      <c r="BY33" s="23">
        <v>15694.929</v>
      </c>
      <c r="BZ33" s="23">
        <v>15707.895</v>
      </c>
      <c r="CA33" s="23">
        <v>15719.356</v>
      </c>
      <c r="CB33" s="23">
        <v>15733.451999999999</v>
      </c>
      <c r="CC33" s="23">
        <v>15749.3</v>
      </c>
      <c r="CD33" s="23">
        <v>15766.065000000001</v>
      </c>
      <c r="CE33" s="23">
        <v>15783.391</v>
      </c>
      <c r="CF33" s="23">
        <v>15801.409</v>
      </c>
      <c r="CG33" s="23">
        <v>15820.328</v>
      </c>
      <c r="CH33" s="23">
        <v>15840.571</v>
      </c>
      <c r="CI33" s="23">
        <v>15862.541999999999</v>
      </c>
      <c r="CJ33" s="23">
        <v>15887.044</v>
      </c>
      <c r="CK33" s="23">
        <v>15914.998</v>
      </c>
      <c r="CL33" s="23">
        <v>15947.098</v>
      </c>
      <c r="CM33" s="23">
        <v>15983.905000000001</v>
      </c>
      <c r="CN33" s="23">
        <v>16026.075000000001</v>
      </c>
      <c r="CO33" s="23">
        <v>16074.138999999999</v>
      </c>
      <c r="CP33" s="23">
        <v>16128.373</v>
      </c>
      <c r="CQ33" s="23">
        <v>16188.745000000001</v>
      </c>
      <c r="CR33" s="23">
        <v>16254.959000000001</v>
      </c>
      <c r="CS33" s="23">
        <v>16326.644</v>
      </c>
      <c r="CT33" s="23">
        <v>16402.947</v>
      </c>
      <c r="CU33" s="23">
        <v>16482.718000000001</v>
      </c>
      <c r="CV33" s="23">
        <v>16565.011999999999</v>
      </c>
      <c r="CW33" s="23">
        <v>16649.006000000001</v>
      </c>
      <c r="CX33" s="23">
        <v>16733.912</v>
      </c>
    </row>
    <row r="34" spans="1:102" s="24" customFormat="1" ht="15" customHeight="1" x14ac:dyDescent="0.2">
      <c r="A34" s="2" t="s">
        <v>135</v>
      </c>
      <c r="B34" s="23">
        <v>67602.760999999999</v>
      </c>
      <c r="C34" s="23">
        <v>68492.494999999995</v>
      </c>
      <c r="D34" s="23">
        <v>69226.231</v>
      </c>
      <c r="E34" s="23">
        <v>69867.979000000007</v>
      </c>
      <c r="F34" s="23">
        <v>70414.3</v>
      </c>
      <c r="G34" s="23">
        <v>70861.913</v>
      </c>
      <c r="H34" s="23">
        <v>71208.100999999995</v>
      </c>
      <c r="I34" s="23">
        <v>71547.661999999997</v>
      </c>
      <c r="J34" s="23">
        <v>71879.987999999998</v>
      </c>
      <c r="K34" s="23">
        <v>72204.573999999993</v>
      </c>
      <c r="L34" s="23">
        <v>72521.172999999995</v>
      </c>
      <c r="M34" s="23">
        <v>72830.020999999993</v>
      </c>
      <c r="N34" s="23">
        <v>73131.596999999994</v>
      </c>
      <c r="O34" s="23">
        <v>73426.168000000005</v>
      </c>
      <c r="P34" s="23">
        <v>73714.089000000007</v>
      </c>
      <c r="Q34" s="23">
        <v>73995.941000000006</v>
      </c>
      <c r="R34" s="23">
        <v>74272.334000000003</v>
      </c>
      <c r="S34" s="23">
        <v>74543.737999999998</v>
      </c>
      <c r="T34" s="23">
        <v>74810.478000000003</v>
      </c>
      <c r="U34" s="23">
        <v>75072.892000000007</v>
      </c>
      <c r="V34" s="23">
        <v>75331.209000000003</v>
      </c>
      <c r="W34" s="23">
        <v>75585.236000000004</v>
      </c>
      <c r="X34" s="23">
        <v>75834.506999999998</v>
      </c>
      <c r="Y34" s="23">
        <v>76078.686000000002</v>
      </c>
      <c r="Z34" s="23">
        <v>76317.48</v>
      </c>
      <c r="AA34" s="23">
        <v>76550.535000000003</v>
      </c>
      <c r="AB34" s="23">
        <v>76776.460000000006</v>
      </c>
      <c r="AC34" s="23">
        <v>76993.637000000002</v>
      </c>
      <c r="AD34" s="23">
        <v>77201.482999999993</v>
      </c>
      <c r="AE34" s="23">
        <v>77399.645000000004</v>
      </c>
      <c r="AF34" s="23">
        <v>77588.048999999999</v>
      </c>
      <c r="AG34" s="23">
        <v>77766.710000000006</v>
      </c>
      <c r="AH34" s="23">
        <v>77935.834000000003</v>
      </c>
      <c r="AI34" s="23">
        <v>78096.133000000002</v>
      </c>
      <c r="AJ34" s="23">
        <v>78248.758000000002</v>
      </c>
      <c r="AK34" s="23">
        <v>78394.895999999993</v>
      </c>
      <c r="AL34" s="23">
        <v>78535.61</v>
      </c>
      <c r="AM34" s="23">
        <v>78672.035999999993</v>
      </c>
      <c r="AN34" s="23">
        <v>78805.316999999995</v>
      </c>
      <c r="AO34" s="23">
        <v>78936.486999999994</v>
      </c>
      <c r="AP34" s="23">
        <v>79066.48</v>
      </c>
      <c r="AQ34" s="23">
        <v>79195.862999999998</v>
      </c>
      <c r="AR34" s="23">
        <v>79325.004000000001</v>
      </c>
      <c r="AS34" s="23">
        <v>79454.27</v>
      </c>
      <c r="AT34" s="23">
        <v>79583.857000000004</v>
      </c>
      <c r="AU34" s="23">
        <v>79713.62</v>
      </c>
      <c r="AV34" s="23">
        <v>79843.214000000007</v>
      </c>
      <c r="AW34" s="23">
        <v>79972.100000000006</v>
      </c>
      <c r="AX34" s="23">
        <v>80099.543999999994</v>
      </c>
      <c r="AY34" s="23">
        <v>80224.705000000002</v>
      </c>
      <c r="AZ34" s="23">
        <v>80346.626000000004</v>
      </c>
      <c r="BA34" s="23">
        <v>80464.327999999994</v>
      </c>
      <c r="BB34" s="23">
        <v>80576.957999999999</v>
      </c>
      <c r="BC34" s="23">
        <v>80683.665999999997</v>
      </c>
      <c r="BD34" s="23">
        <v>80783.804999999993</v>
      </c>
      <c r="BE34" s="23">
        <v>80876.875</v>
      </c>
      <c r="BF34" s="23">
        <v>80962.573999999993</v>
      </c>
      <c r="BG34" s="23">
        <v>81040.744000000006</v>
      </c>
      <c r="BH34" s="23">
        <v>81111.28</v>
      </c>
      <c r="BI34" s="23">
        <v>81174.269</v>
      </c>
      <c r="BJ34" s="23">
        <v>81229.881999999998</v>
      </c>
      <c r="BK34" s="23">
        <v>81278.373000000007</v>
      </c>
      <c r="BL34" s="23">
        <v>81320.103000000003</v>
      </c>
      <c r="BM34" s="23">
        <v>81355.441999999995</v>
      </c>
      <c r="BN34" s="23">
        <v>81384.875</v>
      </c>
      <c r="BO34" s="23">
        <v>81408.956999999995</v>
      </c>
      <c r="BP34" s="23">
        <v>81428.186000000002</v>
      </c>
      <c r="BQ34" s="23">
        <v>81443.111000000004</v>
      </c>
      <c r="BR34" s="23">
        <v>81454.243000000002</v>
      </c>
      <c r="BS34" s="23">
        <v>81462.067999999999</v>
      </c>
      <c r="BT34" s="23">
        <v>81467.091</v>
      </c>
      <c r="BU34" s="23">
        <v>81469.703999999998</v>
      </c>
      <c r="BV34" s="23">
        <v>81470.320000000007</v>
      </c>
      <c r="BW34" s="23">
        <v>81469.232000000004</v>
      </c>
      <c r="BX34" s="23">
        <v>81466.731</v>
      </c>
      <c r="BY34" s="23">
        <v>81463.092999999993</v>
      </c>
      <c r="BZ34" s="23">
        <v>81458.489000000001</v>
      </c>
      <c r="CA34" s="23">
        <v>81453.119999999995</v>
      </c>
      <c r="CB34" s="23">
        <v>81447.095000000001</v>
      </c>
      <c r="CC34" s="23">
        <v>81440.607999999993</v>
      </c>
      <c r="CD34" s="23">
        <v>81433.781000000003</v>
      </c>
      <c r="CE34" s="23">
        <v>81426.782999999996</v>
      </c>
      <c r="CF34" s="23">
        <v>81419.828999999998</v>
      </c>
      <c r="CG34" s="23">
        <v>81413.183000000005</v>
      </c>
      <c r="CH34" s="23">
        <v>81407.199999999997</v>
      </c>
      <c r="CI34" s="23">
        <v>81402.25</v>
      </c>
      <c r="CJ34" s="23">
        <v>81398.709000000003</v>
      </c>
      <c r="CK34" s="23">
        <v>81396.967000000004</v>
      </c>
      <c r="CL34" s="23">
        <v>81397.436000000002</v>
      </c>
      <c r="CM34" s="23">
        <v>81400.459000000003</v>
      </c>
      <c r="CN34" s="23">
        <v>81406.275999999998</v>
      </c>
      <c r="CO34" s="23">
        <v>81415.084000000003</v>
      </c>
      <c r="CP34" s="23">
        <v>81426.995999999999</v>
      </c>
      <c r="CQ34" s="23">
        <v>81442.03</v>
      </c>
      <c r="CR34" s="23">
        <v>81460.095000000001</v>
      </c>
      <c r="CS34" s="23">
        <v>81480.985000000001</v>
      </c>
      <c r="CT34" s="23">
        <v>81504.456000000006</v>
      </c>
      <c r="CU34" s="23">
        <v>81530.145000000004</v>
      </c>
      <c r="CV34" s="23">
        <v>81557.638999999996</v>
      </c>
      <c r="CW34" s="23">
        <v>81586.535000000003</v>
      </c>
      <c r="CX34" s="23">
        <v>81616.369000000006</v>
      </c>
    </row>
    <row r="35" spans="1:102" s="24" customFormat="1" ht="15" customHeight="1" x14ac:dyDescent="0.2">
      <c r="A35" s="2" t="s">
        <v>129</v>
      </c>
      <c r="B35" s="25">
        <v>0.17170010260379751</v>
      </c>
      <c r="C35" s="25">
        <v>0.16888241551136371</v>
      </c>
      <c r="D35" s="25">
        <v>0.1662417241811128</v>
      </c>
      <c r="E35" s="25">
        <v>0.16363722213862811</v>
      </c>
      <c r="F35" s="25">
        <v>0.1609856520621521</v>
      </c>
      <c r="G35" s="25">
        <v>0.158425782267549</v>
      </c>
      <c r="H35" s="25">
        <v>0.15621670629862749</v>
      </c>
      <c r="I35" s="25">
        <v>0.15429019888867929</v>
      </c>
      <c r="J35" s="25">
        <v>0.1524267783684104</v>
      </c>
      <c r="K35" s="25">
        <v>0.15048243342589351</v>
      </c>
      <c r="L35" s="25">
        <v>0.1488550660922156</v>
      </c>
      <c r="M35" s="25">
        <v>0.14747767270312881</v>
      </c>
      <c r="N35" s="25">
        <v>0.14623296138329919</v>
      </c>
      <c r="O35" s="25">
        <v>0.14519563379638711</v>
      </c>
      <c r="P35" s="25">
        <v>0.14447064522495831</v>
      </c>
      <c r="Q35" s="25">
        <v>0.14369447643080849</v>
      </c>
      <c r="R35" s="25">
        <v>0.143431940620043</v>
      </c>
      <c r="S35" s="25">
        <v>0.143232487214419</v>
      </c>
      <c r="T35" s="25">
        <v>0.14302971035688339</v>
      </c>
      <c r="U35" s="25">
        <v>0.14283475318894071</v>
      </c>
      <c r="V35" s="25">
        <v>0.14265769981203941</v>
      </c>
      <c r="W35" s="25">
        <v>0.14249710088885609</v>
      </c>
      <c r="X35" s="25">
        <v>0.14234327388717641</v>
      </c>
      <c r="Y35" s="25">
        <v>0.14219019240158801</v>
      </c>
      <c r="Z35" s="25">
        <v>0.14203308337749099</v>
      </c>
      <c r="AA35" s="25">
        <v>0.14186832267076899</v>
      </c>
      <c r="AB35" s="25">
        <v>0.1416769410832435</v>
      </c>
      <c r="AC35" s="25">
        <v>0.14143707745615389</v>
      </c>
      <c r="AD35" s="25">
        <v>0.14114201666307369</v>
      </c>
      <c r="AE35" s="25">
        <v>0.14078735115645549</v>
      </c>
      <c r="AF35" s="25">
        <v>0.14036875704916871</v>
      </c>
      <c r="AG35" s="25">
        <v>0.13988071502574809</v>
      </c>
      <c r="AH35" s="25">
        <v>0.13932084180943</v>
      </c>
      <c r="AI35" s="25">
        <v>0.13869434482754739</v>
      </c>
      <c r="AJ35" s="25">
        <v>0.1380098326928077</v>
      </c>
      <c r="AK35" s="25">
        <v>0.1372761563456886</v>
      </c>
      <c r="AL35" s="25">
        <v>0.13650586020787259</v>
      </c>
      <c r="AM35" s="25">
        <v>0.1357137242513973</v>
      </c>
      <c r="AN35" s="25">
        <v>0.13491203899351109</v>
      </c>
      <c r="AO35" s="25">
        <v>0.13411064264869049</v>
      </c>
      <c r="AP35" s="25">
        <v>0.13331829113930449</v>
      </c>
      <c r="AQ35" s="25">
        <v>0.1325533506718653</v>
      </c>
      <c r="AR35" s="25">
        <v>0.13183527857118041</v>
      </c>
      <c r="AS35" s="25">
        <v>0.13117303827723789</v>
      </c>
      <c r="AT35" s="25">
        <v>0.13057291254431161</v>
      </c>
      <c r="AU35" s="25">
        <v>0.13003763974086241</v>
      </c>
      <c r="AV35" s="25">
        <v>0.12956989682304121</v>
      </c>
      <c r="AW35" s="25">
        <v>0.12917128598598759</v>
      </c>
      <c r="AX35" s="25">
        <v>0.12883828652008311</v>
      </c>
      <c r="AY35" s="25">
        <v>0.12856467343818839</v>
      </c>
      <c r="AZ35" s="25">
        <v>0.12834308686465559</v>
      </c>
      <c r="BA35" s="25">
        <v>0.12816757756306621</v>
      </c>
      <c r="BB35" s="25">
        <v>0.12803193687207701</v>
      </c>
      <c r="BC35" s="25">
        <v>0.12792817321909991</v>
      </c>
      <c r="BD35" s="25">
        <v>0.1278482735493828</v>
      </c>
      <c r="BE35" s="25">
        <v>0.1277840791944545</v>
      </c>
      <c r="BF35" s="25">
        <v>0.12772980760221389</v>
      </c>
      <c r="BG35" s="25">
        <v>0.12768013334132269</v>
      </c>
      <c r="BH35" s="25">
        <v>0.12762743973464599</v>
      </c>
      <c r="BI35" s="25">
        <v>0.1275650415773994</v>
      </c>
      <c r="BJ35" s="25">
        <v>0.12748824379678411</v>
      </c>
      <c r="BK35" s="25">
        <v>0.12739327348494039</v>
      </c>
      <c r="BL35" s="25">
        <v>0.12727790076704651</v>
      </c>
      <c r="BM35" s="25">
        <v>0.12714068961729691</v>
      </c>
      <c r="BN35" s="25">
        <v>0.12698032650415689</v>
      </c>
      <c r="BO35" s="25">
        <v>0.1267973866806818</v>
      </c>
      <c r="BP35" s="25">
        <v>0.12659336412087091</v>
      </c>
      <c r="BQ35" s="25">
        <v>0.12637065153368221</v>
      </c>
      <c r="BR35" s="25">
        <v>0.12613223843968449</v>
      </c>
      <c r="BS35" s="25">
        <v>0.12588163119060519</v>
      </c>
      <c r="BT35" s="25">
        <v>0.1256232286482403</v>
      </c>
      <c r="BU35" s="25">
        <v>0.12536145951874331</v>
      </c>
      <c r="BV35" s="25">
        <v>0.12510106748077091</v>
      </c>
      <c r="BW35" s="25">
        <v>0.1248469974529771</v>
      </c>
      <c r="BX35" s="25">
        <v>0.12460345315684759</v>
      </c>
      <c r="BY35" s="25">
        <v>0.1243745925532192</v>
      </c>
      <c r="BZ35" s="25">
        <v>0.124163977556716</v>
      </c>
      <c r="CA35" s="25">
        <v>0.1239742320490609</v>
      </c>
      <c r="CB35" s="25">
        <v>0.1238075464815534</v>
      </c>
      <c r="CC35" s="25">
        <v>0.1236647079059135</v>
      </c>
      <c r="CD35" s="25">
        <v>0.1235460134167171</v>
      </c>
      <c r="CE35" s="25">
        <v>0.123450683296674</v>
      </c>
      <c r="CF35" s="25">
        <v>0.1233770952773679</v>
      </c>
      <c r="CG35" s="25">
        <v>0.1233229267058628</v>
      </c>
      <c r="CH35" s="25">
        <v>0.1232853605086528</v>
      </c>
      <c r="CI35" s="25">
        <v>0.1232608435270524</v>
      </c>
      <c r="CJ35" s="25">
        <v>0.1232456156030681</v>
      </c>
      <c r="CK35" s="25">
        <v>0.1232357343241057</v>
      </c>
      <c r="CL35" s="25">
        <v>0.12322722302948209</v>
      </c>
      <c r="CM35" s="25">
        <v>0.1232161848129136</v>
      </c>
      <c r="CN35" s="25">
        <v>0.1231992604599675</v>
      </c>
      <c r="CO35" s="25">
        <v>0.1231732684817963</v>
      </c>
      <c r="CP35" s="25">
        <v>0.12313557533179779</v>
      </c>
      <c r="CQ35" s="25">
        <v>0.1230842477772226</v>
      </c>
      <c r="CR35" s="25">
        <v>0.12301774261373009</v>
      </c>
      <c r="CS35" s="25">
        <v>0.122935418613312</v>
      </c>
      <c r="CT35" s="25">
        <v>0.12283705077425459</v>
      </c>
      <c r="CU35" s="25">
        <v>0.1227230615130146</v>
      </c>
      <c r="CV35" s="25">
        <v>0.122594561620402</v>
      </c>
      <c r="CW35" s="25">
        <v>0.1224529268218095</v>
      </c>
      <c r="CX35" s="25">
        <v>0.1223000253784875</v>
      </c>
    </row>
    <row r="36" spans="1:102" s="24" customFormat="1" ht="15" customHeight="1" x14ac:dyDescent="0.2">
      <c r="A36" s="2" t="s">
        <v>130</v>
      </c>
      <c r="B36" s="25">
        <v>0.1824382291131571</v>
      </c>
      <c r="C36" s="25">
        <v>0.18556500241376811</v>
      </c>
      <c r="D36" s="25">
        <v>0.18740257576640279</v>
      </c>
      <c r="E36" s="25">
        <v>0.1889066663857559</v>
      </c>
      <c r="F36" s="25">
        <v>0.19002472509135221</v>
      </c>
      <c r="G36" s="25">
        <v>0.19030890402295519</v>
      </c>
      <c r="H36" s="25">
        <v>0.19001045962453059</v>
      </c>
      <c r="I36" s="25">
        <v>0.18938940310865779</v>
      </c>
      <c r="J36" s="25">
        <v>0.1889646253140721</v>
      </c>
      <c r="K36" s="25">
        <v>0.1888107393307244</v>
      </c>
      <c r="L36" s="25">
        <v>0.18834444390467869</v>
      </c>
      <c r="M36" s="25">
        <v>0.18752029468726919</v>
      </c>
      <c r="N36" s="25">
        <v>0.18645571215954709</v>
      </c>
      <c r="O36" s="25">
        <v>0.1853082949936867</v>
      </c>
      <c r="P36" s="25">
        <v>0.18394879708816589</v>
      </c>
      <c r="Q36" s="25">
        <v>0.18255797301097909</v>
      </c>
      <c r="R36" s="25">
        <v>0.18032417023544731</v>
      </c>
      <c r="S36" s="25">
        <v>0.17820229245815389</v>
      </c>
      <c r="T36" s="25">
        <v>0.17606208852187791</v>
      </c>
      <c r="U36" s="25">
        <v>0.1738211577089637</v>
      </c>
      <c r="V36" s="25">
        <v>0.17161466239045761</v>
      </c>
      <c r="W36" s="25">
        <v>0.16969238542828649</v>
      </c>
      <c r="X36" s="25">
        <v>0.1680254610213264</v>
      </c>
      <c r="Y36" s="25">
        <v>0.1664084734586504</v>
      </c>
      <c r="Z36" s="25">
        <v>0.16470575286290901</v>
      </c>
      <c r="AA36" s="25">
        <v>0.16329299331480829</v>
      </c>
      <c r="AB36" s="25">
        <v>0.16211185042915499</v>
      </c>
      <c r="AC36" s="25">
        <v>0.1610565818575371</v>
      </c>
      <c r="AD36" s="25">
        <v>0.16020029045296971</v>
      </c>
      <c r="AE36" s="25">
        <v>0.15964446606957949</v>
      </c>
      <c r="AF36" s="25">
        <v>0.15904647892357751</v>
      </c>
      <c r="AG36" s="25">
        <v>0.15894415489609881</v>
      </c>
      <c r="AH36" s="25">
        <v>0.15891086762476939</v>
      </c>
      <c r="AI36" s="25">
        <v>0.15888266836464229</v>
      </c>
      <c r="AJ36" s="25">
        <v>0.1588684001859812</v>
      </c>
      <c r="AK36" s="25">
        <v>0.15887563649551881</v>
      </c>
      <c r="AL36" s="25">
        <v>0.15890050386060539</v>
      </c>
      <c r="AM36" s="25">
        <v>0.1589309573734688</v>
      </c>
      <c r="AN36" s="25">
        <v>0.15895814491806429</v>
      </c>
      <c r="AO36" s="25">
        <v>0.15897489838887821</v>
      </c>
      <c r="AP36" s="25">
        <v>0.15897530786750591</v>
      </c>
      <c r="AQ36" s="25">
        <v>0.1589373550989652</v>
      </c>
      <c r="AR36" s="25">
        <v>0.1588362352934769</v>
      </c>
      <c r="AS36" s="25">
        <v>0.1586638326675206</v>
      </c>
      <c r="AT36" s="25">
        <v>0.15841468955192761</v>
      </c>
      <c r="AU36" s="25">
        <v>0.1580848166223037</v>
      </c>
      <c r="AV36" s="25">
        <v>0.1576698928978485</v>
      </c>
      <c r="AW36" s="25">
        <v>0.15716906271062031</v>
      </c>
      <c r="AX36" s="25">
        <v>0.15659007996350141</v>
      </c>
      <c r="AY36" s="25">
        <v>0.1559452415562014</v>
      </c>
      <c r="AZ36" s="25">
        <v>0.1552470292903152</v>
      </c>
      <c r="BA36" s="25">
        <v>0.1545115743711922</v>
      </c>
      <c r="BB36" s="25">
        <v>0.1537568717846112</v>
      </c>
      <c r="BC36" s="25">
        <v>0.1529980677873512</v>
      </c>
      <c r="BD36" s="25">
        <v>0.15224812696059559</v>
      </c>
      <c r="BE36" s="25">
        <v>0.15151762478458769</v>
      </c>
      <c r="BF36" s="25">
        <v>0.15082562715953179</v>
      </c>
      <c r="BG36" s="25">
        <v>0.1501921675348884</v>
      </c>
      <c r="BH36" s="25">
        <v>0.14962642680524829</v>
      </c>
      <c r="BI36" s="25">
        <v>0.14913462294313981</v>
      </c>
      <c r="BJ36" s="25">
        <v>0.14871878060834801</v>
      </c>
      <c r="BK36" s="25">
        <v>0.1483808860199502</v>
      </c>
      <c r="BL36" s="25">
        <v>0.14812087731861329</v>
      </c>
      <c r="BM36" s="25">
        <v>0.14793361948669639</v>
      </c>
      <c r="BN36" s="25">
        <v>0.14781112583879991</v>
      </c>
      <c r="BO36" s="25">
        <v>0.14774357077194841</v>
      </c>
      <c r="BP36" s="25">
        <v>0.1477229886958307</v>
      </c>
      <c r="BQ36" s="25">
        <v>0.14774110237512911</v>
      </c>
      <c r="BR36" s="25">
        <v>0.1477879304580855</v>
      </c>
      <c r="BS36" s="25">
        <v>0.14785389440395741</v>
      </c>
      <c r="BT36" s="25">
        <v>0.14792921720992841</v>
      </c>
      <c r="BU36" s="25">
        <v>0.1480069450111173</v>
      </c>
      <c r="BV36" s="25">
        <v>0.1480809575806257</v>
      </c>
      <c r="BW36" s="25">
        <v>0.14814285962582779</v>
      </c>
      <c r="BX36" s="25">
        <v>0.1481858895258728</v>
      </c>
      <c r="BY36" s="25">
        <v>0.14820499143090479</v>
      </c>
      <c r="BZ36" s="25">
        <v>0.1481961812476045</v>
      </c>
      <c r="CA36" s="25">
        <v>0.14815784834270321</v>
      </c>
      <c r="CB36" s="25">
        <v>0.1480886703202858</v>
      </c>
      <c r="CC36" s="25">
        <v>0.14798813879189121</v>
      </c>
      <c r="CD36" s="25">
        <v>0.14785714051518739</v>
      </c>
      <c r="CE36" s="25">
        <v>0.14769780355930309</v>
      </c>
      <c r="CF36" s="25">
        <v>0.14751286200809879</v>
      </c>
      <c r="CG36" s="25">
        <v>0.1473056888096366</v>
      </c>
      <c r="CH36" s="25">
        <v>0.14708001257874001</v>
      </c>
      <c r="CI36" s="25">
        <v>0.14684021633308661</v>
      </c>
      <c r="CJ36" s="25">
        <v>0.1465907647257649</v>
      </c>
      <c r="CK36" s="25">
        <v>0.14633626336470251</v>
      </c>
      <c r="CL36" s="25">
        <v>0.14608137042547631</v>
      </c>
      <c r="CM36" s="25">
        <v>0.14583045532949629</v>
      </c>
      <c r="CN36" s="25">
        <v>0.14558747288722559</v>
      </c>
      <c r="CO36" s="25">
        <v>0.14535589007069011</v>
      </c>
      <c r="CP36" s="25">
        <v>0.14513848699514839</v>
      </c>
      <c r="CQ36" s="25">
        <v>0.14493755865368291</v>
      </c>
      <c r="CR36" s="25">
        <v>0.14475460653464739</v>
      </c>
      <c r="CS36" s="25">
        <v>0.14459032374240441</v>
      </c>
      <c r="CT36" s="25">
        <v>0.14444444608034679</v>
      </c>
      <c r="CU36" s="25">
        <v>0.14431655923094461</v>
      </c>
      <c r="CV36" s="25">
        <v>0.14420541281240379</v>
      </c>
      <c r="CW36" s="25">
        <v>0.1441092332208985</v>
      </c>
      <c r="CX36" s="25">
        <v>0.14402623081651669</v>
      </c>
    </row>
    <row r="37" spans="1:102" s="24" customFormat="1" ht="15" customHeight="1" x14ac:dyDescent="0.2">
      <c r="A37" s="2" t="s">
        <v>131</v>
      </c>
      <c r="B37" s="25">
        <v>0.200189456759022</v>
      </c>
      <c r="C37" s="25">
        <v>0.2025135600623105</v>
      </c>
      <c r="D37" s="25">
        <v>0.20393967425440221</v>
      </c>
      <c r="E37" s="25">
        <v>0.2046466092857788</v>
      </c>
      <c r="F37" s="25">
        <v>0.20533546452922211</v>
      </c>
      <c r="G37" s="25">
        <v>0.2064206480002875</v>
      </c>
      <c r="H37" s="25">
        <v>0.20720223953170719</v>
      </c>
      <c r="I37" s="25">
        <v>0.20804816794712319</v>
      </c>
      <c r="J37" s="25">
        <v>0.20824627850522179</v>
      </c>
      <c r="K37" s="25">
        <v>0.20820287645489061</v>
      </c>
      <c r="L37" s="25">
        <v>0.20805333636840101</v>
      </c>
      <c r="M37" s="25">
        <v>0.20768741780261199</v>
      </c>
      <c r="N37" s="25">
        <v>0.20755724779263329</v>
      </c>
      <c r="O37" s="25">
        <v>0.2071878379925805</v>
      </c>
      <c r="P37" s="25">
        <v>0.20661005523652329</v>
      </c>
      <c r="Q37" s="25">
        <v>0.20621487873233479</v>
      </c>
      <c r="R37" s="25">
        <v>0.20643084947350651</v>
      </c>
      <c r="S37" s="25">
        <v>0.2064048626056289</v>
      </c>
      <c r="T37" s="25">
        <v>0.2066133837562166</v>
      </c>
      <c r="U37" s="25">
        <v>0.20697014043364681</v>
      </c>
      <c r="V37" s="25">
        <v>0.20701043043129699</v>
      </c>
      <c r="W37" s="25">
        <v>0.20691440323081081</v>
      </c>
      <c r="X37" s="25">
        <v>0.20651187196351131</v>
      </c>
      <c r="Y37" s="25">
        <v>0.20628623896054149</v>
      </c>
      <c r="Z37" s="25">
        <v>0.206308279571076</v>
      </c>
      <c r="AA37" s="25">
        <v>0.206030591425651</v>
      </c>
      <c r="AB37" s="25">
        <v>0.2054149279609922</v>
      </c>
      <c r="AC37" s="25">
        <v>0.20457528198076941</v>
      </c>
      <c r="AD37" s="25">
        <v>0.2036611395146386</v>
      </c>
      <c r="AE37" s="25">
        <v>0.20255160085036569</v>
      </c>
      <c r="AF37" s="25">
        <v>0.20141982175631201</v>
      </c>
      <c r="AG37" s="25">
        <v>0.19949717559094371</v>
      </c>
      <c r="AH37" s="25">
        <v>0.19768640699989171</v>
      </c>
      <c r="AI37" s="25">
        <v>0.1958637567880602</v>
      </c>
      <c r="AJ37" s="25">
        <v>0.19394872695615181</v>
      </c>
      <c r="AK37" s="25">
        <v>0.19206626666103371</v>
      </c>
      <c r="AL37" s="25">
        <v>0.19045129973524111</v>
      </c>
      <c r="AM37" s="25">
        <v>0.18907385338292251</v>
      </c>
      <c r="AN37" s="25">
        <v>0.18773534024360311</v>
      </c>
      <c r="AO37" s="25">
        <v>0.18630376849681701</v>
      </c>
      <c r="AP37" s="25">
        <v>0.18513569846539271</v>
      </c>
      <c r="AQ37" s="25">
        <v>0.18417270104121469</v>
      </c>
      <c r="AR37" s="25">
        <v>0.18331058640728209</v>
      </c>
      <c r="AS37" s="25">
        <v>0.18261810221149849</v>
      </c>
      <c r="AT37" s="25">
        <v>0.18219305455376461</v>
      </c>
      <c r="AU37" s="25">
        <v>0.18170651389310891</v>
      </c>
      <c r="AV37" s="25">
        <v>0.181678044673903</v>
      </c>
      <c r="AW37" s="25">
        <v>0.1816986048884548</v>
      </c>
      <c r="AX37" s="25">
        <v>0.18170979849772931</v>
      </c>
      <c r="AY37" s="25">
        <v>0.18172432045714601</v>
      </c>
      <c r="AZ37" s="25">
        <v>0.1817542033438965</v>
      </c>
      <c r="BA37" s="25">
        <v>0.1817999523962967</v>
      </c>
      <c r="BB37" s="25">
        <v>0.1818540109195981</v>
      </c>
      <c r="BC37" s="25">
        <v>0.1819120613582432</v>
      </c>
      <c r="BD37" s="25">
        <v>0.18197014859599639</v>
      </c>
      <c r="BE37" s="25">
        <v>0.1820256408274924</v>
      </c>
      <c r="BF37" s="25">
        <v>0.18205882387089131</v>
      </c>
      <c r="BG37" s="25">
        <v>0.1820466505095264</v>
      </c>
      <c r="BH37" s="25">
        <v>0.18198203751685341</v>
      </c>
      <c r="BI37" s="25">
        <v>0.18185957424513419</v>
      </c>
      <c r="BJ37" s="25">
        <v>0.18167450988048961</v>
      </c>
      <c r="BK37" s="25">
        <v>0.18142088055822669</v>
      </c>
      <c r="BL37" s="25">
        <v>0.18109581095833091</v>
      </c>
      <c r="BM37" s="25">
        <v>0.1807041992347605</v>
      </c>
      <c r="BN37" s="25">
        <v>0.1802551026833917</v>
      </c>
      <c r="BO37" s="25">
        <v>0.17975777530229259</v>
      </c>
      <c r="BP37" s="25">
        <v>0.17922463604924219</v>
      </c>
      <c r="BQ37" s="25">
        <v>0.17867038502495319</v>
      </c>
      <c r="BR37" s="25">
        <v>0.17810772607634451</v>
      </c>
      <c r="BS37" s="25">
        <v>0.1775467325479633</v>
      </c>
      <c r="BT37" s="25">
        <v>0.17699611981971961</v>
      </c>
      <c r="BU37" s="25">
        <v>0.17647349007184321</v>
      </c>
      <c r="BV37" s="25">
        <v>0.17599786032508519</v>
      </c>
      <c r="BW37" s="25">
        <v>0.175577719942174</v>
      </c>
      <c r="BX37" s="25">
        <v>0.17521924379167739</v>
      </c>
      <c r="BY37" s="25">
        <v>0.17492431818173171</v>
      </c>
      <c r="BZ37" s="25">
        <v>0.1746952855950962</v>
      </c>
      <c r="CA37" s="25">
        <v>0.17453241815660339</v>
      </c>
      <c r="CB37" s="25">
        <v>0.17443145148393571</v>
      </c>
      <c r="CC37" s="25">
        <v>0.17438463868049711</v>
      </c>
      <c r="CD37" s="25">
        <v>0.1743833925628481</v>
      </c>
      <c r="CE37" s="25">
        <v>0.17442033783896391</v>
      </c>
      <c r="CF37" s="25">
        <v>0.17448793708471191</v>
      </c>
      <c r="CG37" s="25">
        <v>0.1745765916067917</v>
      </c>
      <c r="CH37" s="25">
        <v>0.1746767484939907</v>
      </c>
      <c r="CI37" s="25">
        <v>0.17477880525415451</v>
      </c>
      <c r="CJ37" s="25">
        <v>0.1748758816309974</v>
      </c>
      <c r="CK37" s="25">
        <v>0.17496160514187209</v>
      </c>
      <c r="CL37" s="25">
        <v>0.1750275033233234</v>
      </c>
      <c r="CM37" s="25">
        <v>0.1750662241351735</v>
      </c>
      <c r="CN37" s="25">
        <v>0.1750728408212654</v>
      </c>
      <c r="CO37" s="25">
        <v>0.17504361968109011</v>
      </c>
      <c r="CP37" s="25">
        <v>0.17497684674502789</v>
      </c>
      <c r="CQ37" s="25">
        <v>0.17487145150974259</v>
      </c>
      <c r="CR37" s="25">
        <v>0.17472726983684461</v>
      </c>
      <c r="CS37" s="25">
        <v>0.17454607354096169</v>
      </c>
      <c r="CT37" s="25">
        <v>0.17433095927908529</v>
      </c>
      <c r="CU37" s="25">
        <v>0.1740857568694377</v>
      </c>
      <c r="CV37" s="25">
        <v>0.17381515911709999</v>
      </c>
      <c r="CW37" s="25">
        <v>0.1735246508507807</v>
      </c>
      <c r="CX37" s="25">
        <v>0.17322005589344461</v>
      </c>
    </row>
    <row r="38" spans="1:102" s="24" customFormat="1" ht="15" customHeight="1" x14ac:dyDescent="0.2">
      <c r="A38" s="2" t="s">
        <v>132</v>
      </c>
      <c r="B38" s="25">
        <v>0.19695504744251499</v>
      </c>
      <c r="C38" s="25">
        <v>0.1930373247463098</v>
      </c>
      <c r="D38" s="25">
        <v>0.19016912823117579</v>
      </c>
      <c r="E38" s="25">
        <v>0.1879655771923788</v>
      </c>
      <c r="F38" s="25">
        <v>0.186113218479769</v>
      </c>
      <c r="G38" s="25">
        <v>0.18437787588376281</v>
      </c>
      <c r="H38" s="25">
        <v>0.1830798436823923</v>
      </c>
      <c r="I38" s="25">
        <v>0.18188393074255871</v>
      </c>
      <c r="J38" s="25">
        <v>0.1815120781600576</v>
      </c>
      <c r="K38" s="25">
        <v>0.1810376445126593</v>
      </c>
      <c r="L38" s="25">
        <v>0.18125800309379991</v>
      </c>
      <c r="M38" s="25">
        <v>0.18236464602969149</v>
      </c>
      <c r="N38" s="25">
        <v>0.18388767033215481</v>
      </c>
      <c r="O38" s="25">
        <v>0.18576847153456241</v>
      </c>
      <c r="P38" s="25">
        <v>0.18804386227984179</v>
      </c>
      <c r="Q38" s="25">
        <v>0.19053200499200351</v>
      </c>
      <c r="R38" s="25">
        <v>0.19261480324557989</v>
      </c>
      <c r="S38" s="25">
        <v>0.19404865369107191</v>
      </c>
      <c r="T38" s="25">
        <v>0.19486438784684679</v>
      </c>
      <c r="U38" s="25">
        <v>0.19569633736768791</v>
      </c>
      <c r="V38" s="25">
        <v>0.1969410048894874</v>
      </c>
      <c r="W38" s="25">
        <v>0.197974151989153</v>
      </c>
      <c r="X38" s="25">
        <v>0.1990567038300915</v>
      </c>
      <c r="Y38" s="25">
        <v>0.19953675330302101</v>
      </c>
      <c r="Z38" s="25">
        <v>0.1997820551726813</v>
      </c>
      <c r="AA38" s="25">
        <v>0.19992010506523569</v>
      </c>
      <c r="AB38" s="25">
        <v>0.19985986590160579</v>
      </c>
      <c r="AC38" s="25">
        <v>0.20001842489919011</v>
      </c>
      <c r="AD38" s="25">
        <v>0.1999596044029362</v>
      </c>
      <c r="AE38" s="25">
        <v>0.19971452065445519</v>
      </c>
      <c r="AF38" s="25">
        <v>0.19964604342609521</v>
      </c>
      <c r="AG38" s="25">
        <v>0.20015585074899009</v>
      </c>
      <c r="AH38" s="25">
        <v>0.2004504500458672</v>
      </c>
      <c r="AI38" s="25">
        <v>0.2009712696017868</v>
      </c>
      <c r="AJ38" s="25">
        <v>0.20163991612493071</v>
      </c>
      <c r="AK38" s="25">
        <v>0.2020216469194627</v>
      </c>
      <c r="AL38" s="25">
        <v>0.20227182293484439</v>
      </c>
      <c r="AM38" s="25">
        <v>0.202229519012321</v>
      </c>
      <c r="AN38" s="25">
        <v>0.202344062647448</v>
      </c>
      <c r="AO38" s="25">
        <v>0.20268016234368269</v>
      </c>
      <c r="AP38" s="25">
        <v>0.2027164229392785</v>
      </c>
      <c r="AQ38" s="25">
        <v>0.20241393164690941</v>
      </c>
      <c r="AR38" s="25">
        <v>0.2018746825401988</v>
      </c>
      <c r="AS38" s="25">
        <v>0.2012346850584619</v>
      </c>
      <c r="AT38" s="25">
        <v>0.20037765950448971</v>
      </c>
      <c r="AU38" s="25">
        <v>0.1994745314539724</v>
      </c>
      <c r="AV38" s="25">
        <v>0.19779179981407061</v>
      </c>
      <c r="AW38" s="25">
        <v>0.19619103412315039</v>
      </c>
      <c r="AX38" s="25">
        <v>0.1945614197254357</v>
      </c>
      <c r="AY38" s="25">
        <v>0.1928325071435289</v>
      </c>
      <c r="AZ38" s="25">
        <v>0.19112704247220039</v>
      </c>
      <c r="BA38" s="25">
        <v>0.18967170147745471</v>
      </c>
      <c r="BB38" s="25">
        <v>0.18844304099938841</v>
      </c>
      <c r="BC38" s="25">
        <v>0.18725783977143531</v>
      </c>
      <c r="BD38" s="25">
        <v>0.1859954108376054</v>
      </c>
      <c r="BE38" s="25">
        <v>0.1849957728955279</v>
      </c>
      <c r="BF38" s="25">
        <v>0.18420564296782371</v>
      </c>
      <c r="BG38" s="25">
        <v>0.18352783138318671</v>
      </c>
      <c r="BH38" s="25">
        <v>0.18302782301056031</v>
      </c>
      <c r="BI38" s="25">
        <v>0.18279930552870149</v>
      </c>
      <c r="BJ38" s="25">
        <v>0.18252897375869631</v>
      </c>
      <c r="BK38" s="25">
        <v>0.18271039948105261</v>
      </c>
      <c r="BL38" s="25">
        <v>0.18295221539500511</v>
      </c>
      <c r="BM38" s="25">
        <v>0.18319620216678309</v>
      </c>
      <c r="BN38" s="25">
        <v>0.18345135997321371</v>
      </c>
      <c r="BO38" s="25">
        <v>0.18372634352753101</v>
      </c>
      <c r="BP38" s="25">
        <v>0.18401808680841791</v>
      </c>
      <c r="BQ38" s="25">
        <v>0.18431592083951701</v>
      </c>
      <c r="BR38" s="25">
        <v>0.18461277701641651</v>
      </c>
      <c r="BS38" s="25">
        <v>0.18490234006826339</v>
      </c>
      <c r="BT38" s="25">
        <v>0.18517978013968861</v>
      </c>
      <c r="BU38" s="25">
        <v>0.18542425292228881</v>
      </c>
      <c r="BV38" s="25">
        <v>0.1856114349372876</v>
      </c>
      <c r="BW38" s="25">
        <v>0.18573359081131391</v>
      </c>
      <c r="BX38" s="25">
        <v>0.1857848696543378</v>
      </c>
      <c r="BY38" s="25">
        <v>0.18576021904790679</v>
      </c>
      <c r="BZ38" s="25">
        <v>0.18565395928225481</v>
      </c>
      <c r="CA38" s="25">
        <v>0.18546372440982001</v>
      </c>
      <c r="CB38" s="25">
        <v>0.1851948924636293</v>
      </c>
      <c r="CC38" s="25">
        <v>0.18485725204802009</v>
      </c>
      <c r="CD38" s="25">
        <v>0.18446047592951631</v>
      </c>
      <c r="CE38" s="25">
        <v>0.18401770827664901</v>
      </c>
      <c r="CF38" s="25">
        <v>0.18354434274235579</v>
      </c>
      <c r="CG38" s="25">
        <v>0.18305349884182759</v>
      </c>
      <c r="CH38" s="25">
        <v>0.18255548649259529</v>
      </c>
      <c r="CI38" s="25">
        <v>0.18205934111157859</v>
      </c>
      <c r="CJ38" s="25">
        <v>0.18158230249081711</v>
      </c>
      <c r="CK38" s="25">
        <v>0.1811430271105802</v>
      </c>
      <c r="CL38" s="25">
        <v>0.1807497474490474</v>
      </c>
      <c r="CM38" s="25">
        <v>0.18040857730298551</v>
      </c>
      <c r="CN38" s="25">
        <v>0.18012128450636899</v>
      </c>
      <c r="CO38" s="25">
        <v>0.17989012945070471</v>
      </c>
      <c r="CP38" s="25">
        <v>0.1797156805342543</v>
      </c>
      <c r="CQ38" s="25">
        <v>0.17959366926389239</v>
      </c>
      <c r="CR38" s="25">
        <v>0.17951727161624351</v>
      </c>
      <c r="CS38" s="25">
        <v>0.17947867223254599</v>
      </c>
      <c r="CT38" s="25">
        <v>0.17947125492132601</v>
      </c>
      <c r="CU38" s="25">
        <v>0.17948889947393079</v>
      </c>
      <c r="CV38" s="25">
        <v>0.17952366178721779</v>
      </c>
      <c r="CW38" s="25">
        <v>0.1795676210541359</v>
      </c>
      <c r="CX38" s="25">
        <v>0.17961324645549959</v>
      </c>
    </row>
    <row r="39" spans="1:102" s="24" customFormat="1" ht="15" customHeight="1" x14ac:dyDescent="0.2">
      <c r="A39" s="2" t="s">
        <v>133</v>
      </c>
      <c r="B39" s="25">
        <v>0.1581764537693956</v>
      </c>
      <c r="C39" s="25">
        <v>0.1577395450406647</v>
      </c>
      <c r="D39" s="25">
        <v>0.15853227658746871</v>
      </c>
      <c r="E39" s="25">
        <v>0.15992944350086319</v>
      </c>
      <c r="F39" s="25">
        <v>0.16157040544321249</v>
      </c>
      <c r="G39" s="25">
        <v>0.16351673994463009</v>
      </c>
      <c r="H39" s="25">
        <v>0.1653326915711458</v>
      </c>
      <c r="I39" s="25">
        <v>0.16704442417699131</v>
      </c>
      <c r="J39" s="25">
        <v>0.16847480553280009</v>
      </c>
      <c r="K39" s="25">
        <v>0.16988029040930289</v>
      </c>
      <c r="L39" s="25">
        <v>0.17052790913903171</v>
      </c>
      <c r="M39" s="25">
        <v>0.17039898972430609</v>
      </c>
      <c r="N39" s="25">
        <v>0.16964337589947609</v>
      </c>
      <c r="O39" s="25">
        <v>0.16857013428781961</v>
      </c>
      <c r="P39" s="25">
        <v>0.1669972886729971</v>
      </c>
      <c r="Q39" s="25">
        <v>0.1649210191137376</v>
      </c>
      <c r="R39" s="25">
        <v>0.16288971072324179</v>
      </c>
      <c r="S39" s="25">
        <v>0.161503451839241</v>
      </c>
      <c r="T39" s="25">
        <v>0.1605465079370299</v>
      </c>
      <c r="U39" s="25">
        <v>0.15972567035248891</v>
      </c>
      <c r="V39" s="25">
        <v>0.15885609907043971</v>
      </c>
      <c r="W39" s="25">
        <v>0.1582178297359553</v>
      </c>
      <c r="X39" s="25">
        <v>0.15766682573673221</v>
      </c>
      <c r="Y39" s="25">
        <v>0.15781840659025051</v>
      </c>
      <c r="Z39" s="25">
        <v>0.15789798090817461</v>
      </c>
      <c r="AA39" s="25">
        <v>0.1585505182948754</v>
      </c>
      <c r="AB39" s="25">
        <v>0.1599513705112218</v>
      </c>
      <c r="AC39" s="25">
        <v>0.16167810075006589</v>
      </c>
      <c r="AD39" s="25">
        <v>0.16370783965380559</v>
      </c>
      <c r="AE39" s="25">
        <v>0.16606970225767831</v>
      </c>
      <c r="AF39" s="25">
        <v>0.16859562997904479</v>
      </c>
      <c r="AG39" s="25">
        <v>0.17076354393801671</v>
      </c>
      <c r="AH39" s="25">
        <v>0.17241122998696601</v>
      </c>
      <c r="AI39" s="25">
        <v>0.1735354297247983</v>
      </c>
      <c r="AJ39" s="25">
        <v>0.17467179479065981</v>
      </c>
      <c r="AK39" s="25">
        <v>0.17617685212567921</v>
      </c>
      <c r="AL39" s="25">
        <v>0.17748798283988629</v>
      </c>
      <c r="AM39" s="25">
        <v>0.17883663262509181</v>
      </c>
      <c r="AN39" s="25">
        <v>0.1796503654696294</v>
      </c>
      <c r="AO39" s="25">
        <v>0.18024152759673739</v>
      </c>
      <c r="AP39" s="25">
        <v>0.18072778755295549</v>
      </c>
      <c r="AQ39" s="25">
        <v>0.18104013842238201</v>
      </c>
      <c r="AR39" s="25">
        <v>0.18152957168461031</v>
      </c>
      <c r="AS39" s="25">
        <v>0.18180456506616949</v>
      </c>
      <c r="AT39" s="25">
        <v>0.18189403662604589</v>
      </c>
      <c r="AU39" s="25">
        <v>0.18212106036584469</v>
      </c>
      <c r="AV39" s="25">
        <v>0.1828496658463673</v>
      </c>
      <c r="AW39" s="25">
        <v>0.18336222257512311</v>
      </c>
      <c r="AX39" s="25">
        <v>0.18405594169175299</v>
      </c>
      <c r="AY39" s="25">
        <v>0.18487345014232209</v>
      </c>
      <c r="AZ39" s="25">
        <v>0.18543374802073209</v>
      </c>
      <c r="BA39" s="25">
        <v>0.18585603548444479</v>
      </c>
      <c r="BB39" s="25">
        <v>0.18600970267455369</v>
      </c>
      <c r="BC39" s="25">
        <v>0.18630230559925229</v>
      </c>
      <c r="BD39" s="25">
        <v>0.18680075789943301</v>
      </c>
      <c r="BE39" s="25">
        <v>0.18702961755137049</v>
      </c>
      <c r="BF39" s="25">
        <v>0.18696468321276449</v>
      </c>
      <c r="BG39" s="25">
        <v>0.1867003096615204</v>
      </c>
      <c r="BH39" s="25">
        <v>0.18635225581448109</v>
      </c>
      <c r="BI39" s="25">
        <v>0.18581120822905101</v>
      </c>
      <c r="BJ39" s="25">
        <v>0.18525095235273151</v>
      </c>
      <c r="BK39" s="25">
        <v>0.18398893147135209</v>
      </c>
      <c r="BL39" s="25">
        <v>0.18281159825879709</v>
      </c>
      <c r="BM39" s="25">
        <v>0.18162234310029321</v>
      </c>
      <c r="BN39" s="25">
        <v>0.1803563868593519</v>
      </c>
      <c r="BO39" s="25">
        <v>0.17911794398741651</v>
      </c>
      <c r="BP39" s="25">
        <v>0.1781047781170024</v>
      </c>
      <c r="BQ39" s="25">
        <v>0.17729290817488541</v>
      </c>
      <c r="BR39" s="25">
        <v>0.1765166241861704</v>
      </c>
      <c r="BS39" s="25">
        <v>0.17566650775425929</v>
      </c>
      <c r="BT39" s="25">
        <v>0.175044583339793</v>
      </c>
      <c r="BU39" s="25">
        <v>0.1746022791490687</v>
      </c>
      <c r="BV39" s="25">
        <v>0.17425241486715651</v>
      </c>
      <c r="BW39" s="25">
        <v>0.1740523097112294</v>
      </c>
      <c r="BX39" s="25">
        <v>0.17408691653529099</v>
      </c>
      <c r="BY39" s="25">
        <v>0.1740728160174326</v>
      </c>
      <c r="BZ39" s="25">
        <v>0.17445747121579919</v>
      </c>
      <c r="CA39" s="25">
        <v>0.17488523459874841</v>
      </c>
      <c r="CB39" s="25">
        <v>0.17530355134213199</v>
      </c>
      <c r="CC39" s="25">
        <v>0.17572139196210321</v>
      </c>
      <c r="CD39" s="25">
        <v>0.1761470218360609</v>
      </c>
      <c r="CE39" s="25">
        <v>0.17657809224760851</v>
      </c>
      <c r="CF39" s="25">
        <v>0.17700453534482369</v>
      </c>
      <c r="CG39" s="25">
        <v>0.17741984120679821</v>
      </c>
      <c r="CH39" s="25">
        <v>0.17781799398579001</v>
      </c>
      <c r="CI39" s="25">
        <v>0.17819465678160001</v>
      </c>
      <c r="CJ39" s="25">
        <v>0.1785298093609814</v>
      </c>
      <c r="CK39" s="25">
        <v>0.17880013883072571</v>
      </c>
      <c r="CL39" s="25">
        <v>0.17899768980438149</v>
      </c>
      <c r="CM39" s="25">
        <v>0.17911719637846271</v>
      </c>
      <c r="CN39" s="25">
        <v>0.17915379153322281</v>
      </c>
      <c r="CO39" s="25">
        <v>0.17910268323250761</v>
      </c>
      <c r="CP39" s="25">
        <v>0.17896183963362719</v>
      </c>
      <c r="CQ39" s="25">
        <v>0.17873677755822151</v>
      </c>
      <c r="CR39" s="25">
        <v>0.17843805608132421</v>
      </c>
      <c r="CS39" s="25">
        <v>0.1780758418666637</v>
      </c>
      <c r="CT39" s="25">
        <v>0.17766413900118541</v>
      </c>
      <c r="CU39" s="25">
        <v>0.17721856130637331</v>
      </c>
      <c r="CV39" s="25">
        <v>0.17675316716806869</v>
      </c>
      <c r="CW39" s="25">
        <v>0.17627995845147729</v>
      </c>
      <c r="CX39" s="25">
        <v>0.17580911985927719</v>
      </c>
    </row>
    <row r="40" spans="1:102" s="24" customFormat="1" ht="15" customHeight="1" x14ac:dyDescent="0.2">
      <c r="A40" s="2" t="s">
        <v>134</v>
      </c>
      <c r="B40" s="25">
        <v>9.0540710312112846E-2</v>
      </c>
      <c r="C40" s="25">
        <v>9.226215222558326E-2</v>
      </c>
      <c r="D40" s="25">
        <v>9.3714620979437696E-2</v>
      </c>
      <c r="E40" s="25">
        <v>9.4914481496595163E-2</v>
      </c>
      <c r="F40" s="25">
        <v>9.5970534394292067E-2</v>
      </c>
      <c r="G40" s="25">
        <v>9.6950049880815375E-2</v>
      </c>
      <c r="H40" s="25">
        <v>9.8158059291596628E-2</v>
      </c>
      <c r="I40" s="25">
        <v>9.9343875135989773E-2</v>
      </c>
      <c r="J40" s="25">
        <v>0.1003754341194381</v>
      </c>
      <c r="K40" s="25">
        <v>0.1015860158665295</v>
      </c>
      <c r="L40" s="25">
        <v>0.1029612414018731</v>
      </c>
      <c r="M40" s="25">
        <v>0.1045509790529925</v>
      </c>
      <c r="N40" s="25">
        <v>0.1062230324328895</v>
      </c>
      <c r="O40" s="25">
        <v>0.1079696273949636</v>
      </c>
      <c r="P40" s="25">
        <v>0.10992935149751359</v>
      </c>
      <c r="Q40" s="25">
        <v>0.1120796477201364</v>
      </c>
      <c r="R40" s="25">
        <v>0.1143085257021814</v>
      </c>
      <c r="S40" s="25">
        <v>0.1166082521914852</v>
      </c>
      <c r="T40" s="25">
        <v>0.1188839215811454</v>
      </c>
      <c r="U40" s="25">
        <v>0.120951940948272</v>
      </c>
      <c r="V40" s="25">
        <v>0.12292010340627881</v>
      </c>
      <c r="W40" s="25">
        <v>0.1247041287269381</v>
      </c>
      <c r="X40" s="25">
        <v>0.1263958635611622</v>
      </c>
      <c r="Y40" s="25">
        <v>0.12775993528594859</v>
      </c>
      <c r="Z40" s="25">
        <v>0.12927284810766809</v>
      </c>
      <c r="AA40" s="25">
        <v>0.13033746922866049</v>
      </c>
      <c r="AB40" s="25">
        <v>0.1309850441137817</v>
      </c>
      <c r="AC40" s="25">
        <v>0.1312345330562836</v>
      </c>
      <c r="AD40" s="25">
        <v>0.1313291093125763</v>
      </c>
      <c r="AE40" s="25">
        <v>0.13123235901146571</v>
      </c>
      <c r="AF40" s="25">
        <v>0.13092326886580169</v>
      </c>
      <c r="AG40" s="25">
        <v>0.1307585598002024</v>
      </c>
      <c r="AH40" s="25">
        <v>0.1312202035330757</v>
      </c>
      <c r="AI40" s="25">
        <v>0.13205253069316511</v>
      </c>
      <c r="AJ40" s="25">
        <v>0.1328613292494687</v>
      </c>
      <c r="AK40" s="25">
        <v>0.133583441452617</v>
      </c>
      <c r="AL40" s="25">
        <v>0.13438253042155021</v>
      </c>
      <c r="AM40" s="25">
        <v>0.13521531335479869</v>
      </c>
      <c r="AN40" s="25">
        <v>0.13640004772774411</v>
      </c>
      <c r="AO40" s="25">
        <v>0.13768900052519439</v>
      </c>
      <c r="AP40" s="25">
        <v>0.13912649203556299</v>
      </c>
      <c r="AQ40" s="25">
        <v>0.14088252311866339</v>
      </c>
      <c r="AR40" s="25">
        <v>0.1426136455032514</v>
      </c>
      <c r="AS40" s="25">
        <v>0.1445057767191115</v>
      </c>
      <c r="AT40" s="25">
        <v>0.14654764721946059</v>
      </c>
      <c r="AU40" s="25">
        <v>0.14857543792390809</v>
      </c>
      <c r="AV40" s="25">
        <v>0.15044069994476919</v>
      </c>
      <c r="AW40" s="25">
        <v>0.15240778971666369</v>
      </c>
      <c r="AX40" s="25">
        <v>0.15424447360149771</v>
      </c>
      <c r="AY40" s="25">
        <v>0.1560598072626132</v>
      </c>
      <c r="AZ40" s="25">
        <v>0.15809489000820021</v>
      </c>
      <c r="BA40" s="25">
        <v>0.15999315870754549</v>
      </c>
      <c r="BB40" s="25">
        <v>0.16190443674977159</v>
      </c>
      <c r="BC40" s="25">
        <v>0.1636015522646182</v>
      </c>
      <c r="BD40" s="25">
        <v>0.16513728215698681</v>
      </c>
      <c r="BE40" s="25">
        <v>0.16664726474656691</v>
      </c>
      <c r="BF40" s="25">
        <v>0.1682154151867751</v>
      </c>
      <c r="BG40" s="25">
        <v>0.1698529075695554</v>
      </c>
      <c r="BH40" s="25">
        <v>0.17138401711821091</v>
      </c>
      <c r="BI40" s="25">
        <v>0.17283024747657411</v>
      </c>
      <c r="BJ40" s="25">
        <v>0.17433853960295059</v>
      </c>
      <c r="BK40" s="25">
        <v>0.17610562898447779</v>
      </c>
      <c r="BL40" s="25">
        <v>0.17774159730220709</v>
      </c>
      <c r="BM40" s="25">
        <v>0.1794029463941699</v>
      </c>
      <c r="BN40" s="25">
        <v>0.1811456981410858</v>
      </c>
      <c r="BO40" s="25">
        <v>0.18285697973012971</v>
      </c>
      <c r="BP40" s="25">
        <v>0.18433614620863589</v>
      </c>
      <c r="BQ40" s="25">
        <v>0.1856090320518331</v>
      </c>
      <c r="BR40" s="25">
        <v>0.18684270382329871</v>
      </c>
      <c r="BS40" s="25">
        <v>0.1881488940349513</v>
      </c>
      <c r="BT40" s="25">
        <v>0.18922707084263021</v>
      </c>
      <c r="BU40" s="25">
        <v>0.19013157332693881</v>
      </c>
      <c r="BV40" s="25">
        <v>0.19095626480907399</v>
      </c>
      <c r="BW40" s="25">
        <v>0.19164652245647781</v>
      </c>
      <c r="BX40" s="25">
        <v>0.19211962733597349</v>
      </c>
      <c r="BY40" s="25">
        <v>0.19266306276880499</v>
      </c>
      <c r="BZ40" s="25">
        <v>0.1928331251025292</v>
      </c>
      <c r="CA40" s="25">
        <v>0.19298654244306421</v>
      </c>
      <c r="CB40" s="25">
        <v>0.19317388790846379</v>
      </c>
      <c r="CC40" s="25">
        <v>0.193383870611575</v>
      </c>
      <c r="CD40" s="25">
        <v>0.19360595573967021</v>
      </c>
      <c r="CE40" s="25">
        <v>0.19383537478080151</v>
      </c>
      <c r="CF40" s="25">
        <v>0.194073227542642</v>
      </c>
      <c r="CG40" s="25">
        <v>0.19432145282908289</v>
      </c>
      <c r="CH40" s="25">
        <v>0.1945843979402313</v>
      </c>
      <c r="CI40" s="25">
        <v>0.19486613699252781</v>
      </c>
      <c r="CJ40" s="25">
        <v>0.19517562618837109</v>
      </c>
      <c r="CK40" s="25">
        <v>0.19552323122801371</v>
      </c>
      <c r="CL40" s="25">
        <v>0.19591646596828921</v>
      </c>
      <c r="CM40" s="25">
        <v>0.19636136204096841</v>
      </c>
      <c r="CN40" s="25">
        <v>0.1968653497919497</v>
      </c>
      <c r="CO40" s="25">
        <v>0.19743440908321111</v>
      </c>
      <c r="CP40" s="25">
        <v>0.19807157076014439</v>
      </c>
      <c r="CQ40" s="25">
        <v>0.19877629523723811</v>
      </c>
      <c r="CR40" s="25">
        <v>0.19954505331721009</v>
      </c>
      <c r="CS40" s="25">
        <v>0.20037367000411199</v>
      </c>
      <c r="CT40" s="25">
        <v>0.20125214994380181</v>
      </c>
      <c r="CU40" s="25">
        <v>0.20216716160629911</v>
      </c>
      <c r="CV40" s="25">
        <v>0.2031080374948078</v>
      </c>
      <c r="CW40" s="25">
        <v>0.20406560960089801</v>
      </c>
      <c r="CX40" s="25">
        <v>0.20503132159677431</v>
      </c>
    </row>
    <row r="41" spans="1:102" s="24" customFormat="1" ht="15" customHeight="1" x14ac:dyDescent="0.2">
      <c r="A41" s="2" t="s">
        <v>135</v>
      </c>
      <c r="B41" s="25">
        <v>1</v>
      </c>
      <c r="C41" s="25">
        <v>1</v>
      </c>
      <c r="D41" s="25">
        <v>1</v>
      </c>
      <c r="E41" s="25">
        <v>1</v>
      </c>
      <c r="F41" s="25">
        <v>1</v>
      </c>
      <c r="G41" s="25">
        <v>1</v>
      </c>
      <c r="H41" s="25">
        <v>1</v>
      </c>
      <c r="I41" s="25">
        <v>1</v>
      </c>
      <c r="J41" s="25">
        <v>1</v>
      </c>
      <c r="K41" s="25">
        <v>1</v>
      </c>
      <c r="L41" s="25">
        <v>1</v>
      </c>
      <c r="M41" s="25">
        <v>1</v>
      </c>
      <c r="N41" s="25">
        <v>1</v>
      </c>
      <c r="O41" s="25">
        <v>1</v>
      </c>
      <c r="P41" s="25">
        <v>1</v>
      </c>
      <c r="Q41" s="25">
        <v>1</v>
      </c>
      <c r="R41" s="25">
        <v>1</v>
      </c>
      <c r="S41" s="25">
        <v>1</v>
      </c>
      <c r="T41" s="25">
        <v>1</v>
      </c>
      <c r="U41" s="25">
        <v>1</v>
      </c>
      <c r="V41" s="25">
        <v>1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25">
        <v>1</v>
      </c>
      <c r="AI41" s="25">
        <v>1</v>
      </c>
      <c r="AJ41" s="25">
        <v>1</v>
      </c>
      <c r="AK41" s="25">
        <v>1</v>
      </c>
      <c r="AL41" s="25">
        <v>1</v>
      </c>
      <c r="AM41" s="25">
        <v>1</v>
      </c>
      <c r="AN41" s="25">
        <v>1</v>
      </c>
      <c r="AO41" s="25">
        <v>1</v>
      </c>
      <c r="AP41" s="25">
        <v>1</v>
      </c>
      <c r="AQ41" s="25">
        <v>1</v>
      </c>
      <c r="AR41" s="25">
        <v>1</v>
      </c>
      <c r="AS41" s="25">
        <v>1</v>
      </c>
      <c r="AT41" s="25">
        <v>1</v>
      </c>
      <c r="AU41" s="25">
        <v>1</v>
      </c>
      <c r="AV41" s="25">
        <v>1</v>
      </c>
      <c r="AW41" s="25">
        <v>1</v>
      </c>
      <c r="AX41" s="25">
        <v>1</v>
      </c>
      <c r="AY41" s="25">
        <v>1</v>
      </c>
      <c r="AZ41" s="25">
        <v>1</v>
      </c>
      <c r="BA41" s="25">
        <v>1</v>
      </c>
      <c r="BB41" s="25">
        <v>1</v>
      </c>
      <c r="BC41" s="25">
        <v>1</v>
      </c>
      <c r="BD41" s="25">
        <v>1</v>
      </c>
      <c r="BE41" s="25">
        <v>1</v>
      </c>
      <c r="BF41" s="25">
        <v>1</v>
      </c>
      <c r="BG41" s="25">
        <v>1</v>
      </c>
      <c r="BH41" s="25">
        <v>1</v>
      </c>
      <c r="BI41" s="25">
        <v>1</v>
      </c>
      <c r="BJ41" s="25">
        <v>1</v>
      </c>
      <c r="BK41" s="25">
        <v>1</v>
      </c>
      <c r="BL41" s="25">
        <v>1</v>
      </c>
      <c r="BM41" s="25">
        <v>1</v>
      </c>
      <c r="BN41" s="25">
        <v>1</v>
      </c>
      <c r="BO41" s="25">
        <v>1</v>
      </c>
      <c r="BP41" s="25">
        <v>1</v>
      </c>
      <c r="BQ41" s="25">
        <v>1</v>
      </c>
      <c r="BR41" s="25">
        <v>1</v>
      </c>
      <c r="BS41" s="25">
        <v>1</v>
      </c>
      <c r="BT41" s="25">
        <v>1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25">
        <v>1</v>
      </c>
      <c r="CB41" s="25">
        <v>1</v>
      </c>
      <c r="CC41" s="25">
        <v>1</v>
      </c>
      <c r="CD41" s="25">
        <v>1</v>
      </c>
      <c r="CE41" s="25">
        <v>1</v>
      </c>
      <c r="CF41" s="25">
        <v>1</v>
      </c>
      <c r="CG41" s="25">
        <v>1</v>
      </c>
      <c r="CH41" s="25">
        <v>1</v>
      </c>
      <c r="CI41" s="25">
        <v>1</v>
      </c>
      <c r="CJ41" s="25">
        <v>1</v>
      </c>
      <c r="CK41" s="25">
        <v>1</v>
      </c>
      <c r="CL41" s="25">
        <v>1</v>
      </c>
      <c r="CM41" s="25">
        <v>1</v>
      </c>
      <c r="CN41" s="25">
        <v>1</v>
      </c>
      <c r="CO41" s="25">
        <v>1</v>
      </c>
      <c r="CP41" s="25">
        <v>1</v>
      </c>
      <c r="CQ41" s="25">
        <v>1</v>
      </c>
      <c r="CR41" s="25">
        <v>1</v>
      </c>
      <c r="CS41" s="25">
        <v>1</v>
      </c>
      <c r="CT41" s="25">
        <v>1</v>
      </c>
      <c r="CU41" s="25">
        <v>1</v>
      </c>
      <c r="CV41" s="25">
        <v>1</v>
      </c>
      <c r="CW41" s="25">
        <v>1</v>
      </c>
      <c r="CX41" s="25">
        <v>1</v>
      </c>
    </row>
    <row r="42" spans="1:102" s="24" customFormat="1" ht="15" customHeight="1" x14ac:dyDescent="0.2">
      <c r="A42" s="2" t="s">
        <v>136</v>
      </c>
      <c r="B42" s="26">
        <v>41.366685652084527</v>
      </c>
      <c r="C42" s="26">
        <v>41.399113837216767</v>
      </c>
      <c r="D42" s="26">
        <v>41.484200714321723</v>
      </c>
      <c r="E42" s="26">
        <v>41.590849715289458</v>
      </c>
      <c r="F42" s="26">
        <v>41.717916587965803</v>
      </c>
      <c r="G42" s="26">
        <v>41.864529235895738</v>
      </c>
      <c r="H42" s="26">
        <v>42.029179875194259</v>
      </c>
      <c r="I42" s="26">
        <v>42.191490519983731</v>
      </c>
      <c r="J42" s="26">
        <v>42.350999362993782</v>
      </c>
      <c r="K42" s="26">
        <v>42.507335698705177</v>
      </c>
      <c r="L42" s="26">
        <v>42.660213362792682</v>
      </c>
      <c r="M42" s="26">
        <v>42.80920694091246</v>
      </c>
      <c r="N42" s="26">
        <v>42.953866992676232</v>
      </c>
      <c r="O42" s="26">
        <v>43.094056304286497</v>
      </c>
      <c r="P42" s="26">
        <v>43.229708048077477</v>
      </c>
      <c r="Q42" s="26">
        <v>43.360728279676863</v>
      </c>
      <c r="R42" s="26">
        <v>43.487057145666107</v>
      </c>
      <c r="S42" s="26">
        <v>43.608824540030447</v>
      </c>
      <c r="T42" s="26">
        <v>43.726419325913142</v>
      </c>
      <c r="U42" s="26">
        <v>43.840326745371677</v>
      </c>
      <c r="V42" s="26">
        <v>43.95101044375911</v>
      </c>
      <c r="W42" s="26">
        <v>44.059202461179062</v>
      </c>
      <c r="X42" s="26">
        <v>44.165691886148878</v>
      </c>
      <c r="Y42" s="26">
        <v>44.270965747226498</v>
      </c>
      <c r="Z42" s="26">
        <v>44.375353156314908</v>
      </c>
      <c r="AA42" s="26">
        <v>44.478976998658467</v>
      </c>
      <c r="AB42" s="26">
        <v>44.582414701068529</v>
      </c>
      <c r="AC42" s="26">
        <v>44.686245026975413</v>
      </c>
      <c r="AD42" s="26">
        <v>44.790440521718992</v>
      </c>
      <c r="AE42" s="26">
        <v>44.894912896564321</v>
      </c>
      <c r="AF42" s="26">
        <v>44.999515447282349</v>
      </c>
      <c r="AG42" s="26">
        <v>45.104229573296848</v>
      </c>
      <c r="AH42" s="26">
        <v>45.209109778693069</v>
      </c>
      <c r="AI42" s="26">
        <v>45.314067810502223</v>
      </c>
      <c r="AJ42" s="26">
        <v>45.419002011507963</v>
      </c>
      <c r="AK42" s="26">
        <v>45.523858300673041</v>
      </c>
      <c r="AL42" s="26">
        <v>45.628733857163652</v>
      </c>
      <c r="AM42" s="26">
        <v>45.733785674493028</v>
      </c>
      <c r="AN42" s="26">
        <v>45.839096040943531</v>
      </c>
      <c r="AO42" s="26">
        <v>45.944747889527953</v>
      </c>
      <c r="AP42" s="26">
        <v>46.050780861877243</v>
      </c>
      <c r="AQ42" s="26">
        <v>46.157284522551393</v>
      </c>
      <c r="AR42" s="26">
        <v>46.26433578244761</v>
      </c>
      <c r="AS42" s="26">
        <v>46.371798683695673</v>
      </c>
      <c r="AT42" s="26">
        <v>46.479506233280453</v>
      </c>
      <c r="AU42" s="26">
        <v>46.58723391310042</v>
      </c>
      <c r="AV42" s="26">
        <v>46.694705751699829</v>
      </c>
      <c r="AW42" s="26">
        <v>46.801616426228648</v>
      </c>
      <c r="AX42" s="26">
        <v>46.90754853735497</v>
      </c>
      <c r="AY42" s="26">
        <v>47.0119651857866</v>
      </c>
      <c r="AZ42" s="26">
        <v>47.114368000966223</v>
      </c>
      <c r="BA42" s="26">
        <v>47.214253749810723</v>
      </c>
      <c r="BB42" s="26">
        <v>47.31118432145329</v>
      </c>
      <c r="BC42" s="26">
        <v>47.404785982332527</v>
      </c>
      <c r="BD42" s="26">
        <v>47.494769298128503</v>
      </c>
      <c r="BE42" s="26">
        <v>47.580966790569001</v>
      </c>
      <c r="BF42" s="26">
        <v>47.663333011126838</v>
      </c>
      <c r="BG42" s="26">
        <v>47.741920594904713</v>
      </c>
      <c r="BH42" s="26">
        <v>47.816852341622521</v>
      </c>
      <c r="BI42" s="26">
        <v>47.888331652238222</v>
      </c>
      <c r="BJ42" s="26">
        <v>47.956584142274153</v>
      </c>
      <c r="BK42" s="26">
        <v>48.021841708125727</v>
      </c>
      <c r="BL42" s="26">
        <v>48.084374382801762</v>
      </c>
      <c r="BM42" s="26">
        <v>48.144441720321552</v>
      </c>
      <c r="BN42" s="26">
        <v>48.202276411925432</v>
      </c>
      <c r="BO42" s="26">
        <v>48.258103804228817</v>
      </c>
      <c r="BP42" s="26">
        <v>48.312121431760737</v>
      </c>
      <c r="BQ42" s="26">
        <v>48.364490908261097</v>
      </c>
      <c r="BR42" s="26">
        <v>48.415325552776913</v>
      </c>
      <c r="BS42" s="26">
        <v>48.464716817648181</v>
      </c>
      <c r="BT42" s="26">
        <v>48.512715662082499</v>
      </c>
      <c r="BU42" s="26">
        <v>48.559327072061038</v>
      </c>
      <c r="BV42" s="26">
        <v>48.604527648841938</v>
      </c>
      <c r="BW42" s="26">
        <v>48.648260855091898</v>
      </c>
      <c r="BX42" s="26">
        <v>48.690476269386579</v>
      </c>
      <c r="BY42" s="26">
        <v>48.731116095726932</v>
      </c>
      <c r="BZ42" s="26">
        <v>48.770104654163177</v>
      </c>
      <c r="CA42" s="26">
        <v>48.807386518773008</v>
      </c>
      <c r="CB42" s="26">
        <v>48.842896293600162</v>
      </c>
      <c r="CC42" s="26">
        <v>48.876629825749831</v>
      </c>
      <c r="CD42" s="26">
        <v>48.908590852486633</v>
      </c>
      <c r="CE42" s="26">
        <v>48.938834689072763</v>
      </c>
      <c r="CF42" s="26">
        <v>48.967475889687748</v>
      </c>
      <c r="CG42" s="26">
        <v>48.994698874505367</v>
      </c>
      <c r="CH42" s="26">
        <v>49.020763581108312</v>
      </c>
      <c r="CI42" s="26">
        <v>49.045973360687213</v>
      </c>
      <c r="CJ42" s="26">
        <v>49.070665954910908</v>
      </c>
      <c r="CK42" s="26">
        <v>49.095228529829619</v>
      </c>
      <c r="CL42" s="26">
        <v>49.120070047415247</v>
      </c>
      <c r="CM42" s="26">
        <v>49.145572145975237</v>
      </c>
      <c r="CN42" s="26">
        <v>49.172090748875434</v>
      </c>
      <c r="CO42" s="26">
        <v>49.199922707197601</v>
      </c>
      <c r="CP42" s="26">
        <v>49.229326266684332</v>
      </c>
      <c r="CQ42" s="26">
        <v>49.260486925485523</v>
      </c>
      <c r="CR42" s="26">
        <v>49.293507606393042</v>
      </c>
      <c r="CS42" s="26">
        <v>49.328400994416057</v>
      </c>
      <c r="CT42" s="26">
        <v>49.365128588797653</v>
      </c>
      <c r="CU42" s="26">
        <v>49.403560958955737</v>
      </c>
      <c r="CV42" s="26">
        <v>49.443508197926128</v>
      </c>
      <c r="CW42" s="26">
        <v>49.48474636776767</v>
      </c>
      <c r="CX42" s="26">
        <v>49.526971513520778</v>
      </c>
    </row>
    <row r="43" spans="1:102" s="24" customFormat="1" ht="15" customHeight="1" x14ac:dyDescent="0.2">
      <c r="A43" s="2" t="s">
        <v>137</v>
      </c>
      <c r="B43" s="26">
        <v>40.743447528722427</v>
      </c>
      <c r="C43" s="26">
        <v>40.618500867275152</v>
      </c>
      <c r="D43" s="26">
        <v>40.587109761148703</v>
      </c>
      <c r="E43" s="26">
        <v>40.610818941504178</v>
      </c>
      <c r="F43" s="26">
        <v>40.6945518545485</v>
      </c>
      <c r="G43" s="26">
        <v>40.822041634347201</v>
      </c>
      <c r="H43" s="26">
        <v>40.992853178393027</v>
      </c>
      <c r="I43" s="26">
        <v>41.184258201037068</v>
      </c>
      <c r="J43" s="26">
        <v>41.369873291597393</v>
      </c>
      <c r="K43" s="26">
        <v>41.557371946107871</v>
      </c>
      <c r="L43" s="26">
        <v>41.74960324586138</v>
      </c>
      <c r="M43" s="26">
        <v>41.945143146206618</v>
      </c>
      <c r="N43" s="26">
        <v>42.135120762220929</v>
      </c>
      <c r="O43" s="26">
        <v>42.310488801173157</v>
      </c>
      <c r="P43" s="26">
        <v>42.484688434046816</v>
      </c>
      <c r="Q43" s="26">
        <v>42.653949068138992</v>
      </c>
      <c r="R43" s="26">
        <v>42.813654925232818</v>
      </c>
      <c r="S43" s="26">
        <v>42.970001232629713</v>
      </c>
      <c r="T43" s="26">
        <v>43.141152216240982</v>
      </c>
      <c r="U43" s="26">
        <v>43.302883626316792</v>
      </c>
      <c r="V43" s="26">
        <v>43.463426726996992</v>
      </c>
      <c r="W43" s="26">
        <v>43.617723274113303</v>
      </c>
      <c r="X43" s="26">
        <v>43.761030297297538</v>
      </c>
      <c r="Y43" s="26">
        <v>43.897004605386449</v>
      </c>
      <c r="Z43" s="26">
        <v>44.034000795521791</v>
      </c>
      <c r="AA43" s="26">
        <v>44.178969162463673</v>
      </c>
      <c r="AB43" s="26">
        <v>44.331310439589039</v>
      </c>
      <c r="AC43" s="26">
        <v>44.483246394920037</v>
      </c>
      <c r="AD43" s="26">
        <v>44.632612425647181</v>
      </c>
      <c r="AE43" s="26">
        <v>44.782763859751448</v>
      </c>
      <c r="AF43" s="26">
        <v>44.940713102678373</v>
      </c>
      <c r="AG43" s="26">
        <v>45.119345583521053</v>
      </c>
      <c r="AH43" s="26">
        <v>45.29285781356154</v>
      </c>
      <c r="AI43" s="26">
        <v>45.468539511859603</v>
      </c>
      <c r="AJ43" s="26">
        <v>45.64943387759017</v>
      </c>
      <c r="AK43" s="26">
        <v>45.835020743436822</v>
      </c>
      <c r="AL43" s="26">
        <v>46.020704788880558</v>
      </c>
      <c r="AM43" s="26">
        <v>46.192646310105189</v>
      </c>
      <c r="AN43" s="26">
        <v>46.354200589546608</v>
      </c>
      <c r="AO43" s="26">
        <v>46.511979488290969</v>
      </c>
      <c r="AP43" s="26">
        <v>46.671806293927879</v>
      </c>
      <c r="AQ43" s="26">
        <v>46.83258282481782</v>
      </c>
      <c r="AR43" s="26">
        <v>46.980553974487137</v>
      </c>
      <c r="AS43" s="26">
        <v>47.116441605141347</v>
      </c>
      <c r="AT43" s="26">
        <v>47.247390973972259</v>
      </c>
      <c r="AU43" s="26">
        <v>47.369943034072577</v>
      </c>
      <c r="AV43" s="26">
        <v>47.479004818176513</v>
      </c>
      <c r="AW43" s="26">
        <v>47.582742828364701</v>
      </c>
      <c r="AX43" s="26">
        <v>47.677547266930738</v>
      </c>
      <c r="AY43" s="26">
        <v>47.749994653969253</v>
      </c>
      <c r="AZ43" s="26">
        <v>47.819855145539258</v>
      </c>
      <c r="BA43" s="26">
        <v>47.889861226075823</v>
      </c>
      <c r="BB43" s="26">
        <v>47.958856663652391</v>
      </c>
      <c r="BC43" s="26">
        <v>48.025814402165679</v>
      </c>
      <c r="BD43" s="26">
        <v>48.090116604689413</v>
      </c>
      <c r="BE43" s="26">
        <v>48.151637166580123</v>
      </c>
      <c r="BF43" s="26">
        <v>48.210399426138501</v>
      </c>
      <c r="BG43" s="26">
        <v>48.266561499904867</v>
      </c>
      <c r="BH43" s="26">
        <v>48.320337310469078</v>
      </c>
      <c r="BI43" s="26">
        <v>48.372259220333468</v>
      </c>
      <c r="BJ43" s="26">
        <v>48.423010099469948</v>
      </c>
      <c r="BK43" s="26">
        <v>48.473149453507048</v>
      </c>
      <c r="BL43" s="26">
        <v>48.523164987269617</v>
      </c>
      <c r="BM43" s="26">
        <v>48.573557120042111</v>
      </c>
      <c r="BN43" s="26">
        <v>48.624859063205307</v>
      </c>
      <c r="BO43" s="26">
        <v>48.677508864263729</v>
      </c>
      <c r="BP43" s="26">
        <v>48.731731027880627</v>
      </c>
      <c r="BQ43" s="26">
        <v>48.787540722557779</v>
      </c>
      <c r="BR43" s="26">
        <v>48.844860380791303</v>
      </c>
      <c r="BS43" s="26">
        <v>48.903557710929718</v>
      </c>
      <c r="BT43" s="26">
        <v>48.963124075829853</v>
      </c>
      <c r="BU43" s="26">
        <v>49.022871714474867</v>
      </c>
      <c r="BV43" s="26">
        <v>49.082279040528057</v>
      </c>
      <c r="BW43" s="26">
        <v>49.140976950446948</v>
      </c>
      <c r="BX43" s="26">
        <v>49.198681875169008</v>
      </c>
      <c r="BY43" s="26">
        <v>49.254443917918422</v>
      </c>
      <c r="BZ43" s="26">
        <v>49.307066350888917</v>
      </c>
      <c r="CA43" s="26">
        <v>49.355975268320073</v>
      </c>
      <c r="CB43" s="26">
        <v>49.400836797995112</v>
      </c>
      <c r="CC43" s="26">
        <v>49.44152924362907</v>
      </c>
      <c r="CD43" s="26">
        <v>49.477957422278287</v>
      </c>
      <c r="CE43" s="26">
        <v>49.510055975794252</v>
      </c>
      <c r="CF43" s="26">
        <v>49.538006387304783</v>
      </c>
      <c r="CG43" s="26">
        <v>49.562351218748951</v>
      </c>
      <c r="CH43" s="26">
        <v>49.583830453179708</v>
      </c>
      <c r="CI43" s="26">
        <v>49.603175948658659</v>
      </c>
      <c r="CJ43" s="26">
        <v>49.621055297464338</v>
      </c>
      <c r="CK43" s="26">
        <v>49.638207687341811</v>
      </c>
      <c r="CL43" s="26">
        <v>49.655446998709763</v>
      </c>
      <c r="CM43" s="26">
        <v>49.673522522180512</v>
      </c>
      <c r="CN43" s="26">
        <v>49.693061859468052</v>
      </c>
      <c r="CO43" s="26">
        <v>49.714491379504963</v>
      </c>
      <c r="CP43" s="26">
        <v>49.738174850967631</v>
      </c>
      <c r="CQ43" s="26">
        <v>49.764534418930722</v>
      </c>
      <c r="CR43" s="26">
        <v>49.793836016220197</v>
      </c>
      <c r="CS43" s="26">
        <v>49.826151025890468</v>
      </c>
      <c r="CT43" s="26">
        <v>49.861454001780217</v>
      </c>
      <c r="CU43" s="26">
        <v>49.899574778711369</v>
      </c>
      <c r="CV43" s="26">
        <v>49.940276974575987</v>
      </c>
      <c r="CW43" s="26">
        <v>49.98333808888119</v>
      </c>
      <c r="CX43" s="26">
        <v>50.028378456840237</v>
      </c>
    </row>
    <row r="44" spans="1:102" s="24" customFormat="1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</row>
    <row r="45" spans="1:102" s="2" customFormat="1" ht="28.7" customHeight="1" x14ac:dyDescent="0.25">
      <c r="A45" s="5" t="s">
        <v>138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</row>
    <row r="46" spans="1:102" s="27" customFormat="1" ht="15.6" customHeight="1" x14ac:dyDescent="0.2">
      <c r="A46" s="20" t="s">
        <v>139</v>
      </c>
      <c r="B46" s="21" t="s">
        <v>128</v>
      </c>
      <c r="C46" s="21" t="s">
        <v>8</v>
      </c>
      <c r="D46" s="21" t="s">
        <v>9</v>
      </c>
      <c r="E46" s="21" t="s">
        <v>10</v>
      </c>
      <c r="F46" s="21" t="s">
        <v>11</v>
      </c>
      <c r="G46" s="21" t="s">
        <v>12</v>
      </c>
      <c r="H46" s="21" t="s">
        <v>13</v>
      </c>
      <c r="I46" s="21" t="s">
        <v>14</v>
      </c>
      <c r="J46" s="21" t="s">
        <v>15</v>
      </c>
      <c r="K46" s="21" t="s">
        <v>16</v>
      </c>
      <c r="L46" s="21" t="s">
        <v>17</v>
      </c>
      <c r="M46" s="21" t="s">
        <v>18</v>
      </c>
      <c r="N46" s="21" t="s">
        <v>19</v>
      </c>
      <c r="O46" s="21" t="s">
        <v>20</v>
      </c>
      <c r="P46" s="21" t="s">
        <v>21</v>
      </c>
      <c r="Q46" s="21" t="s">
        <v>22</v>
      </c>
      <c r="R46" s="21" t="s">
        <v>23</v>
      </c>
      <c r="S46" s="21" t="s">
        <v>24</v>
      </c>
      <c r="T46" s="21" t="s">
        <v>25</v>
      </c>
      <c r="U46" s="21" t="s">
        <v>26</v>
      </c>
      <c r="V46" s="21" t="s">
        <v>27</v>
      </c>
      <c r="W46" s="21" t="s">
        <v>28</v>
      </c>
      <c r="X46" s="21" t="s">
        <v>29</v>
      </c>
      <c r="Y46" s="21" t="s">
        <v>30</v>
      </c>
      <c r="Z46" s="21" t="s">
        <v>31</v>
      </c>
      <c r="AA46" s="21" t="s">
        <v>32</v>
      </c>
      <c r="AB46" s="21" t="s">
        <v>33</v>
      </c>
      <c r="AC46" s="21" t="s">
        <v>34</v>
      </c>
      <c r="AD46" s="21" t="s">
        <v>35</v>
      </c>
      <c r="AE46" s="21" t="s">
        <v>36</v>
      </c>
      <c r="AF46" s="21" t="s">
        <v>37</v>
      </c>
      <c r="AG46" s="21" t="s">
        <v>38</v>
      </c>
      <c r="AH46" s="21" t="s">
        <v>39</v>
      </c>
      <c r="AI46" s="21" t="s">
        <v>40</v>
      </c>
      <c r="AJ46" s="21" t="s">
        <v>41</v>
      </c>
      <c r="AK46" s="21" t="s">
        <v>42</v>
      </c>
      <c r="AL46" s="21" t="s">
        <v>43</v>
      </c>
      <c r="AM46" s="21" t="s">
        <v>44</v>
      </c>
      <c r="AN46" s="21" t="s">
        <v>45</v>
      </c>
      <c r="AO46" s="21" t="s">
        <v>46</v>
      </c>
      <c r="AP46" s="21" t="s">
        <v>47</v>
      </c>
      <c r="AQ46" s="21" t="s">
        <v>48</v>
      </c>
      <c r="AR46" s="21" t="s">
        <v>49</v>
      </c>
      <c r="AS46" s="21" t="s">
        <v>50</v>
      </c>
      <c r="AT46" s="21" t="s">
        <v>51</v>
      </c>
      <c r="AU46" s="21" t="s">
        <v>52</v>
      </c>
      <c r="AV46" s="21" t="s">
        <v>53</v>
      </c>
      <c r="AW46" s="21" t="s">
        <v>54</v>
      </c>
      <c r="AX46" s="21" t="s">
        <v>55</v>
      </c>
      <c r="AY46" s="21" t="s">
        <v>56</v>
      </c>
      <c r="AZ46" s="21" t="s">
        <v>57</v>
      </c>
      <c r="BA46" s="21" t="s">
        <v>58</v>
      </c>
      <c r="BB46" s="21" t="s">
        <v>59</v>
      </c>
      <c r="BC46" s="21" t="s">
        <v>60</v>
      </c>
      <c r="BD46" s="21" t="s">
        <v>61</v>
      </c>
      <c r="BE46" s="21" t="s">
        <v>62</v>
      </c>
      <c r="BF46" s="21" t="s">
        <v>63</v>
      </c>
      <c r="BG46" s="21" t="s">
        <v>64</v>
      </c>
      <c r="BH46" s="21" t="s">
        <v>65</v>
      </c>
      <c r="BI46" s="21" t="s">
        <v>66</v>
      </c>
      <c r="BJ46" s="21" t="s">
        <v>67</v>
      </c>
      <c r="BK46" s="21" t="s">
        <v>68</v>
      </c>
      <c r="BL46" s="21" t="s">
        <v>69</v>
      </c>
      <c r="BM46" s="21" t="s">
        <v>70</v>
      </c>
      <c r="BN46" s="21" t="s">
        <v>71</v>
      </c>
      <c r="BO46" s="21" t="s">
        <v>72</v>
      </c>
      <c r="BP46" s="21" t="s">
        <v>73</v>
      </c>
      <c r="BQ46" s="21" t="s">
        <v>74</v>
      </c>
      <c r="BR46" s="21" t="s">
        <v>75</v>
      </c>
      <c r="BS46" s="21" t="s">
        <v>76</v>
      </c>
      <c r="BT46" s="21" t="s">
        <v>77</v>
      </c>
      <c r="BU46" s="21" t="s">
        <v>78</v>
      </c>
      <c r="BV46" s="21" t="s">
        <v>79</v>
      </c>
      <c r="BW46" s="21" t="s">
        <v>80</v>
      </c>
      <c r="BX46" s="21" t="s">
        <v>81</v>
      </c>
      <c r="BY46" s="21" t="s">
        <v>82</v>
      </c>
      <c r="BZ46" s="21" t="s">
        <v>83</v>
      </c>
      <c r="CA46" s="21" t="s">
        <v>84</v>
      </c>
      <c r="CB46" s="21" t="s">
        <v>85</v>
      </c>
      <c r="CC46" s="21" t="s">
        <v>86</v>
      </c>
      <c r="CD46" s="21" t="s">
        <v>87</v>
      </c>
      <c r="CE46" s="21" t="s">
        <v>88</v>
      </c>
      <c r="CF46" s="21" t="s">
        <v>89</v>
      </c>
      <c r="CG46" s="21" t="s">
        <v>90</v>
      </c>
      <c r="CH46" s="21" t="s">
        <v>91</v>
      </c>
      <c r="CI46" s="21" t="s">
        <v>92</v>
      </c>
      <c r="CJ46" s="21" t="s">
        <v>93</v>
      </c>
      <c r="CK46" s="21" t="s">
        <v>94</v>
      </c>
      <c r="CL46" s="21" t="s">
        <v>95</v>
      </c>
      <c r="CM46" s="21" t="s">
        <v>96</v>
      </c>
      <c r="CN46" s="21" t="s">
        <v>97</v>
      </c>
      <c r="CO46" s="21" t="s">
        <v>98</v>
      </c>
      <c r="CP46" s="21" t="s">
        <v>99</v>
      </c>
      <c r="CQ46" s="21" t="s">
        <v>100</v>
      </c>
      <c r="CR46" s="21" t="s">
        <v>101</v>
      </c>
      <c r="CS46" s="21" t="s">
        <v>102</v>
      </c>
      <c r="CT46" s="21" t="s">
        <v>103</v>
      </c>
      <c r="CU46" s="21" t="s">
        <v>104</v>
      </c>
      <c r="CV46" s="21" t="s">
        <v>105</v>
      </c>
      <c r="CW46" s="21" t="s">
        <v>106</v>
      </c>
      <c r="CX46" s="21" t="s">
        <v>107</v>
      </c>
    </row>
    <row r="47" spans="1:102" s="24" customFormat="1" ht="15" customHeight="1" x14ac:dyDescent="0.2">
      <c r="A47" s="12" t="s">
        <v>140</v>
      </c>
      <c r="B47" s="28">
        <v>12397.632</v>
      </c>
      <c r="C47" s="28">
        <v>12397.236000000001</v>
      </c>
      <c r="D47" s="28">
        <v>12336.986999999999</v>
      </c>
      <c r="E47" s="28">
        <v>12271.925999999999</v>
      </c>
      <c r="F47" s="28">
        <v>12188.266</v>
      </c>
      <c r="G47" s="28">
        <v>12080.358</v>
      </c>
      <c r="H47" s="28">
        <v>11959.025</v>
      </c>
      <c r="I47" s="28">
        <v>11857.263999999999</v>
      </c>
      <c r="J47" s="28">
        <v>11773.111999999999</v>
      </c>
      <c r="K47" s="28">
        <v>11691.046</v>
      </c>
      <c r="L47" s="28">
        <v>11600.736000000001</v>
      </c>
      <c r="M47" s="28">
        <v>11531.358</v>
      </c>
      <c r="N47" s="28">
        <v>11478.541999999999</v>
      </c>
      <c r="O47" s="28">
        <v>11433.705</v>
      </c>
      <c r="P47" s="28">
        <v>11402.519</v>
      </c>
      <c r="Q47" s="28">
        <v>11393.092000000001</v>
      </c>
      <c r="R47" s="28">
        <v>11378.925999999999</v>
      </c>
      <c r="S47" s="28">
        <v>11401.804</v>
      </c>
      <c r="T47" s="28">
        <v>11428.368</v>
      </c>
      <c r="U47" s="28">
        <v>11453.679</v>
      </c>
      <c r="V47" s="28">
        <v>11478.605</v>
      </c>
      <c r="W47" s="28">
        <v>11503.51</v>
      </c>
      <c r="X47" s="28">
        <v>11528.053</v>
      </c>
      <c r="Y47" s="28">
        <v>11551.785</v>
      </c>
      <c r="Z47" s="28">
        <v>11574.342000000001</v>
      </c>
      <c r="AA47" s="28">
        <v>11595.424999999999</v>
      </c>
      <c r="AB47" s="28">
        <v>11613.771000000001</v>
      </c>
      <c r="AC47" s="28">
        <v>11627.574000000001</v>
      </c>
      <c r="AD47" s="28">
        <v>11635.903</v>
      </c>
      <c r="AE47" s="28">
        <v>11638.316000000001</v>
      </c>
      <c r="AF47" s="28">
        <v>11634.567999999999</v>
      </c>
      <c r="AG47" s="28">
        <v>11624.236999999999</v>
      </c>
      <c r="AH47" s="28">
        <v>11606.916999999999</v>
      </c>
      <c r="AI47" s="28">
        <v>11582.828</v>
      </c>
      <c r="AJ47" s="28">
        <v>11552.703</v>
      </c>
      <c r="AK47" s="28">
        <v>11517.38</v>
      </c>
      <c r="AL47" s="28">
        <v>11477.54</v>
      </c>
      <c r="AM47" s="28">
        <v>11434.300999999999</v>
      </c>
      <c r="AN47" s="28">
        <v>11389.081</v>
      </c>
      <c r="AO47" s="28">
        <v>11342.968999999999</v>
      </c>
      <c r="AP47" s="28">
        <v>11296.878000000001</v>
      </c>
      <c r="AQ47" s="28">
        <v>11251.401</v>
      </c>
      <c r="AR47" s="28">
        <v>11208.004000000001</v>
      </c>
      <c r="AS47" s="28">
        <v>11168.468000000001</v>
      </c>
      <c r="AT47" s="28">
        <v>11133.493</v>
      </c>
      <c r="AU47" s="28">
        <v>11103.503000000001</v>
      </c>
      <c r="AV47" s="28">
        <v>11078.644</v>
      </c>
      <c r="AW47" s="28">
        <v>11059.026</v>
      </c>
      <c r="AX47" s="28">
        <v>11044.698</v>
      </c>
      <c r="AY47" s="28">
        <v>11035.343999999999</v>
      </c>
      <c r="AZ47" s="28">
        <v>11030.279</v>
      </c>
      <c r="BA47" s="28">
        <v>11028.772999999999</v>
      </c>
      <c r="BB47" s="28">
        <v>11030.210999999999</v>
      </c>
      <c r="BC47" s="28">
        <v>11033.977000000001</v>
      </c>
      <c r="BD47" s="28">
        <v>11039.314</v>
      </c>
      <c r="BE47" s="28">
        <v>11045.489</v>
      </c>
      <c r="BF47" s="28">
        <v>11051.777</v>
      </c>
      <c r="BG47" s="28">
        <v>11057.669</v>
      </c>
      <c r="BH47" s="28">
        <v>11062.708000000001</v>
      </c>
      <c r="BI47" s="28">
        <v>11066.286</v>
      </c>
      <c r="BJ47" s="28">
        <v>11067.903</v>
      </c>
      <c r="BK47" s="28">
        <v>11067.234</v>
      </c>
      <c r="BL47" s="28">
        <v>11064.043</v>
      </c>
      <c r="BM47" s="28">
        <v>11058.227000000001</v>
      </c>
      <c r="BN47" s="28">
        <v>11049.771000000001</v>
      </c>
      <c r="BO47" s="28">
        <v>11038.692999999999</v>
      </c>
      <c r="BP47" s="28">
        <v>11025.141</v>
      </c>
      <c r="BQ47" s="28">
        <v>11009.347</v>
      </c>
      <c r="BR47" s="28">
        <v>10991.593999999999</v>
      </c>
      <c r="BS47" s="28">
        <v>10972.22</v>
      </c>
      <c r="BT47" s="28">
        <v>10951.618</v>
      </c>
      <c r="BU47" s="28">
        <v>10930.200999999999</v>
      </c>
      <c r="BV47" s="28">
        <v>10908.393</v>
      </c>
      <c r="BW47" s="28">
        <v>10886.63</v>
      </c>
      <c r="BX47" s="28">
        <v>10865.33</v>
      </c>
      <c r="BY47" s="28">
        <v>10844.877</v>
      </c>
      <c r="BZ47" s="28">
        <v>10825.618</v>
      </c>
      <c r="CA47" s="28">
        <v>10807.843000000001</v>
      </c>
      <c r="CB47" s="28">
        <v>10791.761</v>
      </c>
      <c r="CC47" s="28">
        <v>10777.549000000001</v>
      </c>
      <c r="CD47" s="28">
        <v>10765.266</v>
      </c>
      <c r="CE47" s="28">
        <v>10754.924999999999</v>
      </c>
      <c r="CF47" s="28">
        <v>10746.453</v>
      </c>
      <c r="CG47" s="28">
        <v>10739.722</v>
      </c>
      <c r="CH47" s="28">
        <v>10734.571</v>
      </c>
      <c r="CI47" s="28">
        <v>10730.781999999999</v>
      </c>
      <c r="CJ47" s="28">
        <v>10728.115</v>
      </c>
      <c r="CK47" s="28">
        <v>10726.284</v>
      </c>
      <c r="CL47" s="28">
        <v>10725.013000000001</v>
      </c>
      <c r="CM47" s="28">
        <v>10724.03</v>
      </c>
      <c r="CN47" s="28">
        <v>10723.063</v>
      </c>
      <c r="CO47" s="28">
        <v>10721.869000000001</v>
      </c>
      <c r="CP47" s="28">
        <v>10720.22</v>
      </c>
      <c r="CQ47" s="28">
        <v>10717.93</v>
      </c>
      <c r="CR47" s="28">
        <v>10714.856</v>
      </c>
      <c r="CS47" s="28">
        <v>10710.866</v>
      </c>
      <c r="CT47" s="28">
        <v>10705.895</v>
      </c>
      <c r="CU47" s="28">
        <v>10699.916999999999</v>
      </c>
      <c r="CV47" s="28">
        <v>10692.931</v>
      </c>
      <c r="CW47" s="28">
        <v>10684.991</v>
      </c>
      <c r="CX47" s="28">
        <v>10676.18</v>
      </c>
    </row>
    <row r="48" spans="1:102" s="24" customFormat="1" ht="15" customHeight="1" x14ac:dyDescent="0.2">
      <c r="A48" s="12" t="s">
        <v>141</v>
      </c>
      <c r="B48" s="28">
        <v>43198.555999999997</v>
      </c>
      <c r="C48" s="28">
        <v>43917.531000000003</v>
      </c>
      <c r="D48" s="28">
        <v>44500.02</v>
      </c>
      <c r="E48" s="28">
        <v>44981.953000000001</v>
      </c>
      <c r="F48" s="28">
        <v>45495.340207650283</v>
      </c>
      <c r="G48" s="28">
        <v>46199.298887671233</v>
      </c>
      <c r="H48" s="28">
        <v>46700.663</v>
      </c>
      <c r="I48" s="28">
        <v>46873.019</v>
      </c>
      <c r="J48" s="28">
        <v>47012.023000000001</v>
      </c>
      <c r="K48" s="28">
        <v>47133.953999999998</v>
      </c>
      <c r="L48" s="28">
        <v>47257.508000000002</v>
      </c>
      <c r="M48" s="28">
        <v>47370.116000000002</v>
      </c>
      <c r="N48" s="28">
        <v>47468.243000000002</v>
      </c>
      <c r="O48" s="28">
        <v>47568.750999999997</v>
      </c>
      <c r="P48" s="28">
        <v>47659.072999999997</v>
      </c>
      <c r="Q48" s="28">
        <v>47752.105000000003</v>
      </c>
      <c r="R48" s="28">
        <v>47834.514999999999</v>
      </c>
      <c r="S48" s="28">
        <v>47915.62</v>
      </c>
      <c r="T48" s="28">
        <v>48026.639000000003</v>
      </c>
      <c r="U48" s="28">
        <v>48171.252</v>
      </c>
      <c r="V48" s="28">
        <v>48327.74</v>
      </c>
      <c r="W48" s="28">
        <v>48498.330999999998</v>
      </c>
      <c r="X48" s="28">
        <v>48796.494358904107</v>
      </c>
      <c r="Y48" s="28">
        <v>49339.458687671227</v>
      </c>
      <c r="Z48" s="28">
        <v>49772.296999999999</v>
      </c>
      <c r="AA48" s="28">
        <v>49887.750999999997</v>
      </c>
      <c r="AB48" s="28">
        <v>49968.728000000003</v>
      </c>
      <c r="AC48" s="28">
        <v>50049.576999999997</v>
      </c>
      <c r="AD48" s="28">
        <v>50136.779000000002</v>
      </c>
      <c r="AE48" s="28">
        <v>50217.146000000001</v>
      </c>
      <c r="AF48" s="28">
        <v>50295.133000000002</v>
      </c>
      <c r="AG48" s="28">
        <v>50344.11</v>
      </c>
      <c r="AH48" s="28">
        <v>50385.970999999998</v>
      </c>
      <c r="AI48" s="28">
        <v>50417.360999999997</v>
      </c>
      <c r="AJ48" s="28">
        <v>50423.455999999998</v>
      </c>
      <c r="AK48" s="28">
        <v>50433.572</v>
      </c>
      <c r="AL48" s="28">
        <v>50431.39</v>
      </c>
      <c r="AM48" s="28">
        <v>50416.845000000001</v>
      </c>
      <c r="AN48" s="28">
        <v>50402.898000000001</v>
      </c>
      <c r="AO48" s="28">
        <v>50401.377</v>
      </c>
      <c r="AP48" s="28">
        <v>50388.550999999999</v>
      </c>
      <c r="AQ48" s="28">
        <v>50383.512999999999</v>
      </c>
      <c r="AR48" s="28">
        <v>50374.781999999999</v>
      </c>
      <c r="AS48" s="28">
        <v>50339.292999999998</v>
      </c>
      <c r="AT48" s="28">
        <v>50306.760999999999</v>
      </c>
      <c r="AU48" s="28">
        <v>50263.271000000001</v>
      </c>
      <c r="AV48" s="28">
        <v>50228.071000000004</v>
      </c>
      <c r="AW48" s="28">
        <v>50196.362000000001</v>
      </c>
      <c r="AX48" s="28">
        <v>50156.112999999998</v>
      </c>
      <c r="AY48" s="28">
        <v>50100.21</v>
      </c>
      <c r="AZ48" s="28">
        <v>50028.550999999999</v>
      </c>
      <c r="BA48" s="28">
        <v>49957.205000000002</v>
      </c>
      <c r="BB48" s="28">
        <v>49885.171999999999</v>
      </c>
      <c r="BC48" s="28">
        <v>49800.451000000001</v>
      </c>
      <c r="BD48" s="28">
        <v>49686.832999999999</v>
      </c>
      <c r="BE48" s="28">
        <v>49579.106</v>
      </c>
      <c r="BF48" s="28">
        <v>49464.688000000002</v>
      </c>
      <c r="BG48" s="28">
        <v>49339.362000000001</v>
      </c>
      <c r="BH48" s="28">
        <v>49213.587</v>
      </c>
      <c r="BI48" s="28">
        <v>49105.607000000004</v>
      </c>
      <c r="BJ48" s="28">
        <v>49013.932999999997</v>
      </c>
      <c r="BK48" s="28">
        <v>48924.574000000001</v>
      </c>
      <c r="BL48" s="28">
        <v>48828.188000000002</v>
      </c>
      <c r="BM48" s="28">
        <v>48751.089</v>
      </c>
      <c r="BN48" s="28">
        <v>48688.773999999998</v>
      </c>
      <c r="BO48" s="28">
        <v>48633.256000000001</v>
      </c>
      <c r="BP48" s="28">
        <v>48589.288999999997</v>
      </c>
      <c r="BQ48" s="28">
        <v>48563.947999999997</v>
      </c>
      <c r="BR48" s="28">
        <v>48532.358</v>
      </c>
      <c r="BS48" s="28">
        <v>48532.654999999999</v>
      </c>
      <c r="BT48" s="28">
        <v>48533.957999999999</v>
      </c>
      <c r="BU48" s="28">
        <v>48531.665000000001</v>
      </c>
      <c r="BV48" s="28">
        <v>48526.587</v>
      </c>
      <c r="BW48" s="28">
        <v>48519.447999999997</v>
      </c>
      <c r="BX48" s="28">
        <v>48510.529000000002</v>
      </c>
      <c r="BY48" s="28">
        <v>48499.701999999997</v>
      </c>
      <c r="BZ48" s="28">
        <v>48486.832000000002</v>
      </c>
      <c r="CA48" s="28">
        <v>48471.743000000002</v>
      </c>
      <c r="CB48" s="28">
        <v>48454.336000000003</v>
      </c>
      <c r="CC48" s="28">
        <v>48434.142999999996</v>
      </c>
      <c r="CD48" s="28">
        <v>48410.667999999998</v>
      </c>
      <c r="CE48" s="28">
        <v>48383.716999999997</v>
      </c>
      <c r="CF48" s="28">
        <v>48353.21</v>
      </c>
      <c r="CG48" s="28">
        <v>48318.932999999997</v>
      </c>
      <c r="CH48" s="28">
        <v>48280.697999999997</v>
      </c>
      <c r="CI48" s="28">
        <v>48238.586000000003</v>
      </c>
      <c r="CJ48" s="28">
        <v>48192.89</v>
      </c>
      <c r="CK48" s="28">
        <v>48144.050999999999</v>
      </c>
      <c r="CL48" s="28">
        <v>48092.480000000003</v>
      </c>
      <c r="CM48" s="28">
        <v>48039.014000000003</v>
      </c>
      <c r="CN48" s="28">
        <v>47984.656000000003</v>
      </c>
      <c r="CO48" s="28">
        <v>47930.144999999997</v>
      </c>
      <c r="CP48" s="28">
        <v>47876.01</v>
      </c>
      <c r="CQ48" s="28">
        <v>47822.669000000002</v>
      </c>
      <c r="CR48" s="28">
        <v>47771.39</v>
      </c>
      <c r="CS48" s="28">
        <v>47723.614000000001</v>
      </c>
      <c r="CT48" s="28">
        <v>47679.743999999999</v>
      </c>
      <c r="CU48" s="28">
        <v>47640.002999999997</v>
      </c>
      <c r="CV48" s="28">
        <v>47604.438999999998</v>
      </c>
      <c r="CW48" s="28">
        <v>47573.108</v>
      </c>
      <c r="CX48" s="28">
        <v>47546.038</v>
      </c>
    </row>
    <row r="49" spans="1:102" s="24" customFormat="1" ht="15" customHeight="1" x14ac:dyDescent="0.2">
      <c r="A49" s="2" t="s">
        <v>142</v>
      </c>
      <c r="B49" s="28">
        <v>12006.573</v>
      </c>
      <c r="C49" s="28">
        <v>12177.727999999999</v>
      </c>
      <c r="D49" s="28">
        <v>12389.224</v>
      </c>
      <c r="E49" s="28">
        <v>12614.1</v>
      </c>
      <c r="F49" s="28">
        <v>12730.69379234973</v>
      </c>
      <c r="G49" s="28">
        <v>12582.256112328771</v>
      </c>
      <c r="H49" s="28">
        <v>12548.413</v>
      </c>
      <c r="I49" s="28">
        <v>12817.379000000001</v>
      </c>
      <c r="J49" s="28">
        <v>13094.852999999999</v>
      </c>
      <c r="K49" s="28">
        <v>13379.574000000001</v>
      </c>
      <c r="L49" s="28">
        <v>13662.929</v>
      </c>
      <c r="M49" s="28">
        <v>13928.547</v>
      </c>
      <c r="N49" s="28">
        <v>14184.812</v>
      </c>
      <c r="O49" s="28">
        <v>14423.712</v>
      </c>
      <c r="P49" s="28">
        <v>14652.496999999999</v>
      </c>
      <c r="Q49" s="28">
        <v>14850.744000000001</v>
      </c>
      <c r="R49" s="28">
        <v>15058.893</v>
      </c>
      <c r="S49" s="28">
        <v>15226.314</v>
      </c>
      <c r="T49" s="28">
        <v>15355.471</v>
      </c>
      <c r="U49" s="28">
        <v>15447.960999999999</v>
      </c>
      <c r="V49" s="28">
        <v>15524.864</v>
      </c>
      <c r="W49" s="28">
        <v>15583.395</v>
      </c>
      <c r="X49" s="28">
        <v>15509.959641095889</v>
      </c>
      <c r="Y49" s="28">
        <v>15187.442312328771</v>
      </c>
      <c r="Z49" s="28">
        <v>14970.841</v>
      </c>
      <c r="AA49" s="28">
        <v>15067.359</v>
      </c>
      <c r="AB49" s="28">
        <v>15193.960999999999</v>
      </c>
      <c r="AC49" s="28">
        <v>15316.486000000001</v>
      </c>
      <c r="AD49" s="28">
        <v>15428.800999999999</v>
      </c>
      <c r="AE49" s="28">
        <v>15544.183000000001</v>
      </c>
      <c r="AF49" s="28">
        <v>15658.348</v>
      </c>
      <c r="AG49" s="28">
        <v>15798.362999999999</v>
      </c>
      <c r="AH49" s="28">
        <v>15942.946</v>
      </c>
      <c r="AI49" s="28">
        <v>16095.944</v>
      </c>
      <c r="AJ49" s="28">
        <v>16272.599</v>
      </c>
      <c r="AK49" s="28">
        <v>16443.944</v>
      </c>
      <c r="AL49" s="28">
        <v>16626.68</v>
      </c>
      <c r="AM49" s="28">
        <v>16820.89</v>
      </c>
      <c r="AN49" s="28">
        <v>17013.338</v>
      </c>
      <c r="AO49" s="28">
        <v>17192.141</v>
      </c>
      <c r="AP49" s="28">
        <v>17381.050999999999</v>
      </c>
      <c r="AQ49" s="28">
        <v>17560.949000000001</v>
      </c>
      <c r="AR49" s="28">
        <v>17742.218000000001</v>
      </c>
      <c r="AS49" s="28">
        <v>17946.508999999998</v>
      </c>
      <c r="AT49" s="28">
        <v>18143.602999999999</v>
      </c>
      <c r="AU49" s="28">
        <v>18346.846000000001</v>
      </c>
      <c r="AV49" s="28">
        <v>18536.499</v>
      </c>
      <c r="AW49" s="28">
        <v>18716.712</v>
      </c>
      <c r="AX49" s="28">
        <v>18898.733</v>
      </c>
      <c r="AY49" s="28">
        <v>19089.151000000002</v>
      </c>
      <c r="AZ49" s="28">
        <v>19287.795999999998</v>
      </c>
      <c r="BA49" s="28">
        <v>19478.349999999999</v>
      </c>
      <c r="BB49" s="28">
        <v>19661.575000000001</v>
      </c>
      <c r="BC49" s="28">
        <v>19849.238000000001</v>
      </c>
      <c r="BD49" s="28">
        <v>20057.657999999999</v>
      </c>
      <c r="BE49" s="28">
        <v>20252.28</v>
      </c>
      <c r="BF49" s="28">
        <v>20446.109</v>
      </c>
      <c r="BG49" s="28">
        <v>20643.713</v>
      </c>
      <c r="BH49" s="28">
        <v>20834.985000000001</v>
      </c>
      <c r="BI49" s="28">
        <v>21002.376</v>
      </c>
      <c r="BJ49" s="28">
        <v>21148.045999999998</v>
      </c>
      <c r="BK49" s="28">
        <v>21286.564999999999</v>
      </c>
      <c r="BL49" s="28">
        <v>21427.871999999999</v>
      </c>
      <c r="BM49" s="28">
        <v>21546.126</v>
      </c>
      <c r="BN49" s="28">
        <v>21646.33</v>
      </c>
      <c r="BO49" s="28">
        <v>21737.008000000002</v>
      </c>
      <c r="BP49" s="28">
        <v>21813.756000000001</v>
      </c>
      <c r="BQ49" s="28">
        <v>21869.815999999999</v>
      </c>
      <c r="BR49" s="28">
        <v>21930.291000000001</v>
      </c>
      <c r="BS49" s="28">
        <v>21957.192999999999</v>
      </c>
      <c r="BT49" s="28">
        <v>21981.514999999999</v>
      </c>
      <c r="BU49" s="28">
        <v>22007.838</v>
      </c>
      <c r="BV49" s="28">
        <v>22035.34</v>
      </c>
      <c r="BW49" s="28">
        <v>22063.153999999999</v>
      </c>
      <c r="BX49" s="28">
        <v>22090.871999999999</v>
      </c>
      <c r="BY49" s="28">
        <v>22118.513999999999</v>
      </c>
      <c r="BZ49" s="28">
        <v>22146.039000000001</v>
      </c>
      <c r="CA49" s="28">
        <v>22173.534</v>
      </c>
      <c r="CB49" s="28">
        <v>22200.998</v>
      </c>
      <c r="CC49" s="28">
        <v>22228.916000000001</v>
      </c>
      <c r="CD49" s="28">
        <v>22257.847000000002</v>
      </c>
      <c r="CE49" s="28">
        <v>22288.141</v>
      </c>
      <c r="CF49" s="28">
        <v>22320.166000000001</v>
      </c>
      <c r="CG49" s="28">
        <v>22354.527999999998</v>
      </c>
      <c r="CH49" s="28">
        <v>22391.931</v>
      </c>
      <c r="CI49" s="28">
        <v>22432.882000000001</v>
      </c>
      <c r="CJ49" s="28">
        <v>22477.704000000002</v>
      </c>
      <c r="CK49" s="28">
        <v>22526.632000000001</v>
      </c>
      <c r="CL49" s="28">
        <v>22579.942999999999</v>
      </c>
      <c r="CM49" s="28">
        <v>22637.415000000001</v>
      </c>
      <c r="CN49" s="28">
        <v>22698.557000000001</v>
      </c>
      <c r="CO49" s="28">
        <v>22763.07</v>
      </c>
      <c r="CP49" s="28">
        <v>22830.766</v>
      </c>
      <c r="CQ49" s="28">
        <v>22901.431</v>
      </c>
      <c r="CR49" s="28">
        <v>22973.848999999998</v>
      </c>
      <c r="CS49" s="28">
        <v>23046.505000000001</v>
      </c>
      <c r="CT49" s="28">
        <v>23118.816999999999</v>
      </c>
      <c r="CU49" s="28">
        <v>23190.224999999999</v>
      </c>
      <c r="CV49" s="28">
        <v>23260.269</v>
      </c>
      <c r="CW49" s="28">
        <v>23328.436000000002</v>
      </c>
      <c r="CX49" s="28">
        <v>23394.151000000002</v>
      </c>
    </row>
    <row r="50" spans="1:102" s="24" customFormat="1" ht="15" customHeight="1" x14ac:dyDescent="0.2">
      <c r="A50" s="2" t="s">
        <v>143</v>
      </c>
      <c r="B50" s="28">
        <v>42468.847999999998</v>
      </c>
      <c r="C50" s="28">
        <v>43160.303999999996</v>
      </c>
      <c r="D50" s="28">
        <v>43725.847000000002</v>
      </c>
      <c r="E50" s="28">
        <v>44191.288</v>
      </c>
      <c r="F50" s="28">
        <v>44556.445</v>
      </c>
      <c r="G50" s="28">
        <v>44826.637999999999</v>
      </c>
      <c r="H50" s="28">
        <v>44999.375999999997</v>
      </c>
      <c r="I50" s="28">
        <v>45137.247000000003</v>
      </c>
      <c r="J50" s="28">
        <v>45250.658000000003</v>
      </c>
      <c r="K50" s="28">
        <v>45371.618000000002</v>
      </c>
      <c r="L50" s="28">
        <v>45501.85</v>
      </c>
      <c r="M50" s="28">
        <v>45620.881999999998</v>
      </c>
      <c r="N50" s="28">
        <v>45726.447999999997</v>
      </c>
      <c r="O50" s="28">
        <v>45848.398999999998</v>
      </c>
      <c r="P50" s="28">
        <v>45940.339</v>
      </c>
      <c r="Q50" s="28">
        <v>46046.459000000003</v>
      </c>
      <c r="R50" s="28">
        <v>46191.637999999999</v>
      </c>
      <c r="S50" s="28">
        <v>46333.175999999999</v>
      </c>
      <c r="T50" s="28">
        <v>46483.345000000001</v>
      </c>
      <c r="U50" s="28">
        <v>46650.205999999998</v>
      </c>
      <c r="V50" s="28">
        <v>46834.796999999999</v>
      </c>
      <c r="W50" s="28">
        <v>47005.101999999999</v>
      </c>
      <c r="X50" s="28">
        <v>47118.123</v>
      </c>
      <c r="Y50" s="28">
        <v>47196.059000000001</v>
      </c>
      <c r="Z50" s="28">
        <v>47273.656000000003</v>
      </c>
      <c r="AA50" s="28">
        <v>47356.98</v>
      </c>
      <c r="AB50" s="28">
        <v>47432.338000000003</v>
      </c>
      <c r="AC50" s="28">
        <v>47504.47</v>
      </c>
      <c r="AD50" s="28">
        <v>47546.283000000003</v>
      </c>
      <c r="AE50" s="28">
        <v>47580.04</v>
      </c>
      <c r="AF50" s="28">
        <v>47602.402999999998</v>
      </c>
      <c r="AG50" s="28">
        <v>47598.567000000003</v>
      </c>
      <c r="AH50" s="28">
        <v>47599.141000000003</v>
      </c>
      <c r="AI50" s="28">
        <v>47587.794999999998</v>
      </c>
      <c r="AJ50" s="28">
        <v>47564.957999999999</v>
      </c>
      <c r="AK50" s="28">
        <v>47544.599000000002</v>
      </c>
      <c r="AL50" s="28">
        <v>47539.156999999999</v>
      </c>
      <c r="AM50" s="28">
        <v>47524.123</v>
      </c>
      <c r="AN50" s="28">
        <v>47518.436999999998</v>
      </c>
      <c r="AO50" s="28">
        <v>47511.069000000003</v>
      </c>
      <c r="AP50" s="28">
        <v>47479.489000000001</v>
      </c>
      <c r="AQ50" s="28">
        <v>47454.13</v>
      </c>
      <c r="AR50" s="28">
        <v>47419.735999999997</v>
      </c>
      <c r="AS50" s="28">
        <v>47394.614000000001</v>
      </c>
      <c r="AT50" s="28">
        <v>47373.627999999997</v>
      </c>
      <c r="AU50" s="28">
        <v>47344.267</v>
      </c>
      <c r="AV50" s="28">
        <v>47298.834999999999</v>
      </c>
      <c r="AW50" s="28">
        <v>47236.586000000003</v>
      </c>
      <c r="AX50" s="28">
        <v>47173.249000000003</v>
      </c>
      <c r="AY50" s="28">
        <v>47107.631000000001</v>
      </c>
      <c r="AZ50" s="28">
        <v>47027.680999999997</v>
      </c>
      <c r="BA50" s="28">
        <v>46916.862999999998</v>
      </c>
      <c r="BB50" s="28">
        <v>46810.582000000002</v>
      </c>
      <c r="BC50" s="28">
        <v>46695.892</v>
      </c>
      <c r="BD50" s="28">
        <v>46568.78</v>
      </c>
      <c r="BE50" s="28">
        <v>46440.211000000003</v>
      </c>
      <c r="BF50" s="28">
        <v>46328.881999999998</v>
      </c>
      <c r="BG50" s="28">
        <v>46233.241999999998</v>
      </c>
      <c r="BH50" s="28">
        <v>46139.065000000002</v>
      </c>
      <c r="BI50" s="28">
        <v>46037.1</v>
      </c>
      <c r="BJ50" s="28">
        <v>45954.461000000003</v>
      </c>
      <c r="BK50" s="28">
        <v>45886.743000000002</v>
      </c>
      <c r="BL50" s="28">
        <v>45825.9</v>
      </c>
      <c r="BM50" s="28">
        <v>45776.904999999999</v>
      </c>
      <c r="BN50" s="28">
        <v>45747.091</v>
      </c>
      <c r="BO50" s="28">
        <v>45711.319000000003</v>
      </c>
      <c r="BP50" s="28">
        <v>45708.461000000003</v>
      </c>
      <c r="BQ50" s="28">
        <v>45707.211000000003</v>
      </c>
      <c r="BR50" s="28">
        <v>45702.999000000003</v>
      </c>
      <c r="BS50" s="28">
        <v>45696.667999999998</v>
      </c>
      <c r="BT50" s="28">
        <v>45689.01</v>
      </c>
      <c r="BU50" s="28">
        <v>45680.32</v>
      </c>
      <c r="BV50" s="28">
        <v>45670.47</v>
      </c>
      <c r="BW50" s="28">
        <v>45659.288999999997</v>
      </c>
      <c r="BX50" s="28">
        <v>45646.514000000003</v>
      </c>
      <c r="BY50" s="28">
        <v>45631.942000000003</v>
      </c>
      <c r="BZ50" s="28">
        <v>45614.98</v>
      </c>
      <c r="CA50" s="28">
        <v>45594.983999999997</v>
      </c>
      <c r="CB50" s="28">
        <v>45571.631999999998</v>
      </c>
      <c r="CC50" s="28">
        <v>45544.667000000001</v>
      </c>
      <c r="CD50" s="28">
        <v>45513.758999999998</v>
      </c>
      <c r="CE50" s="28">
        <v>45478.6</v>
      </c>
      <c r="CF50" s="28">
        <v>45439.178999999996</v>
      </c>
      <c r="CG50" s="28">
        <v>45395.722999999998</v>
      </c>
      <c r="CH50" s="28">
        <v>45348.584000000003</v>
      </c>
      <c r="CI50" s="28">
        <v>45298.156000000003</v>
      </c>
      <c r="CJ50" s="28">
        <v>45245.256000000001</v>
      </c>
      <c r="CK50" s="28">
        <v>45190.932000000001</v>
      </c>
      <c r="CL50" s="28">
        <v>45135.945</v>
      </c>
      <c r="CM50" s="28">
        <v>45080.875999999997</v>
      </c>
      <c r="CN50" s="28">
        <v>45026.180999999997</v>
      </c>
      <c r="CO50" s="28">
        <v>44973.243000000002</v>
      </c>
      <c r="CP50" s="28">
        <v>44923.557999999997</v>
      </c>
      <c r="CQ50" s="28">
        <v>44877.618000000002</v>
      </c>
      <c r="CR50" s="28">
        <v>44835.728999999999</v>
      </c>
      <c r="CS50" s="28">
        <v>44798.034</v>
      </c>
      <c r="CT50" s="28">
        <v>44764.66</v>
      </c>
      <c r="CU50" s="28">
        <v>44735.682000000001</v>
      </c>
      <c r="CV50" s="28">
        <v>44710.762999999999</v>
      </c>
      <c r="CW50" s="28">
        <v>44689.315000000002</v>
      </c>
      <c r="CX50" s="28">
        <v>44670.726000000002</v>
      </c>
    </row>
    <row r="51" spans="1:102" s="24" customFormat="1" ht="15" customHeight="1" x14ac:dyDescent="0.2">
      <c r="A51" s="2" t="s">
        <v>144</v>
      </c>
      <c r="B51" s="28">
        <v>12736.281000000001</v>
      </c>
      <c r="C51" s="28">
        <v>12934.955</v>
      </c>
      <c r="D51" s="28">
        <v>13163.397000000001</v>
      </c>
      <c r="E51" s="28">
        <v>13404.764999999999</v>
      </c>
      <c r="F51" s="28">
        <v>13669.589</v>
      </c>
      <c r="G51" s="28">
        <v>13954.916999999999</v>
      </c>
      <c r="H51" s="28">
        <v>14249.7</v>
      </c>
      <c r="I51" s="28">
        <v>14553.151</v>
      </c>
      <c r="J51" s="28">
        <v>14856.218000000001</v>
      </c>
      <c r="K51" s="28">
        <v>15141.91</v>
      </c>
      <c r="L51" s="28">
        <v>15418.587</v>
      </c>
      <c r="M51" s="28">
        <v>15677.781000000001</v>
      </c>
      <c r="N51" s="28">
        <v>15926.607</v>
      </c>
      <c r="O51" s="28">
        <v>16144.064</v>
      </c>
      <c r="P51" s="28">
        <v>16371.231</v>
      </c>
      <c r="Q51" s="28">
        <v>16556.39</v>
      </c>
      <c r="R51" s="28">
        <v>16701.77</v>
      </c>
      <c r="S51" s="28">
        <v>16808.758000000002</v>
      </c>
      <c r="T51" s="28">
        <v>16898.764999999999</v>
      </c>
      <c r="U51" s="28">
        <v>16969.007000000001</v>
      </c>
      <c r="V51" s="28">
        <v>17017.807000000001</v>
      </c>
      <c r="W51" s="28">
        <v>17076.624</v>
      </c>
      <c r="X51" s="28">
        <v>17188.330999999998</v>
      </c>
      <c r="Y51" s="28">
        <v>17330.842000000001</v>
      </c>
      <c r="Z51" s="28">
        <v>17469.482</v>
      </c>
      <c r="AA51" s="28">
        <v>17598.13</v>
      </c>
      <c r="AB51" s="28">
        <v>17730.350999999999</v>
      </c>
      <c r="AC51" s="28">
        <v>17861.593000000001</v>
      </c>
      <c r="AD51" s="28">
        <v>18019.296999999999</v>
      </c>
      <c r="AE51" s="28">
        <v>18181.289000000001</v>
      </c>
      <c r="AF51" s="28">
        <v>18351.078000000001</v>
      </c>
      <c r="AG51" s="28">
        <v>18543.905999999999</v>
      </c>
      <c r="AH51" s="28">
        <v>18729.776000000002</v>
      </c>
      <c r="AI51" s="28">
        <v>18925.509999999998</v>
      </c>
      <c r="AJ51" s="28">
        <v>19131.097000000002</v>
      </c>
      <c r="AK51" s="28">
        <v>19332.917000000001</v>
      </c>
      <c r="AL51" s="28">
        <v>19518.913</v>
      </c>
      <c r="AM51" s="28">
        <v>19713.612000000001</v>
      </c>
      <c r="AN51" s="28">
        <v>19897.798999999999</v>
      </c>
      <c r="AO51" s="28">
        <v>20082.449000000001</v>
      </c>
      <c r="AP51" s="28">
        <v>20290.113000000001</v>
      </c>
      <c r="AQ51" s="28">
        <v>20490.331999999999</v>
      </c>
      <c r="AR51" s="28">
        <v>20697.263999999999</v>
      </c>
      <c r="AS51" s="28">
        <v>20891.187999999998</v>
      </c>
      <c r="AT51" s="28">
        <v>21076.736000000001</v>
      </c>
      <c r="AU51" s="28">
        <v>21265.85</v>
      </c>
      <c r="AV51" s="28">
        <v>21465.735000000001</v>
      </c>
      <c r="AW51" s="28">
        <v>21676.488000000001</v>
      </c>
      <c r="AX51" s="28">
        <v>21881.597000000002</v>
      </c>
      <c r="AY51" s="28">
        <v>22081.73</v>
      </c>
      <c r="AZ51" s="28">
        <v>22288.666000000001</v>
      </c>
      <c r="BA51" s="28">
        <v>22518.691999999999</v>
      </c>
      <c r="BB51" s="28">
        <v>22736.165000000001</v>
      </c>
      <c r="BC51" s="28">
        <v>22953.796999999999</v>
      </c>
      <c r="BD51" s="28">
        <v>23175.710999999999</v>
      </c>
      <c r="BE51" s="28">
        <v>23391.174999999999</v>
      </c>
      <c r="BF51" s="28">
        <v>23581.915000000001</v>
      </c>
      <c r="BG51" s="28">
        <v>23749.832999999999</v>
      </c>
      <c r="BH51" s="28">
        <v>23909.507000000001</v>
      </c>
      <c r="BI51" s="28">
        <v>24070.883000000002</v>
      </c>
      <c r="BJ51" s="28">
        <v>24207.518</v>
      </c>
      <c r="BK51" s="28">
        <v>24324.396000000001</v>
      </c>
      <c r="BL51" s="28">
        <v>24430.16</v>
      </c>
      <c r="BM51" s="28">
        <v>24520.31</v>
      </c>
      <c r="BN51" s="28">
        <v>24588.012999999999</v>
      </c>
      <c r="BO51" s="28">
        <v>24658.945</v>
      </c>
      <c r="BP51" s="28">
        <v>24694.583999999999</v>
      </c>
      <c r="BQ51" s="28">
        <v>24726.553</v>
      </c>
      <c r="BR51" s="28">
        <v>24759.65</v>
      </c>
      <c r="BS51" s="28">
        <v>24793.18</v>
      </c>
      <c r="BT51" s="28">
        <v>24826.463</v>
      </c>
      <c r="BU51" s="28">
        <v>24859.183000000001</v>
      </c>
      <c r="BV51" s="28">
        <v>24891.456999999999</v>
      </c>
      <c r="BW51" s="28">
        <v>24923.312999999998</v>
      </c>
      <c r="BX51" s="28">
        <v>24954.886999999999</v>
      </c>
      <c r="BY51" s="28">
        <v>24986.274000000001</v>
      </c>
      <c r="BZ51" s="28">
        <v>25017.891</v>
      </c>
      <c r="CA51" s="28">
        <v>25050.293000000001</v>
      </c>
      <c r="CB51" s="28">
        <v>25083.702000000001</v>
      </c>
      <c r="CC51" s="28">
        <v>25118.392</v>
      </c>
      <c r="CD51" s="28">
        <v>25154.756000000001</v>
      </c>
      <c r="CE51" s="28">
        <v>25193.258000000002</v>
      </c>
      <c r="CF51" s="28">
        <v>25234.197</v>
      </c>
      <c r="CG51" s="28">
        <v>25277.738000000001</v>
      </c>
      <c r="CH51" s="28">
        <v>25324.044999999998</v>
      </c>
      <c r="CI51" s="28">
        <v>25373.312000000002</v>
      </c>
      <c r="CJ51" s="28">
        <v>25425.338</v>
      </c>
      <c r="CK51" s="28">
        <v>25479.751</v>
      </c>
      <c r="CL51" s="28">
        <v>25536.477999999999</v>
      </c>
      <c r="CM51" s="28">
        <v>25595.553</v>
      </c>
      <c r="CN51" s="28">
        <v>25657.031999999999</v>
      </c>
      <c r="CO51" s="28">
        <v>25719.972000000002</v>
      </c>
      <c r="CP51" s="28">
        <v>25783.218000000001</v>
      </c>
      <c r="CQ51" s="28">
        <v>25846.482</v>
      </c>
      <c r="CR51" s="28">
        <v>25909.51</v>
      </c>
      <c r="CS51" s="28">
        <v>25972.084999999999</v>
      </c>
      <c r="CT51" s="28">
        <v>26033.901000000002</v>
      </c>
      <c r="CU51" s="28">
        <v>26094.545999999998</v>
      </c>
      <c r="CV51" s="28">
        <v>26153.945</v>
      </c>
      <c r="CW51" s="28">
        <v>26212.228999999999</v>
      </c>
      <c r="CX51" s="28">
        <v>26269.463</v>
      </c>
    </row>
    <row r="52" spans="1:102" s="24" customFormat="1" ht="15" customHeight="1" x14ac:dyDescent="0.2">
      <c r="A52" s="2" t="s">
        <v>140</v>
      </c>
      <c r="B52" s="25">
        <v>0.18338943286650669</v>
      </c>
      <c r="C52" s="25">
        <v>0.1810013783261947</v>
      </c>
      <c r="D52" s="25">
        <v>0.17821260556565621</v>
      </c>
      <c r="E52" s="25">
        <v>0.17564449660122561</v>
      </c>
      <c r="F52" s="25">
        <v>0.17309361876777871</v>
      </c>
      <c r="G52" s="25">
        <v>0.17047744674914439</v>
      </c>
      <c r="H52" s="25">
        <v>0.1679447258395502</v>
      </c>
      <c r="I52" s="25">
        <v>0.16572538736485901</v>
      </c>
      <c r="J52" s="25">
        <v>0.163788452496681</v>
      </c>
      <c r="K52" s="25">
        <v>0.16191558723135741</v>
      </c>
      <c r="L52" s="25">
        <v>0.15996343578171299</v>
      </c>
      <c r="M52" s="25">
        <v>0.15833248215045831</v>
      </c>
      <c r="N52" s="25">
        <v>0.15695735456180451</v>
      </c>
      <c r="O52" s="25">
        <v>0.15571703265244621</v>
      </c>
      <c r="P52" s="25">
        <v>0.1546857480664246</v>
      </c>
      <c r="Q52" s="25">
        <v>0.1539691481185434</v>
      </c>
      <c r="R52" s="25">
        <v>0.15320544524694751</v>
      </c>
      <c r="S52" s="25">
        <v>0.15295455132663191</v>
      </c>
      <c r="T52" s="25">
        <v>0.15276426919769179</v>
      </c>
      <c r="U52" s="25">
        <v>0.1525674407214791</v>
      </c>
      <c r="V52" s="25">
        <v>0.15237515967651599</v>
      </c>
      <c r="W52" s="25">
        <v>0.152192552524411</v>
      </c>
      <c r="X52" s="25">
        <v>0.15201592857984819</v>
      </c>
      <c r="Y52" s="25">
        <v>0.1518399647438706</v>
      </c>
      <c r="Z52" s="25">
        <v>0.15166043218408151</v>
      </c>
      <c r="AA52" s="25">
        <v>0.15147412098426219</v>
      </c>
      <c r="AB52" s="25">
        <v>0.15126734157839519</v>
      </c>
      <c r="AC52" s="25">
        <v>0.15101993428366031</v>
      </c>
      <c r="AD52" s="25">
        <v>0.15072123679282171</v>
      </c>
      <c r="AE52" s="25">
        <v>0.15036652945888829</v>
      </c>
      <c r="AF52" s="25">
        <v>0.14995309393589731</v>
      </c>
      <c r="AG52" s="25">
        <v>0.14947574611295761</v>
      </c>
      <c r="AH52" s="25">
        <v>0.148929143428426</v>
      </c>
      <c r="AI52" s="25">
        <v>0.1483150004367054</v>
      </c>
      <c r="AJ52" s="25">
        <v>0.14764072038050749</v>
      </c>
      <c r="AK52" s="25">
        <v>0.1469149216040799</v>
      </c>
      <c r="AL52" s="25">
        <v>0.14614440506669521</v>
      </c>
      <c r="AM52" s="25">
        <v>0.145341363734377</v>
      </c>
      <c r="AN52" s="25">
        <v>0.14452173322264539</v>
      </c>
      <c r="AO52" s="25">
        <v>0.1436974133394105</v>
      </c>
      <c r="AP52" s="25">
        <v>0.14287822096038669</v>
      </c>
      <c r="AQ52" s="25">
        <v>0.1420705649738295</v>
      </c>
      <c r="AR52" s="25">
        <v>0.14129219583777139</v>
      </c>
      <c r="AS52" s="25">
        <v>0.1405647298754365</v>
      </c>
      <c r="AT52" s="25">
        <v>0.13989637370804989</v>
      </c>
      <c r="AU52" s="25">
        <v>0.13929241953884419</v>
      </c>
      <c r="AV52" s="25">
        <v>0.13875498548943679</v>
      </c>
      <c r="AW52" s="25">
        <v>0.13828605226072591</v>
      </c>
      <c r="AX52" s="25">
        <v>0.13788715201674559</v>
      </c>
      <c r="AY52" s="25">
        <v>0.13755543258152211</v>
      </c>
      <c r="AZ52" s="25">
        <v>0.13728366141970921</v>
      </c>
      <c r="BA52" s="25">
        <v>0.13706412859124359</v>
      </c>
      <c r="BB52" s="25">
        <v>0.13689038744798479</v>
      </c>
      <c r="BC52" s="25">
        <v>0.13675601948974411</v>
      </c>
      <c r="BD52" s="25">
        <v>0.13665256297348211</v>
      </c>
      <c r="BE52" s="25">
        <v>0.1365716590805468</v>
      </c>
      <c r="BF52" s="25">
        <v>0.13650476329964509</v>
      </c>
      <c r="BG52" s="25">
        <v>0.136445798177766</v>
      </c>
      <c r="BH52" s="25">
        <v>0.1363892666963214</v>
      </c>
      <c r="BI52" s="25">
        <v>0.13632751038386309</v>
      </c>
      <c r="BJ52" s="25">
        <v>0.1362540819645657</v>
      </c>
      <c r="BK52" s="25">
        <v>0.13616456126650081</v>
      </c>
      <c r="BL52" s="25">
        <v>0.1360554474457564</v>
      </c>
      <c r="BM52" s="25">
        <v>0.13592485921224551</v>
      </c>
      <c r="BN52" s="25">
        <v>0.13577180034988071</v>
      </c>
      <c r="BO52" s="25">
        <v>0.13559555860665309</v>
      </c>
      <c r="BP52" s="25">
        <v>0.13539710930070331</v>
      </c>
      <c r="BQ52" s="25">
        <v>0.13517837008952169</v>
      </c>
      <c r="BR52" s="25">
        <v>0.13494194525876321</v>
      </c>
      <c r="BS52" s="25">
        <v>0.13469115466108719</v>
      </c>
      <c r="BT52" s="25">
        <v>0.13442996264589829</v>
      </c>
      <c r="BU52" s="25">
        <v>0.13416276803951571</v>
      </c>
      <c r="BV52" s="25">
        <v>0.13389407332633529</v>
      </c>
      <c r="BW52" s="25">
        <v>0.13362872992346361</v>
      </c>
      <c r="BX52" s="25">
        <v>0.13337137585648309</v>
      </c>
      <c r="BY52" s="25">
        <v>0.13312626123832541</v>
      </c>
      <c r="BZ52" s="25">
        <v>0.13289735830970301</v>
      </c>
      <c r="CA52" s="25">
        <v>0.13268789458279809</v>
      </c>
      <c r="CB52" s="25">
        <v>0.1325002567617666</v>
      </c>
      <c r="CC52" s="25">
        <v>0.13233630328496571</v>
      </c>
      <c r="CD52" s="25">
        <v>0.13219656348757769</v>
      </c>
      <c r="CE52" s="25">
        <v>0.13208092723004911</v>
      </c>
      <c r="CF52" s="25">
        <v>0.1319881548756385</v>
      </c>
      <c r="CG52" s="25">
        <v>0.13191625243297511</v>
      </c>
      <c r="CH52" s="25">
        <v>0.1318626730805138</v>
      </c>
      <c r="CI52" s="25">
        <v>0.13182414490999941</v>
      </c>
      <c r="CJ52" s="25">
        <v>0.13179711486578979</v>
      </c>
      <c r="CK52" s="25">
        <v>0.13177744079825479</v>
      </c>
      <c r="CL52" s="25">
        <v>0.13176106677365121</v>
      </c>
      <c r="CM52" s="25">
        <v>0.13174409741350479</v>
      </c>
      <c r="CN52" s="25">
        <v>0.13172280476262049</v>
      </c>
      <c r="CO52" s="25">
        <v>0.13169388856738151</v>
      </c>
      <c r="CP52" s="25">
        <v>0.13165437172703759</v>
      </c>
      <c r="CQ52" s="25">
        <v>0.13160195049165649</v>
      </c>
      <c r="CR52" s="25">
        <v>0.13153502951353049</v>
      </c>
      <c r="CS52" s="25">
        <v>0.13145233823572461</v>
      </c>
      <c r="CT52" s="25">
        <v>0.13135349311453601</v>
      </c>
      <c r="CU52" s="25">
        <v>0.13123878290661689</v>
      </c>
      <c r="CV52" s="25">
        <v>0.13110888362033141</v>
      </c>
      <c r="CW52" s="25">
        <v>0.13096512800794891</v>
      </c>
      <c r="CX52" s="25">
        <v>0.13080929880622361</v>
      </c>
    </row>
    <row r="53" spans="1:102" s="24" customFormat="1" ht="15" customHeight="1" x14ac:dyDescent="0.2">
      <c r="A53" s="2" t="s">
        <v>141</v>
      </c>
      <c r="B53" s="25">
        <v>0.63900579445268513</v>
      </c>
      <c r="C53" s="25">
        <v>0.64120209082761548</v>
      </c>
      <c r="D53" s="25">
        <v>0.64282020495959113</v>
      </c>
      <c r="E53" s="25">
        <v>0.64381357016209095</v>
      </c>
      <c r="F53" s="25">
        <v>0.64610938698034737</v>
      </c>
      <c r="G53" s="25">
        <v>0.65196234382878193</v>
      </c>
      <c r="H53" s="25">
        <v>0.65583356871151499</v>
      </c>
      <c r="I53" s="25">
        <v>0.65512998873394357</v>
      </c>
      <c r="J53" s="25">
        <v>0.65403493111323274</v>
      </c>
      <c r="K53" s="25">
        <v>0.65278349263579893</v>
      </c>
      <c r="L53" s="25">
        <v>0.65163739146910926</v>
      </c>
      <c r="M53" s="25">
        <v>0.65042018867466755</v>
      </c>
      <c r="N53" s="25">
        <v>0.64907980882736638</v>
      </c>
      <c r="O53" s="25">
        <v>0.64784466213734593</v>
      </c>
      <c r="P53" s="25">
        <v>0.64653953737392045</v>
      </c>
      <c r="Q53" s="25">
        <v>0.64533411366442384</v>
      </c>
      <c r="R53" s="25">
        <v>0.64404216784139301</v>
      </c>
      <c r="S53" s="25">
        <v>0.64278531350279211</v>
      </c>
      <c r="T53" s="25">
        <v>0.64197743797332774</v>
      </c>
      <c r="U53" s="25">
        <v>0.64165973518110908</v>
      </c>
      <c r="V53" s="25">
        <v>0.64153676333536613</v>
      </c>
      <c r="W53" s="25">
        <v>0.64163762087082721</v>
      </c>
      <c r="X53" s="25">
        <v>0.64346029649674008</v>
      </c>
      <c r="Y53" s="25">
        <v>0.64853195134930741</v>
      </c>
      <c r="Z53" s="25">
        <v>0.65217427252576998</v>
      </c>
      <c r="AA53" s="25">
        <v>0.65169696070706751</v>
      </c>
      <c r="AB53" s="25">
        <v>0.65083396655693682</v>
      </c>
      <c r="AC53" s="25">
        <v>0.65004822411493568</v>
      </c>
      <c r="AD53" s="25">
        <v>0.64942766708250932</v>
      </c>
      <c r="AE53" s="25">
        <v>0.6488033116947759</v>
      </c>
      <c r="AF53" s="25">
        <v>0.64823299010908242</v>
      </c>
      <c r="AG53" s="25">
        <v>0.64737353553982158</v>
      </c>
      <c r="AH53" s="25">
        <v>0.64650582939806611</v>
      </c>
      <c r="AI53" s="25">
        <v>0.64558076134192199</v>
      </c>
      <c r="AJ53" s="25">
        <v>0.64439944209721511</v>
      </c>
      <c r="AK53" s="25">
        <v>0.64332723905903266</v>
      </c>
      <c r="AL53" s="25">
        <v>0.64214679175472122</v>
      </c>
      <c r="AM53" s="25">
        <v>0.64084835684181352</v>
      </c>
      <c r="AN53" s="25">
        <v>0.63958752935414243</v>
      </c>
      <c r="AO53" s="25">
        <v>0.63850544805724629</v>
      </c>
      <c r="AP53" s="25">
        <v>0.63729346494241301</v>
      </c>
      <c r="AQ53" s="25">
        <v>0.63618869839198544</v>
      </c>
      <c r="AR53" s="25">
        <v>0.63504291786736</v>
      </c>
      <c r="AS53" s="25">
        <v>0.63356309232971364</v>
      </c>
      <c r="AT53" s="25">
        <v>0.63212268035714836</v>
      </c>
      <c r="AU53" s="25">
        <v>0.63054809203245321</v>
      </c>
      <c r="AV53" s="25">
        <v>0.62908378162231793</v>
      </c>
      <c r="AW53" s="25">
        <v>0.62767342610735499</v>
      </c>
      <c r="AX53" s="25">
        <v>0.62617226634898193</v>
      </c>
      <c r="AY53" s="25">
        <v>0.6244985257346849</v>
      </c>
      <c r="AZ53" s="25">
        <v>0.62265901495353393</v>
      </c>
      <c r="BA53" s="25">
        <v>0.62086152015089224</v>
      </c>
      <c r="BB53" s="25">
        <v>0.61909971830904809</v>
      </c>
      <c r="BC53" s="25">
        <v>0.617230890326674</v>
      </c>
      <c r="BD53" s="25">
        <v>0.615059330270467</v>
      </c>
      <c r="BE53" s="25">
        <v>0.61301955596083557</v>
      </c>
      <c r="BF53" s="25">
        <v>0.6109574530078552</v>
      </c>
      <c r="BG53" s="25">
        <v>0.60882168110401358</v>
      </c>
      <c r="BH53" s="25">
        <v>0.60674159007230555</v>
      </c>
      <c r="BI53" s="25">
        <v>0.60494055080434417</v>
      </c>
      <c r="BJ53" s="25">
        <v>0.60339781116510793</v>
      </c>
      <c r="BK53" s="25">
        <v>0.60193840248253982</v>
      </c>
      <c r="BL53" s="25">
        <v>0.60044424685492592</v>
      </c>
      <c r="BM53" s="25">
        <v>0.59923574627005283</v>
      </c>
      <c r="BN53" s="25">
        <v>0.59825334867197377</v>
      </c>
      <c r="BO53" s="25">
        <v>0.59739441201783239</v>
      </c>
      <c r="BP53" s="25">
        <v>0.59671339111005128</v>
      </c>
      <c r="BQ53" s="25">
        <v>0.59629288964661475</v>
      </c>
      <c r="BR53" s="25">
        <v>0.59582357176899914</v>
      </c>
      <c r="BS53" s="25">
        <v>0.59576998462646447</v>
      </c>
      <c r="BT53" s="25">
        <v>0.59574924554505082</v>
      </c>
      <c r="BU53" s="25">
        <v>0.59570199248545197</v>
      </c>
      <c r="BV53" s="25">
        <v>0.59563515891431384</v>
      </c>
      <c r="BW53" s="25">
        <v>0.59555548529044677</v>
      </c>
      <c r="BX53" s="25">
        <v>0.59546428836085252</v>
      </c>
      <c r="BY53" s="25">
        <v>0.59535797394778511</v>
      </c>
      <c r="BZ53" s="25">
        <v>0.59523362875046704</v>
      </c>
      <c r="CA53" s="25">
        <v>0.59508761604220928</v>
      </c>
      <c r="CB53" s="25">
        <v>0.59491791573413388</v>
      </c>
      <c r="CC53" s="25">
        <v>0.59471735525353642</v>
      </c>
      <c r="CD53" s="25">
        <v>0.5944789423445781</v>
      </c>
      <c r="CE53" s="25">
        <v>0.59419904873314222</v>
      </c>
      <c r="CF53" s="25">
        <v>0.59387511118452485</v>
      </c>
      <c r="CG53" s="25">
        <v>0.59350256579453475</v>
      </c>
      <c r="CH53" s="25">
        <v>0.59307650920311716</v>
      </c>
      <c r="CI53" s="25">
        <v>0.59259524153202159</v>
      </c>
      <c r="CJ53" s="25">
        <v>0.59205963573697462</v>
      </c>
      <c r="CK53" s="25">
        <v>0.59147229650461053</v>
      </c>
      <c r="CL53" s="25">
        <v>0.59083531820338908</v>
      </c>
      <c r="CM53" s="25">
        <v>0.59015654936294648</v>
      </c>
      <c r="CN53" s="25">
        <v>0.58944664168153327</v>
      </c>
      <c r="CO53" s="25">
        <v>0.58871332737309467</v>
      </c>
      <c r="CP53" s="25">
        <v>0.58796237552469699</v>
      </c>
      <c r="CQ53" s="25">
        <v>0.58719888244435947</v>
      </c>
      <c r="CR53" s="25">
        <v>0.58643916386299333</v>
      </c>
      <c r="CS53" s="25">
        <v>0.58570246788253721</v>
      </c>
      <c r="CT53" s="25">
        <v>0.58499554920040198</v>
      </c>
      <c r="CU53" s="25">
        <v>0.58432378600577739</v>
      </c>
      <c r="CV53" s="25">
        <v>0.58369074416192945</v>
      </c>
      <c r="CW53" s="25">
        <v>0.58309999315450767</v>
      </c>
      <c r="CX53" s="25">
        <v>0.58255517346036312</v>
      </c>
    </row>
    <row r="54" spans="1:102" s="24" customFormat="1" ht="15" customHeight="1" x14ac:dyDescent="0.2">
      <c r="A54" s="2" t="s">
        <v>142</v>
      </c>
      <c r="B54" s="25">
        <v>0.1776047726808081</v>
      </c>
      <c r="C54" s="25">
        <v>0.17779653084618979</v>
      </c>
      <c r="D54" s="25">
        <v>0.17896718947475271</v>
      </c>
      <c r="E54" s="25">
        <v>0.18054193323668341</v>
      </c>
      <c r="F54" s="25">
        <v>0.1807969942518739</v>
      </c>
      <c r="G54" s="25">
        <v>0.17756020942207371</v>
      </c>
      <c r="H54" s="25">
        <v>0.17622170544893481</v>
      </c>
      <c r="I54" s="25">
        <v>0.17914462390119751</v>
      </c>
      <c r="J54" s="25">
        <v>0.1821766163900862</v>
      </c>
      <c r="K54" s="25">
        <v>0.18530092013284369</v>
      </c>
      <c r="L54" s="25">
        <v>0.1883991727491777</v>
      </c>
      <c r="M54" s="25">
        <v>0.19124732917487419</v>
      </c>
      <c r="N54" s="25">
        <v>0.19396283661082911</v>
      </c>
      <c r="O54" s="25">
        <v>0.19643830521020789</v>
      </c>
      <c r="P54" s="25">
        <v>0.19877471455965501</v>
      </c>
      <c r="Q54" s="25">
        <v>0.20069673821703271</v>
      </c>
      <c r="R54" s="25">
        <v>0.20275238691165939</v>
      </c>
      <c r="S54" s="25">
        <v>0.20426013517057601</v>
      </c>
      <c r="T54" s="25">
        <v>0.20525829282898039</v>
      </c>
      <c r="U54" s="25">
        <v>0.2057728240974119</v>
      </c>
      <c r="V54" s="25">
        <v>0.2060880769881179</v>
      </c>
      <c r="W54" s="25">
        <v>0.2061698266047618</v>
      </c>
      <c r="X54" s="25">
        <v>0.2045237749234117</v>
      </c>
      <c r="Y54" s="25">
        <v>0.19962808390682199</v>
      </c>
      <c r="Z54" s="25">
        <v>0.19616529529014851</v>
      </c>
      <c r="AA54" s="25">
        <v>0.19682891830867019</v>
      </c>
      <c r="AB54" s="25">
        <v>0.19789869186466791</v>
      </c>
      <c r="AC54" s="25">
        <v>0.19893184160140401</v>
      </c>
      <c r="AD54" s="25">
        <v>0.199851096124669</v>
      </c>
      <c r="AE54" s="25">
        <v>0.20083015884633579</v>
      </c>
      <c r="AF54" s="25">
        <v>0.20181391595502041</v>
      </c>
      <c r="AG54" s="25">
        <v>0.20315071834722079</v>
      </c>
      <c r="AH54" s="25">
        <v>0.20456502717350791</v>
      </c>
      <c r="AI54" s="25">
        <v>0.20610423822137261</v>
      </c>
      <c r="AJ54" s="25">
        <v>0.20795983752227731</v>
      </c>
      <c r="AK54" s="25">
        <v>0.20975783933688741</v>
      </c>
      <c r="AL54" s="25">
        <v>0.21170880317858359</v>
      </c>
      <c r="AM54" s="25">
        <v>0.21381027942380951</v>
      </c>
      <c r="AN54" s="25">
        <v>0.21589073742321219</v>
      </c>
      <c r="AO54" s="25">
        <v>0.21779713860334321</v>
      </c>
      <c r="AP54" s="25">
        <v>0.21982831409720019</v>
      </c>
      <c r="AQ54" s="25">
        <v>0.22174073663418509</v>
      </c>
      <c r="AR54" s="25">
        <v>0.22366488629486861</v>
      </c>
      <c r="AS54" s="25">
        <v>0.2258721777948498</v>
      </c>
      <c r="AT54" s="25">
        <v>0.22798094593480181</v>
      </c>
      <c r="AU54" s="25">
        <v>0.23015948842870271</v>
      </c>
      <c r="AV54" s="25">
        <v>0.23216123288824519</v>
      </c>
      <c r="AW54" s="25">
        <v>0.2340405216319191</v>
      </c>
      <c r="AX54" s="25">
        <v>0.23594058163427251</v>
      </c>
      <c r="AY54" s="25">
        <v>0.23794604168379299</v>
      </c>
      <c r="AZ54" s="25">
        <v>0.24005732362675691</v>
      </c>
      <c r="BA54" s="25">
        <v>0.2420743512578642</v>
      </c>
      <c r="BB54" s="25">
        <v>0.2440098942429671</v>
      </c>
      <c r="BC54" s="25">
        <v>0.24601309018358189</v>
      </c>
      <c r="BD54" s="25">
        <v>0.2482881067560509</v>
      </c>
      <c r="BE54" s="25">
        <v>0.25040878495861763</v>
      </c>
      <c r="BF54" s="25">
        <v>0.25253778369249968</v>
      </c>
      <c r="BG54" s="25">
        <v>0.25473252071822039</v>
      </c>
      <c r="BH54" s="25">
        <v>0.256869143231373</v>
      </c>
      <c r="BI54" s="25">
        <v>0.25873193881179268</v>
      </c>
      <c r="BJ54" s="25">
        <v>0.26034810687032639</v>
      </c>
      <c r="BK54" s="25">
        <v>0.26189703625095939</v>
      </c>
      <c r="BL54" s="25">
        <v>0.26350030569931759</v>
      </c>
      <c r="BM54" s="25">
        <v>0.26483939451770172</v>
      </c>
      <c r="BN54" s="25">
        <v>0.26597485097814549</v>
      </c>
      <c r="BO54" s="25">
        <v>0.26701002937551449</v>
      </c>
      <c r="BP54" s="25">
        <v>0.26788949958924541</v>
      </c>
      <c r="BQ54" s="25">
        <v>0.26852874026386347</v>
      </c>
      <c r="BR54" s="25">
        <v>0.26923448297223762</v>
      </c>
      <c r="BS54" s="25">
        <v>0.26953886071244842</v>
      </c>
      <c r="BT54" s="25">
        <v>0.26982079180905078</v>
      </c>
      <c r="BU54" s="25">
        <v>0.27013523947503232</v>
      </c>
      <c r="BV54" s="25">
        <v>0.27047076775935092</v>
      </c>
      <c r="BW54" s="25">
        <v>0.27081578478608948</v>
      </c>
      <c r="BX54" s="25">
        <v>0.27116433578266452</v>
      </c>
      <c r="BY54" s="25">
        <v>0.27151576481388939</v>
      </c>
      <c r="BZ54" s="25">
        <v>0.27186901293983001</v>
      </c>
      <c r="CA54" s="25">
        <v>0.27222448937499261</v>
      </c>
      <c r="CB54" s="25">
        <v>0.27258182750409943</v>
      </c>
      <c r="CC54" s="25">
        <v>0.27294634146149788</v>
      </c>
      <c r="CD54" s="25">
        <v>0.27332449416784421</v>
      </c>
      <c r="CE54" s="25">
        <v>0.27372002403680862</v>
      </c>
      <c r="CF54" s="25">
        <v>0.27413673393983667</v>
      </c>
      <c r="CG54" s="25">
        <v>0.27458118177249008</v>
      </c>
      <c r="CH54" s="25">
        <v>0.27506081771636909</v>
      </c>
      <c r="CI54" s="25">
        <v>0.27558061355797903</v>
      </c>
      <c r="CJ54" s="25">
        <v>0.2761432493972355</v>
      </c>
      <c r="CK54" s="25">
        <v>0.27675026269713471</v>
      </c>
      <c r="CL54" s="25">
        <v>0.27740361502295968</v>
      </c>
      <c r="CM54" s="25">
        <v>0.27809935322354878</v>
      </c>
      <c r="CN54" s="25">
        <v>0.27883055355584618</v>
      </c>
      <c r="CO54" s="25">
        <v>0.27959278405952392</v>
      </c>
      <c r="CP54" s="25">
        <v>0.28038325274826548</v>
      </c>
      <c r="CQ54" s="25">
        <v>0.28119916706398401</v>
      </c>
      <c r="CR54" s="25">
        <v>0.28202580662347621</v>
      </c>
      <c r="CS54" s="25">
        <v>0.28284519388173818</v>
      </c>
      <c r="CT54" s="25">
        <v>0.28365095768506199</v>
      </c>
      <c r="CU54" s="25">
        <v>0.28443743108760572</v>
      </c>
      <c r="CV54" s="25">
        <v>0.28520037221773908</v>
      </c>
      <c r="CW54" s="25">
        <v>0.28593487883754348</v>
      </c>
      <c r="CX54" s="25">
        <v>0.28663552773341339</v>
      </c>
    </row>
    <row r="55" spans="1:102" s="24" customFormat="1" ht="15" customHeight="1" x14ac:dyDescent="0.2">
      <c r="A55" s="2" t="s">
        <v>145</v>
      </c>
      <c r="B55" s="29">
        <v>286.99181518937809</v>
      </c>
      <c r="C55" s="29">
        <v>282.28444809431568</v>
      </c>
      <c r="D55" s="29">
        <v>277.23553832110639</v>
      </c>
      <c r="E55" s="29">
        <v>272.81887916249428</v>
      </c>
      <c r="F55" s="29">
        <v>267.90141461455607</v>
      </c>
      <c r="G55" s="29">
        <v>261.48357855759087</v>
      </c>
      <c r="H55" s="29">
        <v>256.07827023783369</v>
      </c>
      <c r="I55" s="29">
        <v>252.96565599924341</v>
      </c>
      <c r="J55" s="29">
        <v>250.42768314820231</v>
      </c>
      <c r="K55" s="29">
        <v>248.03872808973341</v>
      </c>
      <c r="L55" s="29">
        <v>245.47921570472991</v>
      </c>
      <c r="M55" s="29">
        <v>243.43106949537551</v>
      </c>
      <c r="N55" s="29">
        <v>241.81518578642149</v>
      </c>
      <c r="O55" s="29">
        <v>240.36168197899499</v>
      </c>
      <c r="P55" s="29">
        <v>239.25179996681851</v>
      </c>
      <c r="Q55" s="29">
        <v>238.58826747009371</v>
      </c>
      <c r="R55" s="29">
        <v>237.88107812946359</v>
      </c>
      <c r="S55" s="29">
        <v>237.9558899582224</v>
      </c>
      <c r="T55" s="29">
        <v>237.9589377470283</v>
      </c>
      <c r="U55" s="29">
        <v>237.7700085519887</v>
      </c>
      <c r="V55" s="29">
        <v>237.51586562913971</v>
      </c>
      <c r="W55" s="29">
        <v>237.1939356016189</v>
      </c>
      <c r="X55" s="29">
        <v>236.24756555685701</v>
      </c>
      <c r="Y55" s="29">
        <v>234.12873402452871</v>
      </c>
      <c r="Z55" s="29">
        <v>232.5458678348721</v>
      </c>
      <c r="AA55" s="29">
        <v>232.4303013779876</v>
      </c>
      <c r="AB55" s="29">
        <v>232.4207852559305</v>
      </c>
      <c r="AC55" s="29">
        <v>232.32112431239929</v>
      </c>
      <c r="AD55" s="29">
        <v>232.08317790019979</v>
      </c>
      <c r="AE55" s="29">
        <v>231.75980570460931</v>
      </c>
      <c r="AF55" s="29">
        <v>231.32592173481279</v>
      </c>
      <c r="AG55" s="29">
        <v>230.89566982115679</v>
      </c>
      <c r="AH55" s="29">
        <v>230.3600936856015</v>
      </c>
      <c r="AI55" s="29">
        <v>229.7388790341486</v>
      </c>
      <c r="AJ55" s="29">
        <v>229.11366884491221</v>
      </c>
      <c r="AK55" s="29">
        <v>228.36732643089411</v>
      </c>
      <c r="AL55" s="29">
        <v>227.58722295776499</v>
      </c>
      <c r="AM55" s="29">
        <v>226.7952506746505</v>
      </c>
      <c r="AN55" s="29">
        <v>225.96083661697389</v>
      </c>
      <c r="AO55" s="29">
        <v>225.05275996725251</v>
      </c>
      <c r="AP55" s="29">
        <v>224.19533357885209</v>
      </c>
      <c r="AQ55" s="29">
        <v>223.31513485373679</v>
      </c>
      <c r="AR55" s="29">
        <v>222.4923573862811</v>
      </c>
      <c r="AS55" s="29">
        <v>221.86382315699191</v>
      </c>
      <c r="AT55" s="29">
        <v>221.312061812129</v>
      </c>
      <c r="AU55" s="29">
        <v>220.90689243045881</v>
      </c>
      <c r="AV55" s="29">
        <v>220.566782268027</v>
      </c>
      <c r="AW55" s="29">
        <v>220.31528898448849</v>
      </c>
      <c r="AX55" s="29">
        <v>220.20641830837249</v>
      </c>
      <c r="AY55" s="29">
        <v>220.26542403714481</v>
      </c>
      <c r="AZ55" s="29">
        <v>220.47968169216011</v>
      </c>
      <c r="BA55" s="29">
        <v>220.7644122604537</v>
      </c>
      <c r="BB55" s="29">
        <v>221.11201701379321</v>
      </c>
      <c r="BC55" s="29">
        <v>221.563796681279</v>
      </c>
      <c r="BD55" s="29">
        <v>222.17785544914889</v>
      </c>
      <c r="BE55" s="29">
        <v>222.7851587319868</v>
      </c>
      <c r="BF55" s="29">
        <v>223.42760961112299</v>
      </c>
      <c r="BG55" s="29">
        <v>224.11455178524599</v>
      </c>
      <c r="BH55" s="29">
        <v>224.78971102025139</v>
      </c>
      <c r="BI55" s="29">
        <v>225.3568721795863</v>
      </c>
      <c r="BJ55" s="29">
        <v>225.81136265885871</v>
      </c>
      <c r="BK55" s="29">
        <v>226.21012499771589</v>
      </c>
      <c r="BL55" s="29">
        <v>226.5913082828304</v>
      </c>
      <c r="BM55" s="29">
        <v>226.83035859978429</v>
      </c>
      <c r="BN55" s="29">
        <v>226.94699603649909</v>
      </c>
      <c r="BO55" s="29">
        <v>226.97828416012291</v>
      </c>
      <c r="BP55" s="29">
        <v>226.90476084142739</v>
      </c>
      <c r="BQ55" s="29">
        <v>226.69794062047839</v>
      </c>
      <c r="BR55" s="29">
        <v>226.47970246984499</v>
      </c>
      <c r="BS55" s="29">
        <v>226.0791213668405</v>
      </c>
      <c r="BT55" s="29">
        <v>225.64856548480961</v>
      </c>
      <c r="BU55" s="29">
        <v>225.2179273058116</v>
      </c>
      <c r="BV55" s="29">
        <v>224.79209180732201</v>
      </c>
      <c r="BW55" s="29">
        <v>224.37662522459041</v>
      </c>
      <c r="BX55" s="29">
        <v>223.97879849959989</v>
      </c>
      <c r="BY55" s="29">
        <v>223.6070852559053</v>
      </c>
      <c r="BZ55" s="29">
        <v>223.2692373055018</v>
      </c>
      <c r="CA55" s="29">
        <v>222.9720313544326</v>
      </c>
      <c r="CB55" s="29">
        <v>222.72023292198239</v>
      </c>
      <c r="CC55" s="29">
        <v>222.51965932379559</v>
      </c>
      <c r="CD55" s="29">
        <v>222.37383710549091</v>
      </c>
      <c r="CE55" s="29">
        <v>222.28397623936169</v>
      </c>
      <c r="CF55" s="29">
        <v>222.2490089075782</v>
      </c>
      <c r="CG55" s="29">
        <v>222.26736670695939</v>
      </c>
      <c r="CH55" s="29">
        <v>222.33669861193809</v>
      </c>
      <c r="CI55" s="29">
        <v>222.45225015509371</v>
      </c>
      <c r="CJ55" s="29">
        <v>222.60783696516231</v>
      </c>
      <c r="CK55" s="29">
        <v>222.7956264004456</v>
      </c>
      <c r="CL55" s="29">
        <v>223.00810854420479</v>
      </c>
      <c r="CM55" s="29">
        <v>223.2358474301742</v>
      </c>
      <c r="CN55" s="29">
        <v>223.46858128981901</v>
      </c>
      <c r="CO55" s="29">
        <v>223.6978210685572</v>
      </c>
      <c r="CP55" s="29">
        <v>223.9163205120895</v>
      </c>
      <c r="CQ55" s="29">
        <v>224.118189639311</v>
      </c>
      <c r="CR55" s="29">
        <v>224.29441554872071</v>
      </c>
      <c r="CS55" s="29">
        <v>224.43534976206959</v>
      </c>
      <c r="CT55" s="29">
        <v>224.53759399379331</v>
      </c>
      <c r="CU55" s="29">
        <v>224.59941910583001</v>
      </c>
      <c r="CV55" s="29">
        <v>224.62046028942811</v>
      </c>
      <c r="CW55" s="29">
        <v>224.6014912458526</v>
      </c>
      <c r="CX55" s="29">
        <v>224.54405138867719</v>
      </c>
    </row>
    <row r="56" spans="1:102" s="24" customFormat="1" ht="32.450000000000003" customHeight="1" x14ac:dyDescent="0.2">
      <c r="A56" s="30" t="s">
        <v>146</v>
      </c>
      <c r="B56" s="29">
        <v>277.93922093136632</v>
      </c>
      <c r="C56" s="29">
        <v>277.28626183471022</v>
      </c>
      <c r="D56" s="29">
        <v>278.40940296206611</v>
      </c>
      <c r="E56" s="29">
        <v>280.42579654111512</v>
      </c>
      <c r="F56" s="29">
        <v>279.82412559713077</v>
      </c>
      <c r="G56" s="29">
        <v>272.34733892653242</v>
      </c>
      <c r="H56" s="29">
        <v>268.69881911526608</v>
      </c>
      <c r="I56" s="29">
        <v>273.44897498494822</v>
      </c>
      <c r="J56" s="29">
        <v>278.54264003912363</v>
      </c>
      <c r="K56" s="29">
        <v>283.86275422596628</v>
      </c>
      <c r="L56" s="29">
        <v>289.11657804723848</v>
      </c>
      <c r="M56" s="29">
        <v>294.03658205101289</v>
      </c>
      <c r="N56" s="29">
        <v>298.82740762071182</v>
      </c>
      <c r="O56" s="29">
        <v>303.21821987716271</v>
      </c>
      <c r="P56" s="29">
        <v>307.44402015540669</v>
      </c>
      <c r="Q56" s="29">
        <v>310.99663564569562</v>
      </c>
      <c r="R56" s="29">
        <v>314.81228564771692</v>
      </c>
      <c r="S56" s="29">
        <v>317.77349432189328</v>
      </c>
      <c r="T56" s="29">
        <v>319.72820334148298</v>
      </c>
      <c r="U56" s="29">
        <v>320.68838484829081</v>
      </c>
      <c r="V56" s="29">
        <v>321.24125812628517</v>
      </c>
      <c r="W56" s="29">
        <v>321.31817072220491</v>
      </c>
      <c r="X56" s="29">
        <v>317.84987517788193</v>
      </c>
      <c r="Y56" s="29">
        <v>307.81534123567008</v>
      </c>
      <c r="Z56" s="29">
        <v>300.7866203161168</v>
      </c>
      <c r="AA56" s="29">
        <v>302.02522057969702</v>
      </c>
      <c r="AB56" s="29">
        <v>304.06939716376212</v>
      </c>
      <c r="AC56" s="29">
        <v>306.02628269965197</v>
      </c>
      <c r="AD56" s="29">
        <v>307.73418850859957</v>
      </c>
      <c r="AE56" s="29">
        <v>309.53935534289423</v>
      </c>
      <c r="AF56" s="29">
        <v>311.32928905864509</v>
      </c>
      <c r="AG56" s="29">
        <v>313.80757351753761</v>
      </c>
      <c r="AH56" s="29">
        <v>316.41636915164338</v>
      </c>
      <c r="AI56" s="29">
        <v>319.25399665404939</v>
      </c>
      <c r="AJ56" s="29">
        <v>322.71883545626059</v>
      </c>
      <c r="AK56" s="29">
        <v>326.05154360274139</v>
      </c>
      <c r="AL56" s="29">
        <v>329.68910831131171</v>
      </c>
      <c r="AM56" s="29">
        <v>333.63630746826777</v>
      </c>
      <c r="AN56" s="29">
        <v>337.54682121651018</v>
      </c>
      <c r="AO56" s="29">
        <v>341.10458926548768</v>
      </c>
      <c r="AP56" s="29">
        <v>344.94048062624381</v>
      </c>
      <c r="AQ56" s="29">
        <v>348.54554504764292</v>
      </c>
      <c r="AR56" s="29">
        <v>352.20436288935201</v>
      </c>
      <c r="AS56" s="29">
        <v>356.51094662771681</v>
      </c>
      <c r="AT56" s="29">
        <v>360.65933563085088</v>
      </c>
      <c r="AU56" s="29">
        <v>365.01496291397348</v>
      </c>
      <c r="AV56" s="29">
        <v>369.04660344212698</v>
      </c>
      <c r="AW56" s="29">
        <v>372.86989045142349</v>
      </c>
      <c r="AX56" s="29">
        <v>376.79819805813099</v>
      </c>
      <c r="AY56" s="29">
        <v>381.01938095668658</v>
      </c>
      <c r="AZ56" s="29">
        <v>385.53577136383581</v>
      </c>
      <c r="BA56" s="29">
        <v>389.90071602284388</v>
      </c>
      <c r="BB56" s="29">
        <v>394.13665848440888</v>
      </c>
      <c r="BC56" s="29">
        <v>398.57546671615478</v>
      </c>
      <c r="BD56" s="29">
        <v>403.68155482962658</v>
      </c>
      <c r="BE56" s="29">
        <v>408.48417073111398</v>
      </c>
      <c r="BF56" s="29">
        <v>413.34757837752858</v>
      </c>
      <c r="BG56" s="29">
        <v>418.40251197411112</v>
      </c>
      <c r="BH56" s="29">
        <v>423.35839084438197</v>
      </c>
      <c r="BI56" s="29">
        <v>427.69812416736852</v>
      </c>
      <c r="BJ56" s="29">
        <v>431.47008831141949</v>
      </c>
      <c r="BK56" s="29">
        <v>435.08942970050191</v>
      </c>
      <c r="BL56" s="29">
        <v>438.84225234817228</v>
      </c>
      <c r="BM56" s="29">
        <v>441.96194263475837</v>
      </c>
      <c r="BN56" s="29">
        <v>444.58564514275918</v>
      </c>
      <c r="BO56" s="29">
        <v>446.95769495671851</v>
      </c>
      <c r="BP56" s="29">
        <v>448.94165872647358</v>
      </c>
      <c r="BQ56" s="29">
        <v>450.33027380722842</v>
      </c>
      <c r="BR56" s="29">
        <v>451.86947232195058</v>
      </c>
      <c r="BS56" s="29">
        <v>452.42101426348921</v>
      </c>
      <c r="BT56" s="29">
        <v>452.91000169407158</v>
      </c>
      <c r="BU56" s="29">
        <v>453.47378871093753</v>
      </c>
      <c r="BV56" s="29">
        <v>454.08798273820491</v>
      </c>
      <c r="BW56" s="29">
        <v>454.72805049224797</v>
      </c>
      <c r="BX56" s="29">
        <v>455.38303653625383</v>
      </c>
      <c r="BY56" s="29">
        <v>456.05463720168842</v>
      </c>
      <c r="BZ56" s="29">
        <v>456.74336900377398</v>
      </c>
      <c r="CA56" s="29">
        <v>457.45278852464622</v>
      </c>
      <c r="CB56" s="29">
        <v>458.18392805960639</v>
      </c>
      <c r="CC56" s="29">
        <v>458.95136412344488</v>
      </c>
      <c r="CD56" s="29">
        <v>459.77153217551142</v>
      </c>
      <c r="CE56" s="29">
        <v>460.65375671736842</v>
      </c>
      <c r="CF56" s="29">
        <v>461.60670615249751</v>
      </c>
      <c r="CG56" s="29">
        <v>462.64531545015689</v>
      </c>
      <c r="CH56" s="29">
        <v>463.78639762001791</v>
      </c>
      <c r="CI56" s="29">
        <v>465.04020660970451</v>
      </c>
      <c r="CJ56" s="29">
        <v>466.41120713034638</v>
      </c>
      <c r="CK56" s="29">
        <v>467.90063428605129</v>
      </c>
      <c r="CL56" s="29">
        <v>469.51088818875633</v>
      </c>
      <c r="CM56" s="29">
        <v>471.22980084478837</v>
      </c>
      <c r="CN56" s="29">
        <v>473.03781858934241</v>
      </c>
      <c r="CO56" s="29">
        <v>474.92178460966483</v>
      </c>
      <c r="CP56" s="29">
        <v>476.87278033403368</v>
      </c>
      <c r="CQ56" s="29">
        <v>478.88232670577207</v>
      </c>
      <c r="CR56" s="29">
        <v>480.91229918158132</v>
      </c>
      <c r="CS56" s="29">
        <v>482.91617227479878</v>
      </c>
      <c r="CT56" s="29">
        <v>484.87712098454222</v>
      </c>
      <c r="CU56" s="29">
        <v>486.78051090802819</v>
      </c>
      <c r="CV56" s="29">
        <v>488.61554696611381</v>
      </c>
      <c r="CW56" s="29">
        <v>490.37023185451739</v>
      </c>
      <c r="CX56" s="29">
        <v>492.03155476382699</v>
      </c>
    </row>
    <row r="57" spans="1:102" s="24" customFormat="1" ht="34.35" customHeight="1" x14ac:dyDescent="0.2">
      <c r="A57" s="30" t="s">
        <v>147</v>
      </c>
      <c r="B57" s="29">
        <v>564.93103612074447</v>
      </c>
      <c r="C57" s="29">
        <v>559.57070992902584</v>
      </c>
      <c r="D57" s="29">
        <v>555.64494128317244</v>
      </c>
      <c r="E57" s="29">
        <v>553.24467570360935</v>
      </c>
      <c r="F57" s="29">
        <v>547.72554021168685</v>
      </c>
      <c r="G57" s="29">
        <v>533.83091748412335</v>
      </c>
      <c r="H57" s="29">
        <v>524.77708935309988</v>
      </c>
      <c r="I57" s="29">
        <v>526.4146309841916</v>
      </c>
      <c r="J57" s="29">
        <v>528.9703231873259</v>
      </c>
      <c r="K57" s="29">
        <v>531.9014823156997</v>
      </c>
      <c r="L57" s="29">
        <v>534.59579375196847</v>
      </c>
      <c r="M57" s="29">
        <v>537.46765154638842</v>
      </c>
      <c r="N57" s="29">
        <v>540.64259340713329</v>
      </c>
      <c r="O57" s="29">
        <v>543.57990185615768</v>
      </c>
      <c r="P57" s="29">
        <v>546.69582012222531</v>
      </c>
      <c r="Q57" s="29">
        <v>549.5849031157893</v>
      </c>
      <c r="R57" s="29">
        <v>552.69336377718059</v>
      </c>
      <c r="S57" s="29">
        <v>555.72938428011571</v>
      </c>
      <c r="T57" s="29">
        <v>557.68714108851134</v>
      </c>
      <c r="U57" s="29">
        <v>558.45839340027942</v>
      </c>
      <c r="V57" s="29">
        <v>558.75712375542491</v>
      </c>
      <c r="W57" s="29">
        <v>558.51210632382379</v>
      </c>
      <c r="X57" s="29">
        <v>554.09744073473894</v>
      </c>
      <c r="Y57" s="29">
        <v>541.94407526019882</v>
      </c>
      <c r="Z57" s="29">
        <v>533.33248815098887</v>
      </c>
      <c r="AA57" s="29">
        <v>534.4555219576846</v>
      </c>
      <c r="AB57" s="29">
        <v>536.49018241969247</v>
      </c>
      <c r="AC57" s="29">
        <v>538.34740701205124</v>
      </c>
      <c r="AD57" s="29">
        <v>539.81736640879944</v>
      </c>
      <c r="AE57" s="29">
        <v>541.2991610475035</v>
      </c>
      <c r="AF57" s="29">
        <v>542.65521079345785</v>
      </c>
      <c r="AG57" s="29">
        <v>544.70324333869439</v>
      </c>
      <c r="AH57" s="29">
        <v>546.77646283724482</v>
      </c>
      <c r="AI57" s="29">
        <v>548.99287568819796</v>
      </c>
      <c r="AJ57" s="29">
        <v>551.83250430117278</v>
      </c>
      <c r="AK57" s="29">
        <v>554.41887003363559</v>
      </c>
      <c r="AL57" s="29">
        <v>557.27633126907665</v>
      </c>
      <c r="AM57" s="29">
        <v>560.43155814291822</v>
      </c>
      <c r="AN57" s="29">
        <v>563.50765783348402</v>
      </c>
      <c r="AO57" s="29">
        <v>566.15734923274022</v>
      </c>
      <c r="AP57" s="29">
        <v>569.13581420509593</v>
      </c>
      <c r="AQ57" s="29">
        <v>571.86067990137963</v>
      </c>
      <c r="AR57" s="29">
        <v>574.69672027563308</v>
      </c>
      <c r="AS57" s="29">
        <v>578.37476978470875</v>
      </c>
      <c r="AT57" s="29">
        <v>581.97139744297988</v>
      </c>
      <c r="AU57" s="29">
        <v>585.92185534443229</v>
      </c>
      <c r="AV57" s="29">
        <v>589.61338571015403</v>
      </c>
      <c r="AW57" s="29">
        <v>593.18517943591212</v>
      </c>
      <c r="AX57" s="29">
        <v>597.00461636650357</v>
      </c>
      <c r="AY57" s="29">
        <v>601.28480499383136</v>
      </c>
      <c r="AZ57" s="29">
        <v>606.01545305599598</v>
      </c>
      <c r="BA57" s="29">
        <v>610.66512828329769</v>
      </c>
      <c r="BB57" s="29">
        <v>615.24867549820215</v>
      </c>
      <c r="BC57" s="29">
        <v>620.13926339743387</v>
      </c>
      <c r="BD57" s="29">
        <v>625.85941027877539</v>
      </c>
      <c r="BE57" s="29">
        <v>631.2693294631008</v>
      </c>
      <c r="BF57" s="29">
        <v>636.77518798865162</v>
      </c>
      <c r="BG57" s="29">
        <v>642.51706375935714</v>
      </c>
      <c r="BH57" s="29">
        <v>648.14810186463342</v>
      </c>
      <c r="BI57" s="29">
        <v>653.05499634695479</v>
      </c>
      <c r="BJ57" s="29">
        <v>657.28145097027823</v>
      </c>
      <c r="BK57" s="29">
        <v>661.29955469821766</v>
      </c>
      <c r="BL57" s="29">
        <v>665.43356063100271</v>
      </c>
      <c r="BM57" s="29">
        <v>668.79230123454272</v>
      </c>
      <c r="BN57" s="29">
        <v>671.53264117925823</v>
      </c>
      <c r="BO57" s="29">
        <v>673.93597911684139</v>
      </c>
      <c r="BP57" s="29">
        <v>675.84641956790108</v>
      </c>
      <c r="BQ57" s="29">
        <v>677.02821442770676</v>
      </c>
      <c r="BR57" s="29">
        <v>678.34917479179558</v>
      </c>
      <c r="BS57" s="29">
        <v>678.50013563032974</v>
      </c>
      <c r="BT57" s="29">
        <v>678.55856717888128</v>
      </c>
      <c r="BU57" s="29">
        <v>678.69171601674907</v>
      </c>
      <c r="BV57" s="29">
        <v>678.8800745455269</v>
      </c>
      <c r="BW57" s="29">
        <v>679.1046757168383</v>
      </c>
      <c r="BX57" s="29">
        <v>679.36183503585369</v>
      </c>
      <c r="BY57" s="29">
        <v>679.66172245759367</v>
      </c>
      <c r="BZ57" s="29">
        <v>680.01260630927584</v>
      </c>
      <c r="CA57" s="29">
        <v>680.42481987907877</v>
      </c>
      <c r="CB57" s="29">
        <v>680.90416098158892</v>
      </c>
      <c r="CC57" s="29">
        <v>681.47102344724044</v>
      </c>
      <c r="CD57" s="29">
        <v>682.14536928100233</v>
      </c>
      <c r="CE57" s="29">
        <v>682.93773295673009</v>
      </c>
      <c r="CF57" s="29">
        <v>683.85571506007568</v>
      </c>
      <c r="CG57" s="29">
        <v>684.91268215711625</v>
      </c>
      <c r="CH57" s="29">
        <v>686.12309623195597</v>
      </c>
      <c r="CI57" s="29">
        <v>687.49245676479813</v>
      </c>
      <c r="CJ57" s="29">
        <v>689.01904409550866</v>
      </c>
      <c r="CK57" s="29">
        <v>690.69626068649688</v>
      </c>
      <c r="CL57" s="29">
        <v>692.51899673296111</v>
      </c>
      <c r="CM57" s="29">
        <v>694.46564827496252</v>
      </c>
      <c r="CN57" s="29">
        <v>696.50639987916134</v>
      </c>
      <c r="CO57" s="29">
        <v>698.61960567822189</v>
      </c>
      <c r="CP57" s="29">
        <v>700.78910084612312</v>
      </c>
      <c r="CQ57" s="29">
        <v>703.00051634508316</v>
      </c>
      <c r="CR57" s="29">
        <v>705.206714730302</v>
      </c>
      <c r="CS57" s="29">
        <v>707.35152203686846</v>
      </c>
      <c r="CT57" s="29">
        <v>709.4147149783355</v>
      </c>
      <c r="CU57" s="29">
        <v>711.37993001385826</v>
      </c>
      <c r="CV57" s="29">
        <v>713.23600725554184</v>
      </c>
      <c r="CW57" s="29">
        <v>714.97172310037001</v>
      </c>
      <c r="CX57" s="29">
        <v>716.57560615250418</v>
      </c>
    </row>
  </sheetData>
  <pageMargins left="0.7" right="0.7" top="0.75" bottom="0.75" header="0.3" footer="0.3"/>
  <pageSetup paperSize="9" orientation="portrait" horizontalDpi="300" verticalDpi="0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1686-7EDC-40F7-A141-C785C0B2D32F}">
  <dimension ref="A1:CY57"/>
  <sheetViews>
    <sheetView topLeftCell="W1" workbookViewId="0"/>
  </sheetViews>
  <sheetFormatPr defaultColWidth="7.44140625" defaultRowHeight="12.75" x14ac:dyDescent="0.2"/>
  <cols>
    <col min="1" max="1" width="31.33203125" style="19" customWidth="1"/>
    <col min="2" max="2" width="11.88671875" style="19" customWidth="1"/>
    <col min="3" max="3" width="11.6640625" style="19" customWidth="1"/>
    <col min="4" max="102" width="9.44140625" style="19" customWidth="1"/>
    <col min="103" max="103" width="7.44140625" style="19" customWidth="1"/>
    <col min="104" max="16384" width="7.44140625" style="19"/>
  </cols>
  <sheetData>
    <row r="1" spans="1:103" s="2" customFormat="1" ht="28.7" customHeight="1" x14ac:dyDescent="0.3">
      <c r="A1" s="1" t="s">
        <v>0</v>
      </c>
    </row>
    <row r="2" spans="1:103" s="2" customFormat="1" ht="15.6" customHeight="1" x14ac:dyDescent="0.2">
      <c r="A2" s="3" t="s">
        <v>1</v>
      </c>
    </row>
    <row r="3" spans="1:103" s="2" customFormat="1" ht="15.6" customHeight="1" x14ac:dyDescent="0.2">
      <c r="A3" s="3" t="s">
        <v>175</v>
      </c>
    </row>
    <row r="4" spans="1:103" s="2" customFormat="1" ht="13.7" customHeight="1" x14ac:dyDescent="0.2">
      <c r="A4" s="4" t="s">
        <v>3</v>
      </c>
    </row>
    <row r="5" spans="1:103" s="2" customFormat="1" ht="13.7" customHeight="1" x14ac:dyDescent="0.2">
      <c r="A5" s="4" t="s">
        <v>4</v>
      </c>
    </row>
    <row r="6" spans="1:103" s="2" customFormat="1" ht="28.7" customHeight="1" x14ac:dyDescent="0.25">
      <c r="A6" s="5" t="s">
        <v>5</v>
      </c>
    </row>
    <row r="7" spans="1:103" s="8" customFormat="1" ht="15.6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  <c r="R7" s="7" t="s">
        <v>23</v>
      </c>
      <c r="S7" s="7" t="s">
        <v>24</v>
      </c>
      <c r="T7" s="7" t="s">
        <v>25</v>
      </c>
      <c r="U7" s="7" t="s">
        <v>26</v>
      </c>
      <c r="V7" s="7" t="s">
        <v>27</v>
      </c>
      <c r="W7" s="7" t="s">
        <v>28</v>
      </c>
      <c r="X7" s="7" t="s">
        <v>29</v>
      </c>
      <c r="Y7" s="7" t="s">
        <v>30</v>
      </c>
      <c r="Z7" s="7" t="s">
        <v>31</v>
      </c>
      <c r="AA7" s="7" t="s">
        <v>32</v>
      </c>
      <c r="AB7" s="7" t="s">
        <v>33</v>
      </c>
      <c r="AC7" s="7" t="s">
        <v>34</v>
      </c>
      <c r="AD7" s="7" t="s">
        <v>35</v>
      </c>
      <c r="AE7" s="7" t="s">
        <v>36</v>
      </c>
      <c r="AF7" s="7" t="s">
        <v>37</v>
      </c>
      <c r="AG7" s="7" t="s">
        <v>38</v>
      </c>
      <c r="AH7" s="7" t="s">
        <v>39</v>
      </c>
      <c r="AI7" s="7" t="s">
        <v>40</v>
      </c>
      <c r="AJ7" s="7" t="s">
        <v>41</v>
      </c>
      <c r="AK7" s="7" t="s">
        <v>42</v>
      </c>
      <c r="AL7" s="7" t="s">
        <v>43</v>
      </c>
      <c r="AM7" s="7" t="s">
        <v>44</v>
      </c>
      <c r="AN7" s="7" t="s">
        <v>45</v>
      </c>
      <c r="AO7" s="7" t="s">
        <v>46</v>
      </c>
      <c r="AP7" s="7" t="s">
        <v>47</v>
      </c>
      <c r="AQ7" s="7" t="s">
        <v>48</v>
      </c>
      <c r="AR7" s="7" t="s">
        <v>49</v>
      </c>
      <c r="AS7" s="7" t="s">
        <v>50</v>
      </c>
      <c r="AT7" s="7" t="s">
        <v>51</v>
      </c>
      <c r="AU7" s="7" t="s">
        <v>52</v>
      </c>
      <c r="AV7" s="7" t="s">
        <v>53</v>
      </c>
      <c r="AW7" s="7" t="s">
        <v>54</v>
      </c>
      <c r="AX7" s="7" t="s">
        <v>55</v>
      </c>
      <c r="AY7" s="7" t="s">
        <v>56</v>
      </c>
      <c r="AZ7" s="7" t="s">
        <v>57</v>
      </c>
      <c r="BA7" s="7" t="s">
        <v>58</v>
      </c>
      <c r="BB7" s="7" t="s">
        <v>59</v>
      </c>
      <c r="BC7" s="7" t="s">
        <v>60</v>
      </c>
      <c r="BD7" s="7" t="s">
        <v>61</v>
      </c>
      <c r="BE7" s="7" t="s">
        <v>62</v>
      </c>
      <c r="BF7" s="7" t="s">
        <v>63</v>
      </c>
      <c r="BG7" s="7" t="s">
        <v>64</v>
      </c>
      <c r="BH7" s="7" t="s">
        <v>65</v>
      </c>
      <c r="BI7" s="7" t="s">
        <v>66</v>
      </c>
      <c r="BJ7" s="7" t="s">
        <v>67</v>
      </c>
      <c r="BK7" s="7" t="s">
        <v>68</v>
      </c>
      <c r="BL7" s="7" t="s">
        <v>69</v>
      </c>
      <c r="BM7" s="7" t="s">
        <v>70</v>
      </c>
      <c r="BN7" s="7" t="s">
        <v>71</v>
      </c>
      <c r="BO7" s="7" t="s">
        <v>72</v>
      </c>
      <c r="BP7" s="7" t="s">
        <v>73</v>
      </c>
      <c r="BQ7" s="7" t="s">
        <v>74</v>
      </c>
      <c r="BR7" s="7" t="s">
        <v>75</v>
      </c>
      <c r="BS7" s="7" t="s">
        <v>76</v>
      </c>
      <c r="BT7" s="7" t="s">
        <v>77</v>
      </c>
      <c r="BU7" s="7" t="s">
        <v>78</v>
      </c>
      <c r="BV7" s="7" t="s">
        <v>79</v>
      </c>
      <c r="BW7" s="7" t="s">
        <v>80</v>
      </c>
      <c r="BX7" s="7" t="s">
        <v>81</v>
      </c>
      <c r="BY7" s="7" t="s">
        <v>82</v>
      </c>
      <c r="BZ7" s="7" t="s">
        <v>83</v>
      </c>
      <c r="CA7" s="7" t="s">
        <v>84</v>
      </c>
      <c r="CB7" s="7" t="s">
        <v>85</v>
      </c>
      <c r="CC7" s="7" t="s">
        <v>86</v>
      </c>
      <c r="CD7" s="7" t="s">
        <v>87</v>
      </c>
      <c r="CE7" s="7" t="s">
        <v>88</v>
      </c>
      <c r="CF7" s="7" t="s">
        <v>89</v>
      </c>
      <c r="CG7" s="7" t="s">
        <v>90</v>
      </c>
      <c r="CH7" s="7" t="s">
        <v>91</v>
      </c>
      <c r="CI7" s="7" t="s">
        <v>92</v>
      </c>
      <c r="CJ7" s="7" t="s">
        <v>93</v>
      </c>
      <c r="CK7" s="7" t="s">
        <v>94</v>
      </c>
      <c r="CL7" s="7" t="s">
        <v>95</v>
      </c>
      <c r="CM7" s="7" t="s">
        <v>96</v>
      </c>
      <c r="CN7" s="7" t="s">
        <v>97</v>
      </c>
      <c r="CO7" s="7" t="s">
        <v>98</v>
      </c>
      <c r="CP7" s="7" t="s">
        <v>99</v>
      </c>
      <c r="CQ7" s="7" t="s">
        <v>100</v>
      </c>
      <c r="CR7" s="7" t="s">
        <v>101</v>
      </c>
      <c r="CS7" s="7" t="s">
        <v>102</v>
      </c>
      <c r="CT7" s="7" t="s">
        <v>103</v>
      </c>
      <c r="CU7" s="7" t="s">
        <v>104</v>
      </c>
      <c r="CV7" s="7" t="s">
        <v>105</v>
      </c>
      <c r="CW7" s="7" t="s">
        <v>106</v>
      </c>
      <c r="CX7" s="7" t="s">
        <v>107</v>
      </c>
    </row>
    <row r="8" spans="1:103" s="2" customFormat="1" ht="15" customHeight="1" x14ac:dyDescent="0.2">
      <c r="A8" s="9" t="s">
        <v>108</v>
      </c>
      <c r="B8" s="10" t="s">
        <v>109</v>
      </c>
      <c r="C8" s="11">
        <v>67602.760999999999</v>
      </c>
      <c r="D8" s="11">
        <v>68492.494999999995</v>
      </c>
      <c r="E8" s="11">
        <v>69226.231</v>
      </c>
      <c r="F8" s="11">
        <v>69812.630999999994</v>
      </c>
      <c r="G8" s="11">
        <v>70247.112999999998</v>
      </c>
      <c r="H8" s="11">
        <v>70525.251000000004</v>
      </c>
      <c r="I8" s="11">
        <v>70642.365999999995</v>
      </c>
      <c r="J8" s="11">
        <v>70748.183999999994</v>
      </c>
      <c r="K8" s="11">
        <v>70841.941999999995</v>
      </c>
      <c r="L8" s="11">
        <v>70923.130999999994</v>
      </c>
      <c r="M8" s="11">
        <v>70991.456000000006</v>
      </c>
      <c r="N8" s="11">
        <v>71047.179999999993</v>
      </c>
      <c r="O8" s="11">
        <v>71090.845000000001</v>
      </c>
      <c r="P8" s="11">
        <v>71122.831999999995</v>
      </c>
      <c r="Q8" s="11">
        <v>71143.8</v>
      </c>
      <c r="R8" s="11">
        <v>71154.554999999993</v>
      </c>
      <c r="S8" s="11">
        <v>71156.042000000001</v>
      </c>
      <c r="T8" s="11">
        <v>71149.096000000005</v>
      </c>
      <c r="U8" s="11">
        <v>71134.407999999996</v>
      </c>
      <c r="V8" s="11">
        <v>71112.67</v>
      </c>
      <c r="W8" s="11">
        <v>71084.426000000007</v>
      </c>
      <c r="X8" s="11">
        <v>71049.754000000001</v>
      </c>
      <c r="Y8" s="11">
        <v>71008.509000000005</v>
      </c>
      <c r="Z8" s="11">
        <v>70960.588000000003</v>
      </c>
      <c r="AA8" s="11">
        <v>70905.847999999998</v>
      </c>
      <c r="AB8" s="11">
        <v>70844.130999999994</v>
      </c>
      <c r="AC8" s="11">
        <v>70774.277000000002</v>
      </c>
      <c r="AD8" s="11">
        <v>70694.92</v>
      </c>
      <c r="AE8" s="11">
        <v>70605.494000000006</v>
      </c>
      <c r="AF8" s="11">
        <v>70505.698000000004</v>
      </c>
      <c r="AG8" s="11">
        <v>70395.486999999994</v>
      </c>
      <c r="AH8" s="11">
        <v>70274.803</v>
      </c>
      <c r="AI8" s="11">
        <v>70143.804999999993</v>
      </c>
      <c r="AJ8" s="11">
        <v>70003.176000000007</v>
      </c>
      <c r="AK8" s="11">
        <v>69853.971999999994</v>
      </c>
      <c r="AL8" s="11">
        <v>69697.316999999995</v>
      </c>
      <c r="AM8" s="11">
        <v>69534.263999999996</v>
      </c>
      <c r="AN8" s="11">
        <v>69365.808000000005</v>
      </c>
      <c r="AO8" s="11">
        <v>69193.058000000005</v>
      </c>
      <c r="AP8" s="11">
        <v>69017.028000000006</v>
      </c>
      <c r="AQ8" s="11">
        <v>68838.563999999998</v>
      </c>
      <c r="AR8" s="11">
        <v>68658.25</v>
      </c>
      <c r="AS8" s="11">
        <v>68476.451000000001</v>
      </c>
      <c r="AT8" s="11">
        <v>68293.650999999998</v>
      </c>
      <c r="AU8" s="11">
        <v>68110.081000000006</v>
      </c>
      <c r="AV8" s="11">
        <v>67925.695999999996</v>
      </c>
      <c r="AW8" s="11">
        <v>67740.362999999998</v>
      </c>
      <c r="AX8" s="11">
        <v>67553.667000000001</v>
      </c>
      <c r="AY8" s="11">
        <v>67365.054000000004</v>
      </c>
      <c r="AZ8" s="11">
        <v>67173.907999999996</v>
      </c>
      <c r="BA8" s="11">
        <v>66979.524000000005</v>
      </c>
      <c r="BB8" s="11">
        <v>66781.152000000002</v>
      </c>
      <c r="BC8" s="11">
        <v>66578.179000000004</v>
      </c>
      <c r="BD8" s="11">
        <v>66370.063999999998</v>
      </c>
      <c r="BE8" s="11">
        <v>66156.392000000007</v>
      </c>
      <c r="BF8" s="11">
        <v>65936.910999999993</v>
      </c>
      <c r="BG8" s="11">
        <v>65711.599000000002</v>
      </c>
      <c r="BH8" s="11">
        <v>65480.491000000002</v>
      </c>
      <c r="BI8" s="11">
        <v>65243.762000000002</v>
      </c>
      <c r="BJ8" s="11">
        <v>65001.728999999999</v>
      </c>
      <c r="BK8" s="11">
        <v>64754.779000000002</v>
      </c>
      <c r="BL8" s="11">
        <v>64503.305</v>
      </c>
      <c r="BM8" s="11">
        <v>64247.86</v>
      </c>
      <c r="BN8" s="11">
        <v>63988.982000000004</v>
      </c>
      <c r="BO8" s="11">
        <v>63727.283000000003</v>
      </c>
      <c r="BP8" s="11">
        <v>63463.366999999998</v>
      </c>
      <c r="BQ8" s="11">
        <v>63197.902999999998</v>
      </c>
      <c r="BR8" s="11">
        <v>62931.459000000003</v>
      </c>
      <c r="BS8" s="11">
        <v>62664.623</v>
      </c>
      <c r="BT8" s="11">
        <v>62397.900999999998</v>
      </c>
      <c r="BU8" s="11">
        <v>62131.777000000002</v>
      </c>
      <c r="BV8" s="11">
        <v>61866.688000000002</v>
      </c>
      <c r="BW8" s="11">
        <v>61602.96</v>
      </c>
      <c r="BX8" s="11">
        <v>61340.837</v>
      </c>
      <c r="BY8" s="11">
        <v>61080.531999999999</v>
      </c>
      <c r="BZ8" s="11">
        <v>60822.165999999997</v>
      </c>
      <c r="CA8" s="11">
        <v>60565.858999999997</v>
      </c>
      <c r="CB8" s="11">
        <v>60311.55</v>
      </c>
      <c r="CC8" s="11">
        <v>60059.209000000003</v>
      </c>
      <c r="CD8" s="11">
        <v>59808.720999999998</v>
      </c>
      <c r="CE8" s="11">
        <v>59559.964</v>
      </c>
      <c r="CF8" s="11">
        <v>59312.872000000003</v>
      </c>
      <c r="CG8" s="11">
        <v>59067.440999999999</v>
      </c>
      <c r="CH8" s="11">
        <v>58823.675999999999</v>
      </c>
      <c r="CI8" s="11">
        <v>58581.75</v>
      </c>
      <c r="CJ8" s="11">
        <v>58341.857000000004</v>
      </c>
      <c r="CK8" s="11">
        <v>58104.264000000003</v>
      </c>
      <c r="CL8" s="11">
        <v>57869.315999999999</v>
      </c>
      <c r="CM8" s="11">
        <v>57637.377</v>
      </c>
      <c r="CN8" s="11">
        <v>57408.794000000002</v>
      </c>
      <c r="CO8" s="11">
        <v>57183.889000000003</v>
      </c>
      <c r="CP8" s="11">
        <v>56962.934999999998</v>
      </c>
      <c r="CQ8" s="11">
        <v>56746.087</v>
      </c>
      <c r="CR8" s="11">
        <v>56533.451999999997</v>
      </c>
      <c r="CS8" s="11">
        <v>56325.036</v>
      </c>
      <c r="CT8" s="11">
        <v>56120.771999999997</v>
      </c>
      <c r="CU8" s="11">
        <v>55920.455000000002</v>
      </c>
      <c r="CV8" s="11">
        <v>55723.841999999997</v>
      </c>
      <c r="CW8" s="11">
        <v>55530.627</v>
      </c>
      <c r="CX8" s="11">
        <v>55340.434999999998</v>
      </c>
    </row>
    <row r="9" spans="1:103" s="2" customFormat="1" ht="15" customHeight="1" x14ac:dyDescent="0.2">
      <c r="A9" s="12" t="s">
        <v>110</v>
      </c>
      <c r="B9" s="10" t="s">
        <v>109</v>
      </c>
      <c r="C9" s="11">
        <v>664.46400000000006</v>
      </c>
      <c r="D9" s="11">
        <v>667.90899999999999</v>
      </c>
      <c r="E9" s="11">
        <v>674.21900000000005</v>
      </c>
      <c r="F9" s="11">
        <v>677.14599999999996</v>
      </c>
      <c r="G9" s="11">
        <v>676.62199999999996</v>
      </c>
      <c r="H9" s="11">
        <v>673.38499999999999</v>
      </c>
      <c r="I9" s="11">
        <v>669.01499999999999</v>
      </c>
      <c r="J9" s="11">
        <v>664.471</v>
      </c>
      <c r="K9" s="11">
        <v>659.81100000000004</v>
      </c>
      <c r="L9" s="11">
        <v>655.13</v>
      </c>
      <c r="M9" s="11">
        <v>650.85199999999998</v>
      </c>
      <c r="N9" s="11">
        <v>647.14400000000001</v>
      </c>
      <c r="O9" s="11">
        <v>643.76199999999994</v>
      </c>
      <c r="P9" s="11">
        <v>640.79600000000005</v>
      </c>
      <c r="Q9" s="11">
        <v>638.39</v>
      </c>
      <c r="R9" s="11">
        <v>636.63400000000001</v>
      </c>
      <c r="S9" s="11">
        <v>635.35699999999997</v>
      </c>
      <c r="T9" s="11">
        <v>634.24599999999998</v>
      </c>
      <c r="U9" s="11">
        <v>633.23400000000004</v>
      </c>
      <c r="V9" s="11">
        <v>632.23900000000003</v>
      </c>
      <c r="W9" s="11">
        <v>630.86800000000005</v>
      </c>
      <c r="X9" s="11">
        <v>628.84900000000005</v>
      </c>
      <c r="Y9" s="11">
        <v>626.46299999999997</v>
      </c>
      <c r="Z9" s="11">
        <v>623.79200000000003</v>
      </c>
      <c r="AA9" s="11">
        <v>620.87699999999995</v>
      </c>
      <c r="AB9" s="11">
        <v>616.93799999999999</v>
      </c>
      <c r="AC9" s="11">
        <v>611.78399999999999</v>
      </c>
      <c r="AD9" s="11">
        <v>606.21600000000001</v>
      </c>
      <c r="AE9" s="11">
        <v>600.39</v>
      </c>
      <c r="AF9" s="11">
        <v>594.45399999999995</v>
      </c>
      <c r="AG9" s="11">
        <v>588.32100000000003</v>
      </c>
      <c r="AH9" s="11">
        <v>582.03099999999995</v>
      </c>
      <c r="AI9" s="11">
        <v>575.952</v>
      </c>
      <c r="AJ9" s="11">
        <v>570.33399999999995</v>
      </c>
      <c r="AK9" s="11">
        <v>565.202</v>
      </c>
      <c r="AL9" s="11">
        <v>560.36699999999996</v>
      </c>
      <c r="AM9" s="11">
        <v>555.82299999999998</v>
      </c>
      <c r="AN9" s="11">
        <v>551.69100000000003</v>
      </c>
      <c r="AO9" s="11">
        <v>547.94200000000001</v>
      </c>
      <c r="AP9" s="11">
        <v>544.57399999999996</v>
      </c>
      <c r="AQ9" s="11">
        <v>541.39700000000005</v>
      </c>
      <c r="AR9" s="11">
        <v>538.35500000000002</v>
      </c>
      <c r="AS9" s="11">
        <v>535.66300000000001</v>
      </c>
      <c r="AT9" s="11">
        <v>533.26400000000001</v>
      </c>
      <c r="AU9" s="11">
        <v>531.03399999999999</v>
      </c>
      <c r="AV9" s="11">
        <v>528.976</v>
      </c>
      <c r="AW9" s="11">
        <v>526.97500000000002</v>
      </c>
      <c r="AX9" s="11">
        <v>525.03499999999997</v>
      </c>
      <c r="AY9" s="11">
        <v>523.21400000000006</v>
      </c>
      <c r="AZ9" s="11">
        <v>521.40899999999999</v>
      </c>
      <c r="BA9" s="11">
        <v>519.60400000000004</v>
      </c>
      <c r="BB9" s="11">
        <v>517.75199999999995</v>
      </c>
      <c r="BC9" s="11">
        <v>515.84799999999996</v>
      </c>
      <c r="BD9" s="11">
        <v>513.84699999999998</v>
      </c>
      <c r="BE9" s="11">
        <v>511.73899999999998</v>
      </c>
      <c r="BF9" s="11">
        <v>509.49599999999998</v>
      </c>
      <c r="BG9" s="11">
        <v>507.09399999999999</v>
      </c>
      <c r="BH9" s="11">
        <v>504.53100000000001</v>
      </c>
      <c r="BI9" s="11">
        <v>501.79700000000003</v>
      </c>
      <c r="BJ9" s="11">
        <v>498.911</v>
      </c>
      <c r="BK9" s="11">
        <v>495.892</v>
      </c>
      <c r="BL9" s="11">
        <v>492.74599999999998</v>
      </c>
      <c r="BM9" s="11">
        <v>489.51799999999997</v>
      </c>
      <c r="BN9" s="11">
        <v>486.23599999999999</v>
      </c>
      <c r="BO9" s="11">
        <v>482.95</v>
      </c>
      <c r="BP9" s="11">
        <v>479.68200000000002</v>
      </c>
      <c r="BQ9" s="11">
        <v>476.47800000000001</v>
      </c>
      <c r="BR9" s="11">
        <v>473.33499999999998</v>
      </c>
      <c r="BS9" s="11">
        <v>470.31599999999997</v>
      </c>
      <c r="BT9" s="11">
        <v>467.40699999999998</v>
      </c>
      <c r="BU9" s="11">
        <v>464.649</v>
      </c>
      <c r="BV9" s="11">
        <v>462.03399999999999</v>
      </c>
      <c r="BW9" s="11">
        <v>459.56</v>
      </c>
      <c r="BX9" s="11">
        <v>457.23599999999999</v>
      </c>
      <c r="BY9" s="11">
        <v>455.06200000000001</v>
      </c>
      <c r="BZ9" s="11">
        <v>453.01100000000002</v>
      </c>
      <c r="CA9" s="11">
        <v>451.08100000000002</v>
      </c>
      <c r="CB9" s="11">
        <v>449.25</v>
      </c>
      <c r="CC9" s="11">
        <v>447.51</v>
      </c>
      <c r="CD9" s="11">
        <v>445.84199999999998</v>
      </c>
      <c r="CE9" s="11">
        <v>444.226</v>
      </c>
      <c r="CF9" s="11">
        <v>442.64699999999999</v>
      </c>
      <c r="CG9" s="11">
        <v>441.09199999999998</v>
      </c>
      <c r="CH9" s="11">
        <v>439.529</v>
      </c>
      <c r="CI9" s="11">
        <v>437.964</v>
      </c>
      <c r="CJ9" s="11">
        <v>436.38099999999997</v>
      </c>
      <c r="CK9" s="11">
        <v>434.76400000000001</v>
      </c>
      <c r="CL9" s="11">
        <v>433.1</v>
      </c>
      <c r="CM9" s="11">
        <v>431.39400000000001</v>
      </c>
      <c r="CN9" s="11">
        <v>429.62900000000002</v>
      </c>
      <c r="CO9" s="11">
        <v>427.81700000000001</v>
      </c>
      <c r="CP9" s="11">
        <v>425.96899999999999</v>
      </c>
      <c r="CQ9" s="11">
        <v>424.06599999999997</v>
      </c>
      <c r="CR9" s="11">
        <v>422.12200000000001</v>
      </c>
      <c r="CS9" s="11">
        <v>420.142</v>
      </c>
      <c r="CT9" s="11">
        <v>418.15100000000001</v>
      </c>
      <c r="CU9" s="11">
        <v>416.13900000000001</v>
      </c>
      <c r="CV9" s="11">
        <v>414.12700000000001</v>
      </c>
      <c r="CW9" s="11">
        <v>412.13299999999998</v>
      </c>
      <c r="CX9" s="11">
        <v>410.15800000000002</v>
      </c>
    </row>
    <row r="10" spans="1:103" s="2" customFormat="1" ht="15" customHeight="1" x14ac:dyDescent="0.2">
      <c r="A10" s="13" t="s">
        <v>111</v>
      </c>
      <c r="B10" s="10" t="s">
        <v>109</v>
      </c>
      <c r="C10" s="11">
        <v>680.72699999999998</v>
      </c>
      <c r="D10" s="11">
        <v>662.16499999999996</v>
      </c>
      <c r="E10" s="11">
        <v>663.93100000000004</v>
      </c>
      <c r="F10" s="11">
        <v>666.86699999999996</v>
      </c>
      <c r="G10" s="11">
        <v>670.79499999999996</v>
      </c>
      <c r="H10" s="11">
        <v>676.28</v>
      </c>
      <c r="I10" s="11">
        <v>683.20100000000002</v>
      </c>
      <c r="J10" s="11">
        <v>690.70299999999997</v>
      </c>
      <c r="K10" s="11">
        <v>698.62400000000002</v>
      </c>
      <c r="L10" s="11">
        <v>706.80799999999999</v>
      </c>
      <c r="M10" s="11">
        <v>715.12</v>
      </c>
      <c r="N10" s="11">
        <v>723.48299999999995</v>
      </c>
      <c r="O10" s="11">
        <v>731.78</v>
      </c>
      <c r="P10" s="11">
        <v>739.82600000000002</v>
      </c>
      <c r="Q10" s="11">
        <v>747.63</v>
      </c>
      <c r="R10" s="11">
        <v>755.15700000000004</v>
      </c>
      <c r="S10" s="11">
        <v>762.31500000000005</v>
      </c>
      <c r="T10" s="11">
        <v>768.928</v>
      </c>
      <c r="U10" s="11">
        <v>774.97299999999996</v>
      </c>
      <c r="V10" s="11">
        <v>780.49</v>
      </c>
      <c r="W10" s="11">
        <v>785.52499999999998</v>
      </c>
      <c r="X10" s="11">
        <v>790.101</v>
      </c>
      <c r="Y10" s="11">
        <v>794.37800000000004</v>
      </c>
      <c r="Z10" s="11">
        <v>798.51900000000001</v>
      </c>
      <c r="AA10" s="11">
        <v>802.60599999999999</v>
      </c>
      <c r="AB10" s="11">
        <v>806.79499999999996</v>
      </c>
      <c r="AC10" s="11">
        <v>811.14</v>
      </c>
      <c r="AD10" s="11">
        <v>815.64499999999998</v>
      </c>
      <c r="AE10" s="11">
        <v>820.18799999999999</v>
      </c>
      <c r="AF10" s="11">
        <v>824.66200000000003</v>
      </c>
      <c r="AG10" s="11">
        <v>829.005</v>
      </c>
      <c r="AH10" s="11">
        <v>833.01700000000005</v>
      </c>
      <c r="AI10" s="11">
        <v>836.57500000000005</v>
      </c>
      <c r="AJ10" s="11">
        <v>839.53800000000001</v>
      </c>
      <c r="AK10" s="11">
        <v>841.85299999999995</v>
      </c>
      <c r="AL10" s="11">
        <v>843.41600000000005</v>
      </c>
      <c r="AM10" s="11">
        <v>844.27599999999995</v>
      </c>
      <c r="AN10" s="11">
        <v>844.44899999999996</v>
      </c>
      <c r="AO10" s="11">
        <v>843.97299999999996</v>
      </c>
      <c r="AP10" s="11">
        <v>843.03499999999997</v>
      </c>
      <c r="AQ10" s="11">
        <v>841.71699999999998</v>
      </c>
      <c r="AR10" s="11">
        <v>840.14499999999998</v>
      </c>
      <c r="AS10" s="11">
        <v>838.45799999999997</v>
      </c>
      <c r="AT10" s="11">
        <v>836.82799999999997</v>
      </c>
      <c r="AU10" s="11">
        <v>835.42600000000004</v>
      </c>
      <c r="AV10" s="11">
        <v>834.30499999999995</v>
      </c>
      <c r="AW10" s="11">
        <v>833.67</v>
      </c>
      <c r="AX10" s="11">
        <v>833.65</v>
      </c>
      <c r="AY10" s="11">
        <v>834.37099999999998</v>
      </c>
      <c r="AZ10" s="11">
        <v>835.8</v>
      </c>
      <c r="BA10" s="11">
        <v>837.96699999999998</v>
      </c>
      <c r="BB10" s="11">
        <v>840.72400000000005</v>
      </c>
      <c r="BC10" s="11">
        <v>843.97199999999998</v>
      </c>
      <c r="BD10" s="11">
        <v>847.53200000000004</v>
      </c>
      <c r="BE10" s="11">
        <v>851.22299999999996</v>
      </c>
      <c r="BF10" s="11">
        <v>854.81799999999998</v>
      </c>
      <c r="BG10" s="11">
        <v>858.20699999999999</v>
      </c>
      <c r="BH10" s="11">
        <v>861.27</v>
      </c>
      <c r="BI10" s="11">
        <v>863.83199999999999</v>
      </c>
      <c r="BJ10" s="11">
        <v>865.87400000000002</v>
      </c>
      <c r="BK10" s="11">
        <v>867.36300000000006</v>
      </c>
      <c r="BL10" s="11">
        <v>868.20399999999995</v>
      </c>
      <c r="BM10" s="11">
        <v>868.40200000000004</v>
      </c>
      <c r="BN10" s="11">
        <v>867.94399999999996</v>
      </c>
      <c r="BO10" s="11">
        <v>866.85500000000002</v>
      </c>
      <c r="BP10" s="11">
        <v>865.15599999999995</v>
      </c>
      <c r="BQ10" s="11">
        <v>862.91300000000001</v>
      </c>
      <c r="BR10" s="11">
        <v>860.17499999999995</v>
      </c>
      <c r="BS10" s="11">
        <v>857.03099999999995</v>
      </c>
      <c r="BT10" s="11">
        <v>853.529</v>
      </c>
      <c r="BU10" s="11">
        <v>849.73400000000004</v>
      </c>
      <c r="BV10" s="11">
        <v>845.76599999999996</v>
      </c>
      <c r="BW10" s="11">
        <v>841.67600000000004</v>
      </c>
      <c r="BX10" s="11">
        <v>837.548</v>
      </c>
      <c r="BY10" s="11">
        <v>833.40800000000002</v>
      </c>
      <c r="BZ10" s="11">
        <v>829.32100000000003</v>
      </c>
      <c r="CA10" s="11">
        <v>825.38499999999999</v>
      </c>
      <c r="CB10" s="11">
        <v>821.59199999999998</v>
      </c>
      <c r="CC10" s="11">
        <v>818.01099999999997</v>
      </c>
      <c r="CD10" s="11">
        <v>814.60900000000004</v>
      </c>
      <c r="CE10" s="11">
        <v>811.31700000000001</v>
      </c>
      <c r="CF10" s="11">
        <v>808.08699999999999</v>
      </c>
      <c r="CG10" s="11">
        <v>804.85299999999995</v>
      </c>
      <c r="CH10" s="11">
        <v>801.46</v>
      </c>
      <c r="CI10" s="11">
        <v>797.86400000000003</v>
      </c>
      <c r="CJ10" s="11">
        <v>793.97199999999998</v>
      </c>
      <c r="CK10" s="11">
        <v>789.702</v>
      </c>
      <c r="CL10" s="11">
        <v>785.04499999999996</v>
      </c>
      <c r="CM10" s="11">
        <v>779.97799999999995</v>
      </c>
      <c r="CN10" s="11">
        <v>774.53599999999994</v>
      </c>
      <c r="CO10" s="11">
        <v>768.78499999999997</v>
      </c>
      <c r="CP10" s="11">
        <v>762.81299999999999</v>
      </c>
      <c r="CQ10" s="11">
        <v>756.70100000000002</v>
      </c>
      <c r="CR10" s="11">
        <v>750.53599999999994</v>
      </c>
      <c r="CS10" s="11">
        <v>744.423</v>
      </c>
      <c r="CT10" s="11">
        <v>738.46699999999998</v>
      </c>
      <c r="CU10" s="11">
        <v>732.74900000000002</v>
      </c>
      <c r="CV10" s="11">
        <v>727.35199999999998</v>
      </c>
      <c r="CW10" s="11">
        <v>722.32500000000005</v>
      </c>
      <c r="CX10" s="11">
        <v>717.67499999999995</v>
      </c>
    </row>
    <row r="11" spans="1:103" s="2" customFormat="1" ht="15" customHeight="1" x14ac:dyDescent="0.2">
      <c r="A11" s="12" t="s">
        <v>112</v>
      </c>
      <c r="B11" s="10" t="s">
        <v>109</v>
      </c>
      <c r="C11" s="11">
        <v>-16.263000000000002</v>
      </c>
      <c r="D11" s="11">
        <v>5.7439999999999998</v>
      </c>
      <c r="E11" s="11">
        <v>10.288</v>
      </c>
      <c r="F11" s="11">
        <v>10.279</v>
      </c>
      <c r="G11" s="11">
        <v>5.827</v>
      </c>
      <c r="H11" s="11">
        <v>-2.895</v>
      </c>
      <c r="I11" s="11">
        <v>-14.186</v>
      </c>
      <c r="J11" s="11">
        <v>-26.231999999999999</v>
      </c>
      <c r="K11" s="11">
        <v>-38.813000000000002</v>
      </c>
      <c r="L11" s="11">
        <v>-51.677999999999997</v>
      </c>
      <c r="M11" s="11">
        <v>-64.268000000000001</v>
      </c>
      <c r="N11" s="11">
        <v>-76.338999999999999</v>
      </c>
      <c r="O11" s="11">
        <v>-88.018000000000001</v>
      </c>
      <c r="P11" s="11">
        <v>-99.03</v>
      </c>
      <c r="Q11" s="11">
        <v>-109.24</v>
      </c>
      <c r="R11" s="11">
        <v>-118.523</v>
      </c>
      <c r="S11" s="11">
        <v>-126.958</v>
      </c>
      <c r="T11" s="11">
        <v>-134.68199999999999</v>
      </c>
      <c r="U11" s="11">
        <v>-141.739</v>
      </c>
      <c r="V11" s="11">
        <v>-148.251</v>
      </c>
      <c r="W11" s="11">
        <v>-154.65700000000001</v>
      </c>
      <c r="X11" s="11">
        <v>-161.25200000000001</v>
      </c>
      <c r="Y11" s="11">
        <v>-167.91499999999999</v>
      </c>
      <c r="Z11" s="11">
        <v>-174.727</v>
      </c>
      <c r="AA11" s="11">
        <v>-181.72900000000001</v>
      </c>
      <c r="AB11" s="11">
        <v>-189.857</v>
      </c>
      <c r="AC11" s="11">
        <v>-199.35599999999999</v>
      </c>
      <c r="AD11" s="11">
        <v>-209.429</v>
      </c>
      <c r="AE11" s="11">
        <v>-219.798</v>
      </c>
      <c r="AF11" s="11">
        <v>-230.208</v>
      </c>
      <c r="AG11" s="11">
        <v>-240.684</v>
      </c>
      <c r="AH11" s="11">
        <v>-250.98599999999999</v>
      </c>
      <c r="AI11" s="11">
        <v>-260.62299999999999</v>
      </c>
      <c r="AJ11" s="11">
        <v>-269.20400000000001</v>
      </c>
      <c r="AK11" s="11">
        <v>-276.65100000000001</v>
      </c>
      <c r="AL11" s="11">
        <v>-283.04899999999998</v>
      </c>
      <c r="AM11" s="11">
        <v>-288.45299999999997</v>
      </c>
      <c r="AN11" s="11">
        <v>-292.75799999999998</v>
      </c>
      <c r="AO11" s="11">
        <v>-296.03100000000001</v>
      </c>
      <c r="AP11" s="11">
        <v>-298.46100000000001</v>
      </c>
      <c r="AQ11" s="11">
        <v>-300.32</v>
      </c>
      <c r="AR11" s="11">
        <v>-301.79000000000002</v>
      </c>
      <c r="AS11" s="11">
        <v>-302.79500000000002</v>
      </c>
      <c r="AT11" s="11">
        <v>-303.56400000000002</v>
      </c>
      <c r="AU11" s="11">
        <v>-304.392</v>
      </c>
      <c r="AV11" s="11">
        <v>-305.32900000000001</v>
      </c>
      <c r="AW11" s="11">
        <v>-306.69499999999999</v>
      </c>
      <c r="AX11" s="11">
        <v>-308.61500000000001</v>
      </c>
      <c r="AY11" s="11">
        <v>-311.15699999999998</v>
      </c>
      <c r="AZ11" s="11">
        <v>-314.39100000000002</v>
      </c>
      <c r="BA11" s="11">
        <v>-318.363</v>
      </c>
      <c r="BB11" s="11">
        <v>-322.97199999999998</v>
      </c>
      <c r="BC11" s="11">
        <v>-328.12400000000002</v>
      </c>
      <c r="BD11" s="11">
        <v>-333.685</v>
      </c>
      <c r="BE11" s="11">
        <v>-339.48399999999998</v>
      </c>
      <c r="BF11" s="11">
        <v>-345.322</v>
      </c>
      <c r="BG11" s="11">
        <v>-351.113</v>
      </c>
      <c r="BH11" s="11">
        <v>-356.73899999999998</v>
      </c>
      <c r="BI11" s="11">
        <v>-362.03500000000003</v>
      </c>
      <c r="BJ11" s="11">
        <v>-366.96300000000002</v>
      </c>
      <c r="BK11" s="11">
        <v>-371.471</v>
      </c>
      <c r="BL11" s="11">
        <v>-375.45800000000003</v>
      </c>
      <c r="BM11" s="11">
        <v>-378.88400000000001</v>
      </c>
      <c r="BN11" s="11">
        <v>-381.70800000000003</v>
      </c>
      <c r="BO11" s="11">
        <v>-383.90499999999997</v>
      </c>
      <c r="BP11" s="11">
        <v>-385.47399999999999</v>
      </c>
      <c r="BQ11" s="11">
        <v>-386.435</v>
      </c>
      <c r="BR11" s="11">
        <v>-386.84</v>
      </c>
      <c r="BS11" s="11">
        <v>-386.71499999999997</v>
      </c>
      <c r="BT11" s="11">
        <v>-386.12200000000001</v>
      </c>
      <c r="BU11" s="11">
        <v>-385.08499999999998</v>
      </c>
      <c r="BV11" s="11">
        <v>-383.73200000000003</v>
      </c>
      <c r="BW11" s="11">
        <v>-382.11599999999999</v>
      </c>
      <c r="BX11" s="11">
        <v>-380.31200000000001</v>
      </c>
      <c r="BY11" s="11">
        <v>-378.346</v>
      </c>
      <c r="BZ11" s="11">
        <v>-376.31</v>
      </c>
      <c r="CA11" s="11">
        <v>-374.30399999999997</v>
      </c>
      <c r="CB11" s="11">
        <v>-372.34199999999998</v>
      </c>
      <c r="CC11" s="11">
        <v>-370.50099999999998</v>
      </c>
      <c r="CD11" s="11">
        <v>-368.767</v>
      </c>
      <c r="CE11" s="11">
        <v>-367.09100000000001</v>
      </c>
      <c r="CF11" s="11">
        <v>-365.44</v>
      </c>
      <c r="CG11" s="11">
        <v>-363.76100000000002</v>
      </c>
      <c r="CH11" s="11">
        <v>-361.93099999999998</v>
      </c>
      <c r="CI11" s="11">
        <v>-359.9</v>
      </c>
      <c r="CJ11" s="11">
        <v>-357.59100000000001</v>
      </c>
      <c r="CK11" s="11">
        <v>-354.93799999999999</v>
      </c>
      <c r="CL11" s="11">
        <v>-351.94499999999999</v>
      </c>
      <c r="CM11" s="11">
        <v>-348.584</v>
      </c>
      <c r="CN11" s="11">
        <v>-344.90699999999998</v>
      </c>
      <c r="CO11" s="11">
        <v>-340.96800000000002</v>
      </c>
      <c r="CP11" s="11">
        <v>-336.84399999999999</v>
      </c>
      <c r="CQ11" s="11">
        <v>-332.63499999999999</v>
      </c>
      <c r="CR11" s="11">
        <v>-328.41399999999999</v>
      </c>
      <c r="CS11" s="11">
        <v>-324.28100000000001</v>
      </c>
      <c r="CT11" s="11">
        <v>-320.31599999999997</v>
      </c>
      <c r="CU11" s="11">
        <v>-316.61</v>
      </c>
      <c r="CV11" s="11">
        <v>-313.22500000000002</v>
      </c>
      <c r="CW11" s="11">
        <v>-310.19200000000001</v>
      </c>
      <c r="CX11" s="11">
        <v>-307.517</v>
      </c>
    </row>
    <row r="12" spans="1:103" s="2" customFormat="1" ht="15" customHeight="1" x14ac:dyDescent="0.2">
      <c r="A12" s="9" t="s">
        <v>113</v>
      </c>
      <c r="B12" s="10" t="s">
        <v>109</v>
      </c>
      <c r="C12" s="11">
        <v>1319.5</v>
      </c>
      <c r="D12" s="11">
        <v>1207</v>
      </c>
      <c r="E12" s="11">
        <v>1092.4000000000001</v>
      </c>
      <c r="F12" s="11">
        <v>977.8</v>
      </c>
      <c r="G12" s="11">
        <v>863.2</v>
      </c>
      <c r="H12" s="11">
        <v>748</v>
      </c>
      <c r="I12" s="11">
        <v>748</v>
      </c>
      <c r="J12" s="11">
        <v>748</v>
      </c>
      <c r="K12" s="11">
        <v>748</v>
      </c>
      <c r="L12" s="11">
        <v>748</v>
      </c>
      <c r="M12" s="11">
        <v>748</v>
      </c>
      <c r="N12" s="11">
        <v>748</v>
      </c>
      <c r="O12" s="11">
        <v>748</v>
      </c>
      <c r="P12" s="11">
        <v>748</v>
      </c>
      <c r="Q12" s="11">
        <v>748</v>
      </c>
      <c r="R12" s="11">
        <v>748</v>
      </c>
      <c r="S12" s="11">
        <v>748</v>
      </c>
      <c r="T12" s="11">
        <v>748</v>
      </c>
      <c r="U12" s="11">
        <v>748</v>
      </c>
      <c r="V12" s="11">
        <v>748</v>
      </c>
      <c r="W12" s="11">
        <v>748</v>
      </c>
      <c r="X12" s="11">
        <v>748</v>
      </c>
      <c r="Y12" s="11">
        <v>748</v>
      </c>
      <c r="Z12" s="11">
        <v>748</v>
      </c>
      <c r="AA12" s="11">
        <v>748</v>
      </c>
      <c r="AB12" s="11">
        <v>748</v>
      </c>
      <c r="AC12" s="11">
        <v>748</v>
      </c>
      <c r="AD12" s="11">
        <v>748</v>
      </c>
      <c r="AE12" s="11">
        <v>748</v>
      </c>
      <c r="AF12" s="11">
        <v>748</v>
      </c>
      <c r="AG12" s="11">
        <v>748</v>
      </c>
      <c r="AH12" s="11">
        <v>748</v>
      </c>
      <c r="AI12" s="11">
        <v>748</v>
      </c>
      <c r="AJ12" s="11">
        <v>748</v>
      </c>
      <c r="AK12" s="11">
        <v>748</v>
      </c>
      <c r="AL12" s="11">
        <v>748</v>
      </c>
      <c r="AM12" s="11">
        <v>748</v>
      </c>
      <c r="AN12" s="11">
        <v>748</v>
      </c>
      <c r="AO12" s="11">
        <v>748</v>
      </c>
      <c r="AP12" s="11">
        <v>748</v>
      </c>
      <c r="AQ12" s="11">
        <v>748</v>
      </c>
      <c r="AR12" s="11">
        <v>748</v>
      </c>
      <c r="AS12" s="11">
        <v>748</v>
      </c>
      <c r="AT12" s="11">
        <v>748</v>
      </c>
      <c r="AU12" s="11">
        <v>748</v>
      </c>
      <c r="AV12" s="11">
        <v>748</v>
      </c>
      <c r="AW12" s="11">
        <v>748</v>
      </c>
      <c r="AX12" s="11">
        <v>748</v>
      </c>
      <c r="AY12" s="11">
        <v>748</v>
      </c>
      <c r="AZ12" s="11">
        <v>748</v>
      </c>
      <c r="BA12" s="11">
        <v>748</v>
      </c>
      <c r="BB12" s="11">
        <v>748</v>
      </c>
      <c r="BC12" s="11">
        <v>748</v>
      </c>
      <c r="BD12" s="11">
        <v>748</v>
      </c>
      <c r="BE12" s="11">
        <v>748</v>
      </c>
      <c r="BF12" s="11">
        <v>748</v>
      </c>
      <c r="BG12" s="11">
        <v>748</v>
      </c>
      <c r="BH12" s="11">
        <v>748</v>
      </c>
      <c r="BI12" s="11">
        <v>748</v>
      </c>
      <c r="BJ12" s="11">
        <v>748</v>
      </c>
      <c r="BK12" s="11">
        <v>748</v>
      </c>
      <c r="BL12" s="11">
        <v>748</v>
      </c>
      <c r="BM12" s="11">
        <v>748</v>
      </c>
      <c r="BN12" s="11">
        <v>748</v>
      </c>
      <c r="BO12" s="11">
        <v>748</v>
      </c>
      <c r="BP12" s="11">
        <v>748</v>
      </c>
      <c r="BQ12" s="11">
        <v>748</v>
      </c>
      <c r="BR12" s="11">
        <v>748</v>
      </c>
      <c r="BS12" s="11">
        <v>748</v>
      </c>
      <c r="BT12" s="11">
        <v>748</v>
      </c>
      <c r="BU12" s="11">
        <v>748</v>
      </c>
      <c r="BV12" s="11">
        <v>748</v>
      </c>
      <c r="BW12" s="11">
        <v>748</v>
      </c>
      <c r="BX12" s="11">
        <v>748</v>
      </c>
      <c r="BY12" s="11">
        <v>748</v>
      </c>
      <c r="BZ12" s="11">
        <v>748</v>
      </c>
      <c r="CA12" s="11">
        <v>748</v>
      </c>
      <c r="CB12" s="11">
        <v>748</v>
      </c>
      <c r="CC12" s="11">
        <v>748</v>
      </c>
      <c r="CD12" s="11">
        <v>748</v>
      </c>
      <c r="CE12" s="11">
        <v>748</v>
      </c>
      <c r="CF12" s="11">
        <v>748</v>
      </c>
      <c r="CG12" s="11">
        <v>748</v>
      </c>
      <c r="CH12" s="11">
        <v>748</v>
      </c>
      <c r="CI12" s="11">
        <v>748</v>
      </c>
      <c r="CJ12" s="11">
        <v>748</v>
      </c>
      <c r="CK12" s="11">
        <v>748</v>
      </c>
      <c r="CL12" s="11">
        <v>748</v>
      </c>
      <c r="CM12" s="11">
        <v>748</v>
      </c>
      <c r="CN12" s="11">
        <v>748</v>
      </c>
      <c r="CO12" s="11">
        <v>748</v>
      </c>
      <c r="CP12" s="11">
        <v>748</v>
      </c>
      <c r="CQ12" s="11">
        <v>748</v>
      </c>
      <c r="CR12" s="11">
        <v>748</v>
      </c>
      <c r="CS12" s="11">
        <v>748</v>
      </c>
      <c r="CT12" s="11">
        <v>748</v>
      </c>
      <c r="CU12" s="11">
        <v>748</v>
      </c>
      <c r="CV12" s="11">
        <v>748</v>
      </c>
      <c r="CW12" s="11">
        <v>748</v>
      </c>
      <c r="CX12" s="11">
        <v>748</v>
      </c>
    </row>
    <row r="13" spans="1:103" s="2" customFormat="1" ht="15" customHeight="1" x14ac:dyDescent="0.2">
      <c r="A13" s="14" t="s">
        <v>114</v>
      </c>
      <c r="B13" s="10" t="s">
        <v>109</v>
      </c>
      <c r="C13" s="11" t="s">
        <v>109</v>
      </c>
      <c r="D13" s="11" t="s">
        <v>109</v>
      </c>
      <c r="E13" s="11" t="s">
        <v>109</v>
      </c>
      <c r="F13" s="11" t="s">
        <v>109</v>
      </c>
      <c r="G13" s="11" t="s">
        <v>109</v>
      </c>
      <c r="H13" s="11" t="s">
        <v>109</v>
      </c>
      <c r="I13" s="11" t="s">
        <v>109</v>
      </c>
      <c r="J13" s="11" t="s">
        <v>109</v>
      </c>
      <c r="K13" s="11" t="s">
        <v>109</v>
      </c>
      <c r="L13" s="11" t="s">
        <v>109</v>
      </c>
      <c r="M13" s="11" t="s">
        <v>109</v>
      </c>
      <c r="N13" s="11" t="s">
        <v>109</v>
      </c>
      <c r="O13" s="11" t="s">
        <v>109</v>
      </c>
      <c r="P13" s="11" t="s">
        <v>109</v>
      </c>
      <c r="Q13" s="11" t="s">
        <v>109</v>
      </c>
      <c r="R13" s="11" t="s">
        <v>109</v>
      </c>
      <c r="S13" s="11" t="s">
        <v>109</v>
      </c>
      <c r="T13" s="11" t="s">
        <v>109</v>
      </c>
      <c r="U13" s="11" t="s">
        <v>109</v>
      </c>
      <c r="V13" s="11" t="s">
        <v>109</v>
      </c>
      <c r="W13" s="11" t="s">
        <v>109</v>
      </c>
      <c r="X13" s="11" t="s">
        <v>109</v>
      </c>
      <c r="Y13" s="11" t="s">
        <v>109</v>
      </c>
      <c r="Z13" s="11" t="s">
        <v>109</v>
      </c>
      <c r="AA13" s="11" t="s">
        <v>109</v>
      </c>
      <c r="AB13" s="11" t="s">
        <v>109</v>
      </c>
      <c r="AC13" s="11" t="s">
        <v>109</v>
      </c>
      <c r="AD13" s="11" t="s">
        <v>109</v>
      </c>
      <c r="AE13" s="11" t="s">
        <v>109</v>
      </c>
      <c r="AF13" s="11" t="s">
        <v>109</v>
      </c>
      <c r="AG13" s="11" t="s">
        <v>109</v>
      </c>
      <c r="AH13" s="11" t="s">
        <v>109</v>
      </c>
      <c r="AI13" s="11" t="s">
        <v>109</v>
      </c>
      <c r="AJ13" s="11" t="s">
        <v>109</v>
      </c>
      <c r="AK13" s="11" t="s">
        <v>109</v>
      </c>
      <c r="AL13" s="11" t="s">
        <v>109</v>
      </c>
      <c r="AM13" s="11" t="s">
        <v>109</v>
      </c>
      <c r="AN13" s="11" t="s">
        <v>109</v>
      </c>
      <c r="AO13" s="11" t="s">
        <v>109</v>
      </c>
      <c r="AP13" s="11" t="s">
        <v>109</v>
      </c>
      <c r="AQ13" s="11" t="s">
        <v>109</v>
      </c>
      <c r="AR13" s="11" t="s">
        <v>109</v>
      </c>
      <c r="AS13" s="11" t="s">
        <v>109</v>
      </c>
      <c r="AT13" s="11" t="s">
        <v>109</v>
      </c>
      <c r="AU13" s="11" t="s">
        <v>109</v>
      </c>
      <c r="AV13" s="11" t="s">
        <v>109</v>
      </c>
      <c r="AW13" s="11" t="s">
        <v>109</v>
      </c>
      <c r="AX13" s="11" t="s">
        <v>109</v>
      </c>
      <c r="AY13" s="11" t="s">
        <v>109</v>
      </c>
      <c r="AZ13" s="11" t="s">
        <v>109</v>
      </c>
      <c r="BA13" s="11" t="s">
        <v>109</v>
      </c>
      <c r="BB13" s="11" t="s">
        <v>109</v>
      </c>
      <c r="BC13" s="11" t="s">
        <v>109</v>
      </c>
      <c r="BD13" s="11" t="s">
        <v>109</v>
      </c>
      <c r="BE13" s="11" t="s">
        <v>109</v>
      </c>
      <c r="BF13" s="11" t="s">
        <v>109</v>
      </c>
      <c r="BG13" s="11" t="s">
        <v>109</v>
      </c>
      <c r="BH13" s="11" t="s">
        <v>109</v>
      </c>
      <c r="BI13" s="11" t="s">
        <v>109</v>
      </c>
      <c r="BJ13" s="11" t="s">
        <v>109</v>
      </c>
      <c r="BK13" s="11" t="s">
        <v>109</v>
      </c>
      <c r="BL13" s="11" t="s">
        <v>109</v>
      </c>
      <c r="BM13" s="11" t="s">
        <v>109</v>
      </c>
      <c r="BN13" s="11" t="s">
        <v>109</v>
      </c>
      <c r="BO13" s="11" t="s">
        <v>109</v>
      </c>
      <c r="BP13" s="11" t="s">
        <v>109</v>
      </c>
      <c r="BQ13" s="11" t="s">
        <v>109</v>
      </c>
      <c r="BR13" s="11" t="s">
        <v>109</v>
      </c>
      <c r="BS13" s="11" t="s">
        <v>109</v>
      </c>
      <c r="BT13" s="11" t="s">
        <v>109</v>
      </c>
      <c r="BU13" s="11" t="s">
        <v>109</v>
      </c>
      <c r="BV13" s="11" t="s">
        <v>109</v>
      </c>
      <c r="BW13" s="11" t="s">
        <v>109</v>
      </c>
      <c r="BX13" s="11" t="s">
        <v>109</v>
      </c>
      <c r="BY13" s="11" t="s">
        <v>109</v>
      </c>
      <c r="BZ13" s="11" t="s">
        <v>109</v>
      </c>
      <c r="CA13" s="11" t="s">
        <v>109</v>
      </c>
      <c r="CB13" s="11" t="s">
        <v>109</v>
      </c>
      <c r="CC13" s="11" t="s">
        <v>109</v>
      </c>
      <c r="CD13" s="11" t="s">
        <v>109</v>
      </c>
      <c r="CE13" s="11" t="s">
        <v>109</v>
      </c>
      <c r="CF13" s="11" t="s">
        <v>109</v>
      </c>
      <c r="CG13" s="11" t="s">
        <v>109</v>
      </c>
      <c r="CH13" s="11" t="s">
        <v>109</v>
      </c>
      <c r="CI13" s="11" t="s">
        <v>109</v>
      </c>
      <c r="CJ13" s="11" t="s">
        <v>109</v>
      </c>
      <c r="CK13" s="11" t="s">
        <v>109</v>
      </c>
      <c r="CL13" s="11" t="s">
        <v>109</v>
      </c>
      <c r="CM13" s="11" t="s">
        <v>109</v>
      </c>
      <c r="CN13" s="11" t="s">
        <v>109</v>
      </c>
      <c r="CO13" s="11" t="s">
        <v>109</v>
      </c>
      <c r="CP13" s="11" t="s">
        <v>109</v>
      </c>
      <c r="CQ13" s="11" t="s">
        <v>109</v>
      </c>
      <c r="CR13" s="11" t="s">
        <v>109</v>
      </c>
      <c r="CS13" s="11" t="s">
        <v>109</v>
      </c>
      <c r="CT13" s="11" t="s">
        <v>109</v>
      </c>
      <c r="CU13" s="11" t="s">
        <v>109</v>
      </c>
      <c r="CV13" s="11" t="s">
        <v>109</v>
      </c>
      <c r="CW13" s="11" t="s">
        <v>109</v>
      </c>
      <c r="CX13" s="11" t="s">
        <v>109</v>
      </c>
      <c r="CY13"/>
    </row>
    <row r="14" spans="1:103" s="2" customFormat="1" ht="15" customHeight="1" x14ac:dyDescent="0.2">
      <c r="A14" s="9" t="s">
        <v>115</v>
      </c>
      <c r="B14" s="10" t="s">
        <v>109</v>
      </c>
      <c r="C14" s="11">
        <v>413.5</v>
      </c>
      <c r="D14" s="11">
        <v>479</v>
      </c>
      <c r="E14" s="11">
        <v>516.29999999999995</v>
      </c>
      <c r="F14" s="11">
        <v>553.6</v>
      </c>
      <c r="G14" s="11">
        <v>590.9</v>
      </c>
      <c r="H14" s="11">
        <v>628</v>
      </c>
      <c r="I14" s="11">
        <v>628</v>
      </c>
      <c r="J14" s="11">
        <v>628</v>
      </c>
      <c r="K14" s="11">
        <v>628</v>
      </c>
      <c r="L14" s="11">
        <v>628</v>
      </c>
      <c r="M14" s="11">
        <v>628</v>
      </c>
      <c r="N14" s="11">
        <v>628</v>
      </c>
      <c r="O14" s="11">
        <v>628</v>
      </c>
      <c r="P14" s="11">
        <v>628</v>
      </c>
      <c r="Q14" s="11">
        <v>628</v>
      </c>
      <c r="R14" s="11">
        <v>628</v>
      </c>
      <c r="S14" s="11">
        <v>628</v>
      </c>
      <c r="T14" s="11">
        <v>628</v>
      </c>
      <c r="U14" s="11">
        <v>628</v>
      </c>
      <c r="V14" s="11">
        <v>628</v>
      </c>
      <c r="W14" s="11">
        <v>628</v>
      </c>
      <c r="X14" s="11">
        <v>628</v>
      </c>
      <c r="Y14" s="11">
        <v>628</v>
      </c>
      <c r="Z14" s="11">
        <v>628</v>
      </c>
      <c r="AA14" s="11">
        <v>628</v>
      </c>
      <c r="AB14" s="11">
        <v>628</v>
      </c>
      <c r="AC14" s="11">
        <v>628</v>
      </c>
      <c r="AD14" s="11">
        <v>628</v>
      </c>
      <c r="AE14" s="11">
        <v>628</v>
      </c>
      <c r="AF14" s="11">
        <v>628</v>
      </c>
      <c r="AG14" s="11">
        <v>628</v>
      </c>
      <c r="AH14" s="11">
        <v>628</v>
      </c>
      <c r="AI14" s="11">
        <v>628</v>
      </c>
      <c r="AJ14" s="11">
        <v>628</v>
      </c>
      <c r="AK14" s="11">
        <v>628</v>
      </c>
      <c r="AL14" s="11">
        <v>628</v>
      </c>
      <c r="AM14" s="11">
        <v>628</v>
      </c>
      <c r="AN14" s="11">
        <v>628</v>
      </c>
      <c r="AO14" s="11">
        <v>628</v>
      </c>
      <c r="AP14" s="11">
        <v>628</v>
      </c>
      <c r="AQ14" s="11">
        <v>628</v>
      </c>
      <c r="AR14" s="11">
        <v>628</v>
      </c>
      <c r="AS14" s="11">
        <v>628</v>
      </c>
      <c r="AT14" s="11">
        <v>628</v>
      </c>
      <c r="AU14" s="11">
        <v>628</v>
      </c>
      <c r="AV14" s="11">
        <v>628</v>
      </c>
      <c r="AW14" s="11">
        <v>628</v>
      </c>
      <c r="AX14" s="11">
        <v>628</v>
      </c>
      <c r="AY14" s="11">
        <v>628</v>
      </c>
      <c r="AZ14" s="11">
        <v>628</v>
      </c>
      <c r="BA14" s="11">
        <v>628</v>
      </c>
      <c r="BB14" s="11">
        <v>628</v>
      </c>
      <c r="BC14" s="11">
        <v>628</v>
      </c>
      <c r="BD14" s="11">
        <v>628</v>
      </c>
      <c r="BE14" s="11">
        <v>628</v>
      </c>
      <c r="BF14" s="11">
        <v>628</v>
      </c>
      <c r="BG14" s="11">
        <v>628</v>
      </c>
      <c r="BH14" s="11">
        <v>628</v>
      </c>
      <c r="BI14" s="11">
        <v>628</v>
      </c>
      <c r="BJ14" s="11">
        <v>628</v>
      </c>
      <c r="BK14" s="11">
        <v>628</v>
      </c>
      <c r="BL14" s="11">
        <v>628</v>
      </c>
      <c r="BM14" s="11">
        <v>628</v>
      </c>
      <c r="BN14" s="11">
        <v>628</v>
      </c>
      <c r="BO14" s="11">
        <v>628</v>
      </c>
      <c r="BP14" s="11">
        <v>628</v>
      </c>
      <c r="BQ14" s="11">
        <v>628</v>
      </c>
      <c r="BR14" s="11">
        <v>628</v>
      </c>
      <c r="BS14" s="11">
        <v>628</v>
      </c>
      <c r="BT14" s="11">
        <v>628</v>
      </c>
      <c r="BU14" s="11">
        <v>628</v>
      </c>
      <c r="BV14" s="11">
        <v>628</v>
      </c>
      <c r="BW14" s="11">
        <v>628</v>
      </c>
      <c r="BX14" s="11">
        <v>628</v>
      </c>
      <c r="BY14" s="11">
        <v>628</v>
      </c>
      <c r="BZ14" s="11">
        <v>628</v>
      </c>
      <c r="CA14" s="11">
        <v>628</v>
      </c>
      <c r="CB14" s="11">
        <v>628</v>
      </c>
      <c r="CC14" s="11">
        <v>628</v>
      </c>
      <c r="CD14" s="11">
        <v>628</v>
      </c>
      <c r="CE14" s="11">
        <v>628</v>
      </c>
      <c r="CF14" s="11">
        <v>628</v>
      </c>
      <c r="CG14" s="11">
        <v>628</v>
      </c>
      <c r="CH14" s="11">
        <v>628</v>
      </c>
      <c r="CI14" s="11">
        <v>628</v>
      </c>
      <c r="CJ14" s="11">
        <v>628</v>
      </c>
      <c r="CK14" s="11">
        <v>628</v>
      </c>
      <c r="CL14" s="11">
        <v>628</v>
      </c>
      <c r="CM14" s="11">
        <v>628</v>
      </c>
      <c r="CN14" s="11">
        <v>628</v>
      </c>
      <c r="CO14" s="11">
        <v>628</v>
      </c>
      <c r="CP14" s="11">
        <v>628</v>
      </c>
      <c r="CQ14" s="11">
        <v>628</v>
      </c>
      <c r="CR14" s="11">
        <v>628</v>
      </c>
      <c r="CS14" s="11">
        <v>628</v>
      </c>
      <c r="CT14" s="11">
        <v>628</v>
      </c>
      <c r="CU14" s="11">
        <v>628</v>
      </c>
      <c r="CV14" s="11">
        <v>628</v>
      </c>
      <c r="CW14" s="11">
        <v>628</v>
      </c>
      <c r="CX14" s="11">
        <v>628</v>
      </c>
    </row>
    <row r="15" spans="1:103" s="2" customFormat="1" ht="15" customHeight="1" x14ac:dyDescent="0.2">
      <c r="A15" s="14" t="s">
        <v>116</v>
      </c>
      <c r="B15" s="10" t="s">
        <v>109</v>
      </c>
      <c r="C15" s="11" t="s">
        <v>109</v>
      </c>
      <c r="D15" s="11" t="s">
        <v>109</v>
      </c>
      <c r="E15" s="11" t="s">
        <v>109</v>
      </c>
      <c r="F15" s="11" t="s">
        <v>109</v>
      </c>
      <c r="G15" s="11" t="s">
        <v>109</v>
      </c>
      <c r="H15" s="11" t="s">
        <v>109</v>
      </c>
      <c r="I15" s="11" t="s">
        <v>109</v>
      </c>
      <c r="J15" s="11" t="s">
        <v>109</v>
      </c>
      <c r="K15" s="11" t="s">
        <v>109</v>
      </c>
      <c r="L15" s="11" t="s">
        <v>109</v>
      </c>
      <c r="M15" s="11" t="s">
        <v>109</v>
      </c>
      <c r="N15" s="11" t="s">
        <v>109</v>
      </c>
      <c r="O15" s="11" t="s">
        <v>109</v>
      </c>
      <c r="P15" s="11" t="s">
        <v>109</v>
      </c>
      <c r="Q15" s="11" t="s">
        <v>109</v>
      </c>
      <c r="R15" s="11" t="s">
        <v>109</v>
      </c>
      <c r="S15" s="11" t="s">
        <v>109</v>
      </c>
      <c r="T15" s="11" t="s">
        <v>109</v>
      </c>
      <c r="U15" s="11" t="s">
        <v>109</v>
      </c>
      <c r="V15" s="11" t="s">
        <v>109</v>
      </c>
      <c r="W15" s="11" t="s">
        <v>109</v>
      </c>
      <c r="X15" s="11" t="s">
        <v>109</v>
      </c>
      <c r="Y15" s="11" t="s">
        <v>109</v>
      </c>
      <c r="Z15" s="11" t="s">
        <v>109</v>
      </c>
      <c r="AA15" s="11" t="s">
        <v>109</v>
      </c>
      <c r="AB15" s="11" t="s">
        <v>109</v>
      </c>
      <c r="AC15" s="11" t="s">
        <v>109</v>
      </c>
      <c r="AD15" s="11" t="s">
        <v>109</v>
      </c>
      <c r="AE15" s="11" t="s">
        <v>109</v>
      </c>
      <c r="AF15" s="11" t="s">
        <v>109</v>
      </c>
      <c r="AG15" s="11" t="s">
        <v>109</v>
      </c>
      <c r="AH15" s="11" t="s">
        <v>109</v>
      </c>
      <c r="AI15" s="11" t="s">
        <v>109</v>
      </c>
      <c r="AJ15" s="11" t="s">
        <v>109</v>
      </c>
      <c r="AK15" s="11" t="s">
        <v>109</v>
      </c>
      <c r="AL15" s="11" t="s">
        <v>109</v>
      </c>
      <c r="AM15" s="11" t="s">
        <v>109</v>
      </c>
      <c r="AN15" s="11" t="s">
        <v>109</v>
      </c>
      <c r="AO15" s="11" t="s">
        <v>109</v>
      </c>
      <c r="AP15" s="11" t="s">
        <v>109</v>
      </c>
      <c r="AQ15" s="11" t="s">
        <v>109</v>
      </c>
      <c r="AR15" s="11" t="s">
        <v>109</v>
      </c>
      <c r="AS15" s="11" t="s">
        <v>109</v>
      </c>
      <c r="AT15" s="11" t="s">
        <v>109</v>
      </c>
      <c r="AU15" s="11" t="s">
        <v>109</v>
      </c>
      <c r="AV15" s="11" t="s">
        <v>109</v>
      </c>
      <c r="AW15" s="11" t="s">
        <v>109</v>
      </c>
      <c r="AX15" s="11" t="s">
        <v>109</v>
      </c>
      <c r="AY15" s="11" t="s">
        <v>109</v>
      </c>
      <c r="AZ15" s="11" t="s">
        <v>109</v>
      </c>
      <c r="BA15" s="11" t="s">
        <v>109</v>
      </c>
      <c r="BB15" s="11" t="s">
        <v>109</v>
      </c>
      <c r="BC15" s="11" t="s">
        <v>109</v>
      </c>
      <c r="BD15" s="11" t="s">
        <v>109</v>
      </c>
      <c r="BE15" s="11" t="s">
        <v>109</v>
      </c>
      <c r="BF15" s="11" t="s">
        <v>109</v>
      </c>
      <c r="BG15" s="11" t="s">
        <v>109</v>
      </c>
      <c r="BH15" s="11" t="s">
        <v>109</v>
      </c>
      <c r="BI15" s="11" t="s">
        <v>109</v>
      </c>
      <c r="BJ15" s="11" t="s">
        <v>109</v>
      </c>
      <c r="BK15" s="11" t="s">
        <v>109</v>
      </c>
      <c r="BL15" s="11" t="s">
        <v>109</v>
      </c>
      <c r="BM15" s="11" t="s">
        <v>109</v>
      </c>
      <c r="BN15" s="11" t="s">
        <v>109</v>
      </c>
      <c r="BO15" s="11" t="s">
        <v>109</v>
      </c>
      <c r="BP15" s="11" t="s">
        <v>109</v>
      </c>
      <c r="BQ15" s="11" t="s">
        <v>109</v>
      </c>
      <c r="BR15" s="11" t="s">
        <v>109</v>
      </c>
      <c r="BS15" s="11" t="s">
        <v>109</v>
      </c>
      <c r="BT15" s="11" t="s">
        <v>109</v>
      </c>
      <c r="BU15" s="11" t="s">
        <v>109</v>
      </c>
      <c r="BV15" s="11" t="s">
        <v>109</v>
      </c>
      <c r="BW15" s="11" t="s">
        <v>109</v>
      </c>
      <c r="BX15" s="11" t="s">
        <v>109</v>
      </c>
      <c r="BY15" s="11" t="s">
        <v>109</v>
      </c>
      <c r="BZ15" s="11" t="s">
        <v>109</v>
      </c>
      <c r="CA15" s="11" t="s">
        <v>109</v>
      </c>
      <c r="CB15" s="11" t="s">
        <v>109</v>
      </c>
      <c r="CC15" s="11" t="s">
        <v>109</v>
      </c>
      <c r="CD15" s="11" t="s">
        <v>109</v>
      </c>
      <c r="CE15" s="11" t="s">
        <v>109</v>
      </c>
      <c r="CF15" s="11" t="s">
        <v>109</v>
      </c>
      <c r="CG15" s="11" t="s">
        <v>109</v>
      </c>
      <c r="CH15" s="11" t="s">
        <v>109</v>
      </c>
      <c r="CI15" s="11" t="s">
        <v>109</v>
      </c>
      <c r="CJ15" s="11" t="s">
        <v>109</v>
      </c>
      <c r="CK15" s="11" t="s">
        <v>109</v>
      </c>
      <c r="CL15" s="11" t="s">
        <v>109</v>
      </c>
      <c r="CM15" s="11" t="s">
        <v>109</v>
      </c>
      <c r="CN15" s="11" t="s">
        <v>109</v>
      </c>
      <c r="CO15" s="11" t="s">
        <v>109</v>
      </c>
      <c r="CP15" s="11" t="s">
        <v>109</v>
      </c>
      <c r="CQ15" s="11" t="s">
        <v>109</v>
      </c>
      <c r="CR15" s="11" t="s">
        <v>109</v>
      </c>
      <c r="CS15" s="11" t="s">
        <v>109</v>
      </c>
      <c r="CT15" s="11" t="s">
        <v>109</v>
      </c>
      <c r="CU15" s="11" t="s">
        <v>109</v>
      </c>
      <c r="CV15" s="11" t="s">
        <v>109</v>
      </c>
      <c r="CW15" s="11" t="s">
        <v>109</v>
      </c>
      <c r="CX15" s="11" t="s">
        <v>109</v>
      </c>
      <c r="CY15"/>
    </row>
    <row r="16" spans="1:103" s="2" customFormat="1" ht="15" customHeight="1" x14ac:dyDescent="0.2">
      <c r="A16" s="9" t="s">
        <v>117</v>
      </c>
      <c r="B16" s="10" t="s">
        <v>109</v>
      </c>
      <c r="C16" s="11">
        <v>906</v>
      </c>
      <c r="D16" s="11">
        <v>728</v>
      </c>
      <c r="E16" s="11">
        <v>576.1</v>
      </c>
      <c r="F16" s="11">
        <v>424.2</v>
      </c>
      <c r="G16" s="11">
        <v>272.3</v>
      </c>
      <c r="H16" s="11">
        <v>120</v>
      </c>
      <c r="I16" s="11">
        <v>120</v>
      </c>
      <c r="J16" s="11">
        <v>120</v>
      </c>
      <c r="K16" s="11">
        <v>120</v>
      </c>
      <c r="L16" s="11">
        <v>120</v>
      </c>
      <c r="M16" s="11">
        <v>120</v>
      </c>
      <c r="N16" s="11">
        <v>120</v>
      </c>
      <c r="O16" s="11">
        <v>120</v>
      </c>
      <c r="P16" s="11">
        <v>120</v>
      </c>
      <c r="Q16" s="11">
        <v>120</v>
      </c>
      <c r="R16" s="11">
        <v>120</v>
      </c>
      <c r="S16" s="11">
        <v>120</v>
      </c>
      <c r="T16" s="11">
        <v>120</v>
      </c>
      <c r="U16" s="11">
        <v>120</v>
      </c>
      <c r="V16" s="11">
        <v>120</v>
      </c>
      <c r="W16" s="11">
        <v>120</v>
      </c>
      <c r="X16" s="11">
        <v>120</v>
      </c>
      <c r="Y16" s="11">
        <v>120</v>
      </c>
      <c r="Z16" s="11">
        <v>120</v>
      </c>
      <c r="AA16" s="11">
        <v>120</v>
      </c>
      <c r="AB16" s="11">
        <v>120</v>
      </c>
      <c r="AC16" s="11">
        <v>120</v>
      </c>
      <c r="AD16" s="11">
        <v>120</v>
      </c>
      <c r="AE16" s="11">
        <v>120</v>
      </c>
      <c r="AF16" s="11">
        <v>120</v>
      </c>
      <c r="AG16" s="11">
        <v>120</v>
      </c>
      <c r="AH16" s="11">
        <v>120</v>
      </c>
      <c r="AI16" s="11">
        <v>120</v>
      </c>
      <c r="AJ16" s="11">
        <v>120</v>
      </c>
      <c r="AK16" s="11">
        <v>120</v>
      </c>
      <c r="AL16" s="11">
        <v>120</v>
      </c>
      <c r="AM16" s="11">
        <v>120</v>
      </c>
      <c r="AN16" s="11">
        <v>120</v>
      </c>
      <c r="AO16" s="11">
        <v>120</v>
      </c>
      <c r="AP16" s="11">
        <v>120</v>
      </c>
      <c r="AQ16" s="11">
        <v>120</v>
      </c>
      <c r="AR16" s="11">
        <v>120</v>
      </c>
      <c r="AS16" s="11">
        <v>120</v>
      </c>
      <c r="AT16" s="11">
        <v>120</v>
      </c>
      <c r="AU16" s="11">
        <v>120</v>
      </c>
      <c r="AV16" s="11">
        <v>120</v>
      </c>
      <c r="AW16" s="11">
        <v>120</v>
      </c>
      <c r="AX16" s="11">
        <v>120</v>
      </c>
      <c r="AY16" s="11">
        <v>120</v>
      </c>
      <c r="AZ16" s="11">
        <v>120</v>
      </c>
      <c r="BA16" s="11">
        <v>120</v>
      </c>
      <c r="BB16" s="11">
        <v>120</v>
      </c>
      <c r="BC16" s="11">
        <v>120</v>
      </c>
      <c r="BD16" s="11">
        <v>120</v>
      </c>
      <c r="BE16" s="11">
        <v>120</v>
      </c>
      <c r="BF16" s="11">
        <v>120</v>
      </c>
      <c r="BG16" s="11">
        <v>120</v>
      </c>
      <c r="BH16" s="11">
        <v>120</v>
      </c>
      <c r="BI16" s="11">
        <v>120</v>
      </c>
      <c r="BJ16" s="11">
        <v>120</v>
      </c>
      <c r="BK16" s="11">
        <v>120</v>
      </c>
      <c r="BL16" s="11">
        <v>120</v>
      </c>
      <c r="BM16" s="11">
        <v>120</v>
      </c>
      <c r="BN16" s="11">
        <v>120</v>
      </c>
      <c r="BO16" s="11">
        <v>120</v>
      </c>
      <c r="BP16" s="11">
        <v>120</v>
      </c>
      <c r="BQ16" s="11">
        <v>120</v>
      </c>
      <c r="BR16" s="11">
        <v>120</v>
      </c>
      <c r="BS16" s="11">
        <v>120</v>
      </c>
      <c r="BT16" s="11">
        <v>120</v>
      </c>
      <c r="BU16" s="11">
        <v>120</v>
      </c>
      <c r="BV16" s="11">
        <v>120</v>
      </c>
      <c r="BW16" s="11">
        <v>120</v>
      </c>
      <c r="BX16" s="11">
        <v>120</v>
      </c>
      <c r="BY16" s="11">
        <v>120</v>
      </c>
      <c r="BZ16" s="11">
        <v>120</v>
      </c>
      <c r="CA16" s="11">
        <v>120</v>
      </c>
      <c r="CB16" s="11">
        <v>120</v>
      </c>
      <c r="CC16" s="11">
        <v>120</v>
      </c>
      <c r="CD16" s="11">
        <v>120</v>
      </c>
      <c r="CE16" s="11">
        <v>120</v>
      </c>
      <c r="CF16" s="11">
        <v>120</v>
      </c>
      <c r="CG16" s="11">
        <v>120</v>
      </c>
      <c r="CH16" s="11">
        <v>120</v>
      </c>
      <c r="CI16" s="11">
        <v>120</v>
      </c>
      <c r="CJ16" s="11">
        <v>120</v>
      </c>
      <c r="CK16" s="11">
        <v>120</v>
      </c>
      <c r="CL16" s="11">
        <v>120</v>
      </c>
      <c r="CM16" s="11">
        <v>120</v>
      </c>
      <c r="CN16" s="11">
        <v>120</v>
      </c>
      <c r="CO16" s="11">
        <v>120</v>
      </c>
      <c r="CP16" s="11">
        <v>120</v>
      </c>
      <c r="CQ16" s="11">
        <v>120</v>
      </c>
      <c r="CR16" s="11">
        <v>120</v>
      </c>
      <c r="CS16" s="11">
        <v>120</v>
      </c>
      <c r="CT16" s="11">
        <v>120</v>
      </c>
      <c r="CU16" s="11">
        <v>120</v>
      </c>
      <c r="CV16" s="11">
        <v>120</v>
      </c>
      <c r="CW16" s="11">
        <v>120</v>
      </c>
      <c r="CX16" s="11">
        <v>120</v>
      </c>
    </row>
    <row r="17" spans="1:103" s="2" customFormat="1" ht="15" customHeight="1" x14ac:dyDescent="0.2">
      <c r="A17" s="14" t="s">
        <v>118</v>
      </c>
      <c r="B17" s="10" t="s">
        <v>109</v>
      </c>
      <c r="C17" s="11" t="s">
        <v>109</v>
      </c>
      <c r="D17" s="11" t="s">
        <v>109</v>
      </c>
      <c r="E17" s="11" t="s">
        <v>109</v>
      </c>
      <c r="F17" s="11" t="s">
        <v>109</v>
      </c>
      <c r="G17" s="11" t="s">
        <v>109</v>
      </c>
      <c r="H17" s="11" t="s">
        <v>109</v>
      </c>
      <c r="I17" s="11" t="s">
        <v>109</v>
      </c>
      <c r="J17" s="11" t="s">
        <v>109</v>
      </c>
      <c r="K17" s="11" t="s">
        <v>109</v>
      </c>
      <c r="L17" s="11" t="s">
        <v>109</v>
      </c>
      <c r="M17" s="11" t="s">
        <v>109</v>
      </c>
      <c r="N17" s="11" t="s">
        <v>109</v>
      </c>
      <c r="O17" s="11" t="s">
        <v>109</v>
      </c>
      <c r="P17" s="11" t="s">
        <v>109</v>
      </c>
      <c r="Q17" s="11" t="s">
        <v>109</v>
      </c>
      <c r="R17" s="11" t="s">
        <v>109</v>
      </c>
      <c r="S17" s="11" t="s">
        <v>109</v>
      </c>
      <c r="T17" s="11" t="s">
        <v>109</v>
      </c>
      <c r="U17" s="11" t="s">
        <v>109</v>
      </c>
      <c r="V17" s="11" t="s">
        <v>109</v>
      </c>
      <c r="W17" s="11" t="s">
        <v>109</v>
      </c>
      <c r="X17" s="11" t="s">
        <v>109</v>
      </c>
      <c r="Y17" s="11" t="s">
        <v>109</v>
      </c>
      <c r="Z17" s="11" t="s">
        <v>109</v>
      </c>
      <c r="AA17" s="11" t="s">
        <v>109</v>
      </c>
      <c r="AB17" s="11" t="s">
        <v>109</v>
      </c>
      <c r="AC17" s="11" t="s">
        <v>109</v>
      </c>
      <c r="AD17" s="11" t="s">
        <v>109</v>
      </c>
      <c r="AE17" s="11" t="s">
        <v>109</v>
      </c>
      <c r="AF17" s="11" t="s">
        <v>109</v>
      </c>
      <c r="AG17" s="11" t="s">
        <v>109</v>
      </c>
      <c r="AH17" s="11" t="s">
        <v>109</v>
      </c>
      <c r="AI17" s="11" t="s">
        <v>109</v>
      </c>
      <c r="AJ17" s="11" t="s">
        <v>109</v>
      </c>
      <c r="AK17" s="11" t="s">
        <v>109</v>
      </c>
      <c r="AL17" s="11" t="s">
        <v>109</v>
      </c>
      <c r="AM17" s="11" t="s">
        <v>109</v>
      </c>
      <c r="AN17" s="11" t="s">
        <v>109</v>
      </c>
      <c r="AO17" s="11" t="s">
        <v>109</v>
      </c>
      <c r="AP17" s="11" t="s">
        <v>109</v>
      </c>
      <c r="AQ17" s="11" t="s">
        <v>109</v>
      </c>
      <c r="AR17" s="11" t="s">
        <v>109</v>
      </c>
      <c r="AS17" s="11" t="s">
        <v>109</v>
      </c>
      <c r="AT17" s="11" t="s">
        <v>109</v>
      </c>
      <c r="AU17" s="11" t="s">
        <v>109</v>
      </c>
      <c r="AV17" s="11" t="s">
        <v>109</v>
      </c>
      <c r="AW17" s="11" t="s">
        <v>109</v>
      </c>
      <c r="AX17" s="11" t="s">
        <v>109</v>
      </c>
      <c r="AY17" s="11" t="s">
        <v>109</v>
      </c>
      <c r="AZ17" s="11" t="s">
        <v>109</v>
      </c>
      <c r="BA17" s="11" t="s">
        <v>109</v>
      </c>
      <c r="BB17" s="11" t="s">
        <v>109</v>
      </c>
      <c r="BC17" s="11" t="s">
        <v>109</v>
      </c>
      <c r="BD17" s="11" t="s">
        <v>109</v>
      </c>
      <c r="BE17" s="11" t="s">
        <v>109</v>
      </c>
      <c r="BF17" s="11" t="s">
        <v>109</v>
      </c>
      <c r="BG17" s="11" t="s">
        <v>109</v>
      </c>
      <c r="BH17" s="11" t="s">
        <v>109</v>
      </c>
      <c r="BI17" s="11" t="s">
        <v>109</v>
      </c>
      <c r="BJ17" s="11" t="s">
        <v>109</v>
      </c>
      <c r="BK17" s="11" t="s">
        <v>109</v>
      </c>
      <c r="BL17" s="11" t="s">
        <v>109</v>
      </c>
      <c r="BM17" s="11" t="s">
        <v>109</v>
      </c>
      <c r="BN17" s="11" t="s">
        <v>109</v>
      </c>
      <c r="BO17" s="11" t="s">
        <v>109</v>
      </c>
      <c r="BP17" s="11" t="s">
        <v>109</v>
      </c>
      <c r="BQ17" s="11" t="s">
        <v>109</v>
      </c>
      <c r="BR17" s="11" t="s">
        <v>109</v>
      </c>
      <c r="BS17" s="11" t="s">
        <v>109</v>
      </c>
      <c r="BT17" s="11" t="s">
        <v>109</v>
      </c>
      <c r="BU17" s="11" t="s">
        <v>109</v>
      </c>
      <c r="BV17" s="11" t="s">
        <v>109</v>
      </c>
      <c r="BW17" s="11" t="s">
        <v>109</v>
      </c>
      <c r="BX17" s="11" t="s">
        <v>109</v>
      </c>
      <c r="BY17" s="11" t="s">
        <v>109</v>
      </c>
      <c r="BZ17" s="11" t="s">
        <v>109</v>
      </c>
      <c r="CA17" s="11" t="s">
        <v>109</v>
      </c>
      <c r="CB17" s="11" t="s">
        <v>109</v>
      </c>
      <c r="CC17" s="11" t="s">
        <v>109</v>
      </c>
      <c r="CD17" s="11" t="s">
        <v>109</v>
      </c>
      <c r="CE17" s="11" t="s">
        <v>109</v>
      </c>
      <c r="CF17" s="11" t="s">
        <v>109</v>
      </c>
      <c r="CG17" s="11" t="s">
        <v>109</v>
      </c>
      <c r="CH17" s="11" t="s">
        <v>109</v>
      </c>
      <c r="CI17" s="11" t="s">
        <v>109</v>
      </c>
      <c r="CJ17" s="11" t="s">
        <v>109</v>
      </c>
      <c r="CK17" s="11" t="s">
        <v>109</v>
      </c>
      <c r="CL17" s="11" t="s">
        <v>109</v>
      </c>
      <c r="CM17" s="11" t="s">
        <v>109</v>
      </c>
      <c r="CN17" s="11" t="s">
        <v>109</v>
      </c>
      <c r="CO17" s="11" t="s">
        <v>109</v>
      </c>
      <c r="CP17" s="11" t="s">
        <v>109</v>
      </c>
      <c r="CQ17" s="11" t="s">
        <v>109</v>
      </c>
      <c r="CR17" s="11" t="s">
        <v>109</v>
      </c>
      <c r="CS17" s="11" t="s">
        <v>109</v>
      </c>
      <c r="CT17" s="11" t="s">
        <v>109</v>
      </c>
      <c r="CU17" s="11" t="s">
        <v>109</v>
      </c>
      <c r="CV17" s="11" t="s">
        <v>109</v>
      </c>
      <c r="CW17" s="11" t="s">
        <v>109</v>
      </c>
      <c r="CX17" s="11" t="s">
        <v>109</v>
      </c>
      <c r="CY17"/>
    </row>
    <row r="18" spans="1:103" s="2" customFormat="1" ht="15" customHeight="1" x14ac:dyDescent="0.2">
      <c r="A18" s="9" t="s">
        <v>119</v>
      </c>
      <c r="B18" s="10" t="s">
        <v>109</v>
      </c>
      <c r="C18" s="11">
        <v>906</v>
      </c>
      <c r="D18" s="11">
        <v>728</v>
      </c>
      <c r="E18" s="11">
        <v>576.1</v>
      </c>
      <c r="F18" s="11">
        <v>424.2</v>
      </c>
      <c r="G18" s="11">
        <v>272.3</v>
      </c>
      <c r="H18" s="11">
        <v>120</v>
      </c>
      <c r="I18" s="11">
        <v>120</v>
      </c>
      <c r="J18" s="11">
        <v>120</v>
      </c>
      <c r="K18" s="11">
        <v>120</v>
      </c>
      <c r="L18" s="11">
        <v>120</v>
      </c>
      <c r="M18" s="11">
        <v>120</v>
      </c>
      <c r="N18" s="11">
        <v>120</v>
      </c>
      <c r="O18" s="11">
        <v>120</v>
      </c>
      <c r="P18" s="11">
        <v>120</v>
      </c>
      <c r="Q18" s="11">
        <v>120</v>
      </c>
      <c r="R18" s="11">
        <v>120</v>
      </c>
      <c r="S18" s="11">
        <v>120</v>
      </c>
      <c r="T18" s="11">
        <v>120</v>
      </c>
      <c r="U18" s="11">
        <v>120</v>
      </c>
      <c r="V18" s="11">
        <v>120</v>
      </c>
      <c r="W18" s="11">
        <v>120</v>
      </c>
      <c r="X18" s="11">
        <v>120</v>
      </c>
      <c r="Y18" s="11">
        <v>120</v>
      </c>
      <c r="Z18" s="11">
        <v>120</v>
      </c>
      <c r="AA18" s="11">
        <v>120</v>
      </c>
      <c r="AB18" s="11">
        <v>120</v>
      </c>
      <c r="AC18" s="11">
        <v>120</v>
      </c>
      <c r="AD18" s="11">
        <v>120</v>
      </c>
      <c r="AE18" s="11">
        <v>120</v>
      </c>
      <c r="AF18" s="11">
        <v>120</v>
      </c>
      <c r="AG18" s="11">
        <v>120</v>
      </c>
      <c r="AH18" s="11">
        <v>120</v>
      </c>
      <c r="AI18" s="11">
        <v>120</v>
      </c>
      <c r="AJ18" s="11">
        <v>120</v>
      </c>
      <c r="AK18" s="11">
        <v>120</v>
      </c>
      <c r="AL18" s="11">
        <v>120</v>
      </c>
      <c r="AM18" s="11">
        <v>120</v>
      </c>
      <c r="AN18" s="11">
        <v>120</v>
      </c>
      <c r="AO18" s="11">
        <v>120</v>
      </c>
      <c r="AP18" s="11">
        <v>120</v>
      </c>
      <c r="AQ18" s="11">
        <v>120</v>
      </c>
      <c r="AR18" s="11">
        <v>120</v>
      </c>
      <c r="AS18" s="11">
        <v>120</v>
      </c>
      <c r="AT18" s="11">
        <v>120</v>
      </c>
      <c r="AU18" s="11">
        <v>120</v>
      </c>
      <c r="AV18" s="11">
        <v>120</v>
      </c>
      <c r="AW18" s="11">
        <v>120</v>
      </c>
      <c r="AX18" s="11">
        <v>120</v>
      </c>
      <c r="AY18" s="11">
        <v>120</v>
      </c>
      <c r="AZ18" s="11">
        <v>120</v>
      </c>
      <c r="BA18" s="11">
        <v>120</v>
      </c>
      <c r="BB18" s="11">
        <v>120</v>
      </c>
      <c r="BC18" s="11">
        <v>120</v>
      </c>
      <c r="BD18" s="11">
        <v>120</v>
      </c>
      <c r="BE18" s="11">
        <v>120</v>
      </c>
      <c r="BF18" s="11">
        <v>120</v>
      </c>
      <c r="BG18" s="11">
        <v>120</v>
      </c>
      <c r="BH18" s="11">
        <v>120</v>
      </c>
      <c r="BI18" s="11">
        <v>120</v>
      </c>
      <c r="BJ18" s="11">
        <v>120</v>
      </c>
      <c r="BK18" s="11">
        <v>120</v>
      </c>
      <c r="BL18" s="11">
        <v>120</v>
      </c>
      <c r="BM18" s="11">
        <v>120</v>
      </c>
      <c r="BN18" s="11">
        <v>120</v>
      </c>
      <c r="BO18" s="11">
        <v>120</v>
      </c>
      <c r="BP18" s="11">
        <v>120</v>
      </c>
      <c r="BQ18" s="11">
        <v>120</v>
      </c>
      <c r="BR18" s="11">
        <v>120</v>
      </c>
      <c r="BS18" s="11">
        <v>120</v>
      </c>
      <c r="BT18" s="11">
        <v>120</v>
      </c>
      <c r="BU18" s="11">
        <v>120</v>
      </c>
      <c r="BV18" s="11">
        <v>120</v>
      </c>
      <c r="BW18" s="11">
        <v>120</v>
      </c>
      <c r="BX18" s="11">
        <v>120</v>
      </c>
      <c r="BY18" s="11">
        <v>120</v>
      </c>
      <c r="BZ18" s="11">
        <v>120</v>
      </c>
      <c r="CA18" s="11">
        <v>120</v>
      </c>
      <c r="CB18" s="11">
        <v>120</v>
      </c>
      <c r="CC18" s="11">
        <v>120</v>
      </c>
      <c r="CD18" s="11">
        <v>120</v>
      </c>
      <c r="CE18" s="11">
        <v>120</v>
      </c>
      <c r="CF18" s="11">
        <v>120</v>
      </c>
      <c r="CG18" s="11">
        <v>120</v>
      </c>
      <c r="CH18" s="11">
        <v>120</v>
      </c>
      <c r="CI18" s="11">
        <v>120</v>
      </c>
      <c r="CJ18" s="11">
        <v>120</v>
      </c>
      <c r="CK18" s="11">
        <v>120</v>
      </c>
      <c r="CL18" s="11">
        <v>120</v>
      </c>
      <c r="CM18" s="11">
        <v>120</v>
      </c>
      <c r="CN18" s="11">
        <v>120</v>
      </c>
      <c r="CO18" s="11">
        <v>120</v>
      </c>
      <c r="CP18" s="11">
        <v>120</v>
      </c>
      <c r="CQ18" s="11">
        <v>120</v>
      </c>
      <c r="CR18" s="11">
        <v>120</v>
      </c>
      <c r="CS18" s="11">
        <v>120</v>
      </c>
      <c r="CT18" s="11">
        <v>120</v>
      </c>
      <c r="CU18" s="11">
        <v>120</v>
      </c>
      <c r="CV18" s="11">
        <v>120</v>
      </c>
      <c r="CW18" s="11">
        <v>120</v>
      </c>
      <c r="CX18" s="11">
        <v>120</v>
      </c>
    </row>
    <row r="19" spans="1:103" s="2" customFormat="1" ht="15" customHeight="1" x14ac:dyDescent="0.2">
      <c r="A19" s="14" t="s">
        <v>120</v>
      </c>
      <c r="B19" s="10" t="s">
        <v>109</v>
      </c>
      <c r="C19" s="11">
        <v>889.73699999999997</v>
      </c>
      <c r="D19" s="11">
        <v>733.74400000000003</v>
      </c>
      <c r="E19" s="11">
        <v>586.38800000000003</v>
      </c>
      <c r="F19" s="11">
        <v>434.47899999999998</v>
      </c>
      <c r="G19" s="11">
        <v>278.12700000000001</v>
      </c>
      <c r="H19" s="11">
        <v>117.105</v>
      </c>
      <c r="I19" s="11">
        <v>105.81399999999999</v>
      </c>
      <c r="J19" s="11">
        <v>93.768000000000001</v>
      </c>
      <c r="K19" s="11">
        <v>81.186999999999998</v>
      </c>
      <c r="L19" s="11">
        <v>68.322000000000003</v>
      </c>
      <c r="M19" s="11">
        <v>55.731999999999999</v>
      </c>
      <c r="N19" s="11">
        <v>43.661000000000001</v>
      </c>
      <c r="O19" s="11">
        <v>31.981999999999999</v>
      </c>
      <c r="P19" s="11">
        <v>20.97</v>
      </c>
      <c r="Q19" s="11">
        <v>10.76000000000001</v>
      </c>
      <c r="R19" s="11">
        <v>1.4770000000000041</v>
      </c>
      <c r="S19" s="11">
        <v>-6.9579999999999984</v>
      </c>
      <c r="T19" s="11">
        <v>-14.68199999999999</v>
      </c>
      <c r="U19" s="11">
        <v>-21.739000000000001</v>
      </c>
      <c r="V19" s="11">
        <v>-28.251000000000001</v>
      </c>
      <c r="W19" s="11">
        <v>-34.657000000000011</v>
      </c>
      <c r="X19" s="11">
        <v>-41.25200000000001</v>
      </c>
      <c r="Y19" s="11">
        <v>-47.914999999999992</v>
      </c>
      <c r="Z19" s="11">
        <v>-54.726999999999997</v>
      </c>
      <c r="AA19" s="11">
        <v>-61.729000000000013</v>
      </c>
      <c r="AB19" s="11">
        <v>-69.856999999999999</v>
      </c>
      <c r="AC19" s="11">
        <v>-79.355999999999995</v>
      </c>
      <c r="AD19" s="11">
        <v>-89.429000000000002</v>
      </c>
      <c r="AE19" s="11">
        <v>-99.798000000000002</v>
      </c>
      <c r="AF19" s="11">
        <v>-110.208</v>
      </c>
      <c r="AG19" s="11">
        <v>-120.684</v>
      </c>
      <c r="AH19" s="11">
        <v>-130.98599999999999</v>
      </c>
      <c r="AI19" s="11">
        <v>-140.62299999999999</v>
      </c>
      <c r="AJ19" s="11">
        <v>-149.20400000000001</v>
      </c>
      <c r="AK19" s="11">
        <v>-156.65100000000001</v>
      </c>
      <c r="AL19" s="11">
        <v>-163.04900000000001</v>
      </c>
      <c r="AM19" s="11">
        <v>-168.453</v>
      </c>
      <c r="AN19" s="11">
        <v>-172.75800000000001</v>
      </c>
      <c r="AO19" s="11">
        <v>-176.03100000000001</v>
      </c>
      <c r="AP19" s="11">
        <v>-178.46100000000001</v>
      </c>
      <c r="AQ19" s="11">
        <v>-180.32</v>
      </c>
      <c r="AR19" s="11">
        <v>-181.79</v>
      </c>
      <c r="AS19" s="11">
        <v>-182.79499999999999</v>
      </c>
      <c r="AT19" s="11">
        <v>-183.56399999999999</v>
      </c>
      <c r="AU19" s="11">
        <v>-184.392</v>
      </c>
      <c r="AV19" s="11">
        <v>-185.32900000000001</v>
      </c>
      <c r="AW19" s="11">
        <v>-186.69499999999999</v>
      </c>
      <c r="AX19" s="11">
        <v>-188.61500000000001</v>
      </c>
      <c r="AY19" s="11">
        <v>-191.15700000000001</v>
      </c>
      <c r="AZ19" s="11">
        <v>-194.39099999999999</v>
      </c>
      <c r="BA19" s="11">
        <v>-198.363</v>
      </c>
      <c r="BB19" s="11">
        <v>-202.97200000000001</v>
      </c>
      <c r="BC19" s="11">
        <v>-208.124</v>
      </c>
      <c r="BD19" s="11">
        <v>-213.685</v>
      </c>
      <c r="BE19" s="11">
        <v>-219.48400000000001</v>
      </c>
      <c r="BF19" s="11">
        <v>-225.322</v>
      </c>
      <c r="BG19" s="11">
        <v>-231.113</v>
      </c>
      <c r="BH19" s="11">
        <v>-236.739</v>
      </c>
      <c r="BI19" s="11">
        <v>-242.035</v>
      </c>
      <c r="BJ19" s="11">
        <v>-246.96299999999999</v>
      </c>
      <c r="BK19" s="11">
        <v>-251.471</v>
      </c>
      <c r="BL19" s="11">
        <v>-255.458</v>
      </c>
      <c r="BM19" s="11">
        <v>-258.88400000000001</v>
      </c>
      <c r="BN19" s="11">
        <v>-261.70800000000003</v>
      </c>
      <c r="BO19" s="11">
        <v>-263.90499999999997</v>
      </c>
      <c r="BP19" s="11">
        <v>-265.47399999999999</v>
      </c>
      <c r="BQ19" s="11">
        <v>-266.435</v>
      </c>
      <c r="BR19" s="11">
        <v>-266.83999999999997</v>
      </c>
      <c r="BS19" s="11">
        <v>-266.71499999999997</v>
      </c>
      <c r="BT19" s="11">
        <v>-266.12200000000001</v>
      </c>
      <c r="BU19" s="11">
        <v>-265.08499999999998</v>
      </c>
      <c r="BV19" s="11">
        <v>-263.73200000000003</v>
      </c>
      <c r="BW19" s="11">
        <v>-262.11599999999999</v>
      </c>
      <c r="BX19" s="11">
        <v>-260.31200000000001</v>
      </c>
      <c r="BY19" s="11">
        <v>-258.346</v>
      </c>
      <c r="BZ19" s="11">
        <v>-256.31</v>
      </c>
      <c r="CA19" s="11">
        <v>-254.304</v>
      </c>
      <c r="CB19" s="11">
        <v>-252.34200000000001</v>
      </c>
      <c r="CC19" s="11">
        <v>-250.501</v>
      </c>
      <c r="CD19" s="11">
        <v>-248.767</v>
      </c>
      <c r="CE19" s="11">
        <v>-247.09100000000001</v>
      </c>
      <c r="CF19" s="11">
        <v>-245.44</v>
      </c>
      <c r="CG19" s="11">
        <v>-243.761</v>
      </c>
      <c r="CH19" s="11">
        <v>-241.93100000000001</v>
      </c>
      <c r="CI19" s="11">
        <v>-239.9</v>
      </c>
      <c r="CJ19" s="11">
        <v>-237.59100000000001</v>
      </c>
      <c r="CK19" s="11">
        <v>-234.93799999999999</v>
      </c>
      <c r="CL19" s="11">
        <v>-231.94499999999999</v>
      </c>
      <c r="CM19" s="11">
        <v>-228.584</v>
      </c>
      <c r="CN19" s="11">
        <v>-224.90700000000001</v>
      </c>
      <c r="CO19" s="11">
        <v>-220.96799999999999</v>
      </c>
      <c r="CP19" s="11">
        <v>-216.84399999999999</v>
      </c>
      <c r="CQ19" s="11">
        <v>-212.63499999999999</v>
      </c>
      <c r="CR19" s="11">
        <v>-208.41399999999999</v>
      </c>
      <c r="CS19" s="11">
        <v>-204.28100000000001</v>
      </c>
      <c r="CT19" s="11">
        <v>-200.316</v>
      </c>
      <c r="CU19" s="11">
        <v>-196.61</v>
      </c>
      <c r="CV19" s="11">
        <v>-193.22499999999999</v>
      </c>
      <c r="CW19" s="11">
        <v>-190.19200000000001</v>
      </c>
      <c r="CX19" s="11">
        <v>-187.517</v>
      </c>
    </row>
    <row r="20" spans="1:103" s="2" customFormat="1" ht="15" customHeight="1" x14ac:dyDescent="0.2">
      <c r="A20" s="9" t="s">
        <v>121</v>
      </c>
      <c r="B20" s="10" t="s">
        <v>109</v>
      </c>
      <c r="C20" s="11">
        <v>68492.494999999995</v>
      </c>
      <c r="D20" s="11">
        <v>69226.231</v>
      </c>
      <c r="E20" s="11">
        <v>69812.630999999994</v>
      </c>
      <c r="F20" s="11">
        <v>70247.112999999998</v>
      </c>
      <c r="G20" s="11">
        <v>70525.251000000004</v>
      </c>
      <c r="H20" s="11">
        <v>70642.365999999995</v>
      </c>
      <c r="I20" s="11">
        <v>70748.183999999994</v>
      </c>
      <c r="J20" s="11">
        <v>70841.941999999995</v>
      </c>
      <c r="K20" s="11">
        <v>70923.130999999994</v>
      </c>
      <c r="L20" s="11">
        <v>70991.456000000006</v>
      </c>
      <c r="M20" s="11">
        <v>71047.179999999993</v>
      </c>
      <c r="N20" s="11">
        <v>71090.845000000001</v>
      </c>
      <c r="O20" s="11">
        <v>71122.831999999995</v>
      </c>
      <c r="P20" s="11">
        <v>71143.8</v>
      </c>
      <c r="Q20" s="11">
        <v>71154.554999999993</v>
      </c>
      <c r="R20" s="11">
        <v>71156.042000000001</v>
      </c>
      <c r="S20" s="11">
        <v>71149.096000000005</v>
      </c>
      <c r="T20" s="11">
        <v>71134.407999999996</v>
      </c>
      <c r="U20" s="11">
        <v>71112.67</v>
      </c>
      <c r="V20" s="11">
        <v>71084.426000000007</v>
      </c>
      <c r="W20" s="11">
        <v>71049.754000000001</v>
      </c>
      <c r="X20" s="11">
        <v>71008.509000000005</v>
      </c>
      <c r="Y20" s="11">
        <v>70960.588000000003</v>
      </c>
      <c r="Z20" s="11">
        <v>70905.847999999998</v>
      </c>
      <c r="AA20" s="11">
        <v>70844.130999999994</v>
      </c>
      <c r="AB20" s="11">
        <v>70774.277000000002</v>
      </c>
      <c r="AC20" s="11">
        <v>70694.92</v>
      </c>
      <c r="AD20" s="11">
        <v>70605.494000000006</v>
      </c>
      <c r="AE20" s="11">
        <v>70505.698000000004</v>
      </c>
      <c r="AF20" s="11">
        <v>70395.486999999994</v>
      </c>
      <c r="AG20" s="11">
        <v>70274.803</v>
      </c>
      <c r="AH20" s="11">
        <v>70143.804999999993</v>
      </c>
      <c r="AI20" s="11">
        <v>70003.176000000007</v>
      </c>
      <c r="AJ20" s="11">
        <v>69853.971999999994</v>
      </c>
      <c r="AK20" s="11">
        <v>69697.316999999995</v>
      </c>
      <c r="AL20" s="11">
        <v>69534.263999999996</v>
      </c>
      <c r="AM20" s="11">
        <v>69365.808000000005</v>
      </c>
      <c r="AN20" s="11">
        <v>69193.058000000005</v>
      </c>
      <c r="AO20" s="11">
        <v>69017.028000000006</v>
      </c>
      <c r="AP20" s="11">
        <v>68838.563999999998</v>
      </c>
      <c r="AQ20" s="11">
        <v>68658.25</v>
      </c>
      <c r="AR20" s="11">
        <v>68476.451000000001</v>
      </c>
      <c r="AS20" s="11">
        <v>68293.650999999998</v>
      </c>
      <c r="AT20" s="11">
        <v>68110.081000000006</v>
      </c>
      <c r="AU20" s="11">
        <v>67925.695999999996</v>
      </c>
      <c r="AV20" s="11">
        <v>67740.362999999998</v>
      </c>
      <c r="AW20" s="11">
        <v>67553.667000000001</v>
      </c>
      <c r="AX20" s="11">
        <v>67365.054000000004</v>
      </c>
      <c r="AY20" s="11">
        <v>67173.907999999996</v>
      </c>
      <c r="AZ20" s="11">
        <v>66979.524000000005</v>
      </c>
      <c r="BA20" s="11">
        <v>66781.152000000002</v>
      </c>
      <c r="BB20" s="11">
        <v>66578.179000000004</v>
      </c>
      <c r="BC20" s="11">
        <v>66370.063999999998</v>
      </c>
      <c r="BD20" s="11">
        <v>66156.392000000007</v>
      </c>
      <c r="BE20" s="11">
        <v>65936.910999999993</v>
      </c>
      <c r="BF20" s="11">
        <v>65711.599000000002</v>
      </c>
      <c r="BG20" s="11">
        <v>65480.491000000002</v>
      </c>
      <c r="BH20" s="11">
        <v>65243.762000000002</v>
      </c>
      <c r="BI20" s="11">
        <v>65001.728999999999</v>
      </c>
      <c r="BJ20" s="11">
        <v>64754.779000000002</v>
      </c>
      <c r="BK20" s="11">
        <v>64503.305</v>
      </c>
      <c r="BL20" s="11">
        <v>64247.86</v>
      </c>
      <c r="BM20" s="11">
        <v>63988.982000000004</v>
      </c>
      <c r="BN20" s="11">
        <v>63727.283000000003</v>
      </c>
      <c r="BO20" s="11">
        <v>63463.366999999998</v>
      </c>
      <c r="BP20" s="11">
        <v>63197.902999999998</v>
      </c>
      <c r="BQ20" s="11">
        <v>62931.459000000003</v>
      </c>
      <c r="BR20" s="11">
        <v>62664.623</v>
      </c>
      <c r="BS20" s="11">
        <v>62397.900999999998</v>
      </c>
      <c r="BT20" s="11">
        <v>62131.777000000002</v>
      </c>
      <c r="BU20" s="11">
        <v>61866.688000000002</v>
      </c>
      <c r="BV20" s="11">
        <v>61602.96</v>
      </c>
      <c r="BW20" s="11">
        <v>61340.837</v>
      </c>
      <c r="BX20" s="11">
        <v>61080.531999999999</v>
      </c>
      <c r="BY20" s="11">
        <v>60822.165999999997</v>
      </c>
      <c r="BZ20" s="11">
        <v>60565.858999999997</v>
      </c>
      <c r="CA20" s="11">
        <v>60311.55</v>
      </c>
      <c r="CB20" s="11">
        <v>60059.209000000003</v>
      </c>
      <c r="CC20" s="11">
        <v>59808.720999999998</v>
      </c>
      <c r="CD20" s="11">
        <v>59559.964</v>
      </c>
      <c r="CE20" s="11">
        <v>59312.872000000003</v>
      </c>
      <c r="CF20" s="11">
        <v>59067.440999999999</v>
      </c>
      <c r="CG20" s="11">
        <v>58823.675999999999</v>
      </c>
      <c r="CH20" s="11">
        <v>58581.75</v>
      </c>
      <c r="CI20" s="11">
        <v>58341.857000000004</v>
      </c>
      <c r="CJ20" s="11">
        <v>58104.264000000003</v>
      </c>
      <c r="CK20" s="11">
        <v>57869.315999999999</v>
      </c>
      <c r="CL20" s="11">
        <v>57637.377</v>
      </c>
      <c r="CM20" s="11">
        <v>57408.794000000002</v>
      </c>
      <c r="CN20" s="11">
        <v>57183.889000000003</v>
      </c>
      <c r="CO20" s="11">
        <v>56962.934999999998</v>
      </c>
      <c r="CP20" s="11">
        <v>56746.087</v>
      </c>
      <c r="CQ20" s="11">
        <v>56533.451999999997</v>
      </c>
      <c r="CR20" s="11">
        <v>56325.036</v>
      </c>
      <c r="CS20" s="11">
        <v>56120.771999999997</v>
      </c>
      <c r="CT20" s="11">
        <v>55920.455000000002</v>
      </c>
      <c r="CU20" s="11">
        <v>55723.841999999997</v>
      </c>
      <c r="CV20" s="11">
        <v>55530.627</v>
      </c>
      <c r="CW20" s="11">
        <v>55340.434999999998</v>
      </c>
      <c r="CX20" s="11">
        <v>55152.927000000003</v>
      </c>
    </row>
    <row r="21" spans="1:103" s="2" customFormat="1" ht="15" customHeight="1" x14ac:dyDescent="0.2">
      <c r="A21" s="14" t="s">
        <v>122</v>
      </c>
      <c r="B21" s="10" t="s">
        <v>109</v>
      </c>
      <c r="C21" s="15">
        <v>1.3161208016341181E-2</v>
      </c>
      <c r="D21" s="15">
        <v>1.071264815218083E-2</v>
      </c>
      <c r="E21" s="15">
        <v>8.4707775005112475E-3</v>
      </c>
      <c r="F21" s="15">
        <v>6.2235442752473207E-3</v>
      </c>
      <c r="G21" s="15">
        <v>3.9594225032423226E-3</v>
      </c>
      <c r="H21" s="15">
        <v>1.66061089240208E-3</v>
      </c>
      <c r="I21" s="15">
        <v>1.4979396358270241E-3</v>
      </c>
      <c r="J21" s="15">
        <v>1.3252354293645421E-3</v>
      </c>
      <c r="K21" s="15">
        <v>1.1460583618670211E-3</v>
      </c>
      <c r="L21" s="15">
        <v>9.6336694441777598E-4</v>
      </c>
      <c r="M21" s="15">
        <v>7.8493952849744938E-4</v>
      </c>
      <c r="N21" s="15">
        <v>6.145915995541013E-4</v>
      </c>
      <c r="O21" s="15">
        <v>4.4994541842896519E-4</v>
      </c>
      <c r="P21" s="15">
        <v>2.9481390729784259E-4</v>
      </c>
      <c r="Q21" s="15">
        <v>1.5117269530148941E-4</v>
      </c>
      <c r="R21" s="15">
        <v>2.089817018753424E-5</v>
      </c>
      <c r="S21" s="15">
        <v>-9.7616446963088172E-5</v>
      </c>
      <c r="T21" s="15">
        <v>-2.0643972763911429E-4</v>
      </c>
      <c r="U21" s="15">
        <v>-3.0559050972909699E-4</v>
      </c>
      <c r="V21" s="15">
        <v>-3.9717254323303429E-4</v>
      </c>
      <c r="W21" s="15">
        <v>-4.8775803577573988E-4</v>
      </c>
      <c r="X21" s="15">
        <v>-5.8050869535727521E-4</v>
      </c>
      <c r="Y21" s="15">
        <v>-6.7486278299410697E-4</v>
      </c>
      <c r="Z21" s="15">
        <v>-7.7141412638809075E-4</v>
      </c>
      <c r="AA21" s="15">
        <v>-8.7040775536601997E-4</v>
      </c>
      <c r="AB21" s="15">
        <v>-9.8602381049733086E-4</v>
      </c>
      <c r="AC21" s="15">
        <v>-1.121268960472795E-3</v>
      </c>
      <c r="AD21" s="15">
        <v>-1.264956520213789E-3</v>
      </c>
      <c r="AE21" s="15">
        <v>-1.413431085122102E-3</v>
      </c>
      <c r="AF21" s="15">
        <v>-1.563150257728251E-3</v>
      </c>
      <c r="AG21" s="15">
        <v>-1.7143712636009439E-3</v>
      </c>
      <c r="AH21" s="15">
        <v>-1.864082066512614E-3</v>
      </c>
      <c r="AI21" s="15">
        <v>-2.0048670014406302E-3</v>
      </c>
      <c r="AJ21" s="15">
        <v>-2.1313890101216609E-3</v>
      </c>
      <c r="AK21" s="15">
        <v>-2.242606905731844E-3</v>
      </c>
      <c r="AL21" s="15">
        <v>-2.3394444294032131E-3</v>
      </c>
      <c r="AM21" s="15">
        <v>-2.4226329626497668E-3</v>
      </c>
      <c r="AN21" s="15">
        <v>-2.4904200640177071E-3</v>
      </c>
      <c r="AO21" s="15">
        <v>-2.5440413401008931E-3</v>
      </c>
      <c r="AP21" s="15">
        <v>-2.5857966529652249E-3</v>
      </c>
      <c r="AQ21" s="15">
        <v>-2.6193748027631501E-3</v>
      </c>
      <c r="AR21" s="15">
        <v>-2.6478828108785039E-3</v>
      </c>
      <c r="AS21" s="15">
        <v>-2.6695308727375912E-3</v>
      </c>
      <c r="AT21" s="15">
        <v>-2.6879511830461729E-3</v>
      </c>
      <c r="AU21" s="15">
        <v>-2.7071616608415031E-3</v>
      </c>
      <c r="AV21" s="15">
        <v>-2.7284667057367912E-3</v>
      </c>
      <c r="AW21" s="15">
        <v>-2.7560525472825749E-3</v>
      </c>
      <c r="AX21" s="15">
        <v>-2.7920468033215359E-3</v>
      </c>
      <c r="AY21" s="15">
        <v>-2.8374652531267608E-3</v>
      </c>
      <c r="AZ21" s="15">
        <v>-2.893742612086689E-3</v>
      </c>
      <c r="BA21" s="15">
        <v>-2.961681244554724E-3</v>
      </c>
      <c r="BB21" s="15">
        <v>-3.03937554117063E-3</v>
      </c>
      <c r="BC21" s="15">
        <v>-3.1258740194742372E-3</v>
      </c>
      <c r="BD21" s="15">
        <v>-3.2194032538523901E-3</v>
      </c>
      <c r="BE21" s="15">
        <v>-3.317608372597077E-3</v>
      </c>
      <c r="BF21" s="15">
        <v>-3.4170845522319181E-3</v>
      </c>
      <c r="BG21" s="15">
        <v>-3.5170046615362409E-3</v>
      </c>
      <c r="BH21" s="15">
        <v>-3.6152600016392568E-3</v>
      </c>
      <c r="BI21" s="15">
        <v>-3.709672658054314E-3</v>
      </c>
      <c r="BJ21" s="15">
        <v>-3.7991297123803748E-3</v>
      </c>
      <c r="BK21" s="15">
        <v>-3.883481711828589E-3</v>
      </c>
      <c r="BL21" s="15">
        <v>-3.9601846758084676E-3</v>
      </c>
      <c r="BM21" s="15">
        <v>-4.0293637795873194E-3</v>
      </c>
      <c r="BN21" s="15">
        <v>-4.0897509511871981E-3</v>
      </c>
      <c r="BO21" s="15">
        <v>-4.1413345678020623E-3</v>
      </c>
      <c r="BP21" s="15">
        <v>-4.1829485662177356E-3</v>
      </c>
      <c r="BQ21" s="15">
        <v>-4.2160259652918534E-3</v>
      </c>
      <c r="BR21" s="15">
        <v>-4.240105095926712E-3</v>
      </c>
      <c r="BS21" s="15">
        <v>-4.2563409341822992E-3</v>
      </c>
      <c r="BT21" s="15">
        <v>-4.2649511559691112E-3</v>
      </c>
      <c r="BU21" s="15">
        <v>-4.2665607326827287E-3</v>
      </c>
      <c r="BV21" s="15">
        <v>-4.2628433576402669E-3</v>
      </c>
      <c r="BW21" s="15">
        <v>-4.255039043578419E-3</v>
      </c>
      <c r="BX21" s="15">
        <v>-4.2435840906442186E-3</v>
      </c>
      <c r="BY21" s="15">
        <v>-4.2299238651032347E-3</v>
      </c>
      <c r="BZ21" s="15">
        <v>-4.2140393355935514E-3</v>
      </c>
      <c r="CA21" s="15">
        <v>-4.1988837308489886E-3</v>
      </c>
      <c r="CB21" s="15">
        <v>-4.1839581307394746E-3</v>
      </c>
      <c r="CC21" s="15">
        <v>-4.1706842992222026E-3</v>
      </c>
      <c r="CD21" s="15">
        <v>-4.1592094905356326E-3</v>
      </c>
      <c r="CE21" s="15">
        <v>-4.1486257446360598E-3</v>
      </c>
      <c r="CF21" s="15">
        <v>-4.1379045007296916E-3</v>
      </c>
      <c r="CG21" s="15">
        <v>-4.1268928511732786E-3</v>
      </c>
      <c r="CH21" s="15">
        <v>-4.1127317510724678E-3</v>
      </c>
      <c r="CI21" s="15">
        <v>-4.0950125252317716E-3</v>
      </c>
      <c r="CJ21" s="15">
        <v>-4.0724277939936113E-3</v>
      </c>
      <c r="CK21" s="15">
        <v>-4.0435586620631483E-3</v>
      </c>
      <c r="CL21" s="15">
        <v>-4.0079789434524938E-3</v>
      </c>
      <c r="CM21" s="15">
        <v>-3.9658813758995087E-3</v>
      </c>
      <c r="CN21" s="15">
        <v>-3.9176053759289696E-3</v>
      </c>
      <c r="CO21" s="15">
        <v>-3.8639204829179282E-3</v>
      </c>
      <c r="CP21" s="15">
        <v>-3.806826316094811E-3</v>
      </c>
      <c r="CQ21" s="15">
        <v>-3.747130617129636E-3</v>
      </c>
      <c r="CR21" s="15">
        <v>-3.6865960352111069E-3</v>
      </c>
      <c r="CS21" s="15">
        <v>-3.626522315937851E-3</v>
      </c>
      <c r="CT21" s="15">
        <v>-3.5693913832831E-3</v>
      </c>
      <c r="CU21" s="15">
        <v>-3.5159406338879898E-3</v>
      </c>
      <c r="CV21" s="15">
        <v>-3.4673668050382552E-3</v>
      </c>
      <c r="CW21" s="15">
        <v>-3.4249928422382609E-3</v>
      </c>
      <c r="CX21" s="15">
        <v>-3.3882639339570492E-3</v>
      </c>
    </row>
    <row r="22" spans="1:103" s="2" customFormat="1" ht="15" customHeight="1" x14ac:dyDescent="0.2">
      <c r="A22" s="9" t="s">
        <v>123</v>
      </c>
      <c r="B22" s="10" t="s">
        <v>109</v>
      </c>
      <c r="C22" s="16">
        <v>1.4474239373754281</v>
      </c>
      <c r="D22" s="16">
        <v>1.4281623940472381</v>
      </c>
      <c r="E22" s="16">
        <v>1.423376295054787</v>
      </c>
      <c r="F22" s="16">
        <v>1.418884128902508</v>
      </c>
      <c r="G22" s="16">
        <v>1.414621074964296</v>
      </c>
      <c r="H22" s="16">
        <v>1.4121374394715971</v>
      </c>
      <c r="I22" s="16">
        <v>1.4113506549677</v>
      </c>
      <c r="J22" s="16">
        <v>1.410757359437492</v>
      </c>
      <c r="K22" s="16">
        <v>1.4103164930123939</v>
      </c>
      <c r="L22" s="16">
        <v>1.4100509304956901</v>
      </c>
      <c r="M22" s="16">
        <v>1.41065018199855</v>
      </c>
      <c r="N22" s="16">
        <v>1.4121022775645129</v>
      </c>
      <c r="O22" s="16">
        <v>1.4137498507158399</v>
      </c>
      <c r="P22" s="16">
        <v>1.4156434377429501</v>
      </c>
      <c r="Q22" s="16">
        <v>1.4177431174708801</v>
      </c>
      <c r="R22" s="16">
        <v>1.4201861695269311</v>
      </c>
      <c r="S22" s="16">
        <v>1.423049960087039</v>
      </c>
      <c r="T22" s="16">
        <v>1.4260431183108011</v>
      </c>
      <c r="U22" s="16">
        <v>1.429200847232857</v>
      </c>
      <c r="V22" s="16">
        <v>1.432443794500285</v>
      </c>
      <c r="W22" s="16">
        <v>1.435249830173756</v>
      </c>
      <c r="X22" s="16">
        <v>1.437552197541365</v>
      </c>
      <c r="Y22" s="16">
        <v>1.440054493567452</v>
      </c>
      <c r="Z22" s="16">
        <v>1.4426939165465389</v>
      </c>
      <c r="AA22" s="16">
        <v>1.445473423672182</v>
      </c>
      <c r="AB22" s="16">
        <v>1.446908601558468</v>
      </c>
      <c r="AC22" s="16">
        <v>1.4468975433707949</v>
      </c>
      <c r="AD22" s="16">
        <v>1.446882138123821</v>
      </c>
      <c r="AE22" s="16">
        <v>1.446887578392217</v>
      </c>
      <c r="AF22" s="16">
        <v>1.44687381027474</v>
      </c>
      <c r="AG22" s="16">
        <v>1.4468499689589931</v>
      </c>
      <c r="AH22" s="16">
        <v>1.4468596698987171</v>
      </c>
      <c r="AI22" s="16">
        <v>1.446823275568653</v>
      </c>
      <c r="AJ22" s="16">
        <v>1.446787493402532</v>
      </c>
      <c r="AK22" s="16">
        <v>1.446777964215139</v>
      </c>
      <c r="AL22" s="16">
        <v>1.446765488014699</v>
      </c>
      <c r="AM22" s="16">
        <v>1.4467255638610821</v>
      </c>
      <c r="AN22" s="16">
        <v>1.446703193364312</v>
      </c>
      <c r="AO22" s="16">
        <v>1.446705284440247</v>
      </c>
      <c r="AP22" s="16">
        <v>1.446693895866676</v>
      </c>
      <c r="AQ22" s="16">
        <v>1.4466750384576481</v>
      </c>
      <c r="AR22" s="16">
        <v>1.4466515246286009</v>
      </c>
      <c r="AS22" s="16">
        <v>1.446636926785684</v>
      </c>
      <c r="AT22" s="16">
        <v>1.446636816654715</v>
      </c>
      <c r="AU22" s="16">
        <v>1.446620961376003</v>
      </c>
      <c r="AV22" s="16">
        <v>1.446655242521915</v>
      </c>
      <c r="AW22" s="16">
        <v>1.4466618663530411</v>
      </c>
      <c r="AX22" s="16">
        <v>1.446660421207616</v>
      </c>
      <c r="AY22" s="16">
        <v>1.446684720132787</v>
      </c>
      <c r="AZ22" s="16">
        <v>1.446693982980171</v>
      </c>
      <c r="BA22" s="16">
        <v>1.4467265878972511</v>
      </c>
      <c r="BB22" s="16">
        <v>1.4467248471784051</v>
      </c>
      <c r="BC22" s="16">
        <v>1.4467533146722369</v>
      </c>
      <c r="BD22" s="16">
        <v>1.4467589716131091</v>
      </c>
      <c r="BE22" s="16">
        <v>1.446783967881716</v>
      </c>
      <c r="BF22" s="16">
        <v>1.4467969315700351</v>
      </c>
      <c r="BG22" s="16">
        <v>1.446797167675044</v>
      </c>
      <c r="BH22" s="16">
        <v>1.4468119327785409</v>
      </c>
      <c r="BI22" s="16">
        <v>1.446810973466643</v>
      </c>
      <c r="BJ22" s="16">
        <v>1.4468130713025369</v>
      </c>
      <c r="BK22" s="16">
        <v>1.446828447252827</v>
      </c>
      <c r="BL22" s="16">
        <v>1.4468104281543139</v>
      </c>
      <c r="BM22" s="16">
        <v>1.446809629376874</v>
      </c>
      <c r="BN22" s="16">
        <v>1.446797316359167</v>
      </c>
      <c r="BO22" s="16">
        <v>1.4467930330304519</v>
      </c>
      <c r="BP22" s="16">
        <v>1.446768766040438</v>
      </c>
      <c r="BQ22" s="16">
        <v>1.446781048736882</v>
      </c>
      <c r="BR22" s="16">
        <v>1.446744603889252</v>
      </c>
      <c r="BS22" s="16">
        <v>1.4467630727509631</v>
      </c>
      <c r="BT22" s="16">
        <v>1.446729862477625</v>
      </c>
      <c r="BU22" s="16">
        <v>1.4467237896492859</v>
      </c>
      <c r="BV22" s="16">
        <v>1.4467135030442839</v>
      </c>
      <c r="BW22" s="16">
        <v>1.446693895787297</v>
      </c>
      <c r="BX22" s="16">
        <v>1.446684867954559</v>
      </c>
      <c r="BY22" s="16">
        <v>1.4467005213159481</v>
      </c>
      <c r="BZ22" s="16">
        <v>1.4466788948011351</v>
      </c>
      <c r="CA22" s="16">
        <v>1.446671834009492</v>
      </c>
      <c r="CB22" s="16">
        <v>1.4466533900231311</v>
      </c>
      <c r="CC22" s="16">
        <v>1.446650538579096</v>
      </c>
      <c r="CD22" s="16">
        <v>1.446647975250372</v>
      </c>
      <c r="CE22" s="16">
        <v>1.446644629656312</v>
      </c>
      <c r="CF22" s="16">
        <v>1.4466483081370061</v>
      </c>
      <c r="CG22" s="16">
        <v>1.446669210893831</v>
      </c>
      <c r="CH22" s="16">
        <v>1.4466506654578239</v>
      </c>
      <c r="CI22" s="16">
        <v>1.446658071153462</v>
      </c>
      <c r="CJ22" s="16">
        <v>1.4466739085160509</v>
      </c>
      <c r="CK22" s="16">
        <v>1.446686604427051</v>
      </c>
      <c r="CL22" s="16">
        <v>1.4466794954364111</v>
      </c>
      <c r="CM22" s="16">
        <v>1.446689859026606</v>
      </c>
      <c r="CN22" s="16">
        <v>1.4466597555547851</v>
      </c>
      <c r="CO22" s="16">
        <v>1.4466462200866541</v>
      </c>
      <c r="CP22" s="16">
        <v>1.446679721992604</v>
      </c>
      <c r="CQ22" s="16">
        <v>1.44668113075198</v>
      </c>
      <c r="CR22" s="16">
        <v>1.446676618638385</v>
      </c>
      <c r="CS22" s="16">
        <v>1.446654263398081</v>
      </c>
      <c r="CT22" s="16">
        <v>1.446674912363664</v>
      </c>
      <c r="CU22" s="16">
        <v>1.4466594125003029</v>
      </c>
      <c r="CV22" s="16">
        <v>1.4466440156368221</v>
      </c>
      <c r="CW22" s="16">
        <v>1.446655528844152</v>
      </c>
      <c r="CX22" s="16">
        <v>1.4466569984386459</v>
      </c>
    </row>
    <row r="23" spans="1:103" s="2" customFormat="1" ht="15" customHeight="1" x14ac:dyDescent="0.2">
      <c r="A23" s="14" t="s">
        <v>124</v>
      </c>
      <c r="B23" s="10" t="s">
        <v>109</v>
      </c>
      <c r="C23" s="17">
        <v>78.858002376783517</v>
      </c>
      <c r="D23" s="17">
        <v>79.31286512539215</v>
      </c>
      <c r="E23" s="17">
        <v>79.471847977776235</v>
      </c>
      <c r="F23" s="17">
        <v>79.626434656983065</v>
      </c>
      <c r="G23" s="17">
        <v>79.77720032605697</v>
      </c>
      <c r="H23" s="17">
        <v>79.911963695510323</v>
      </c>
      <c r="I23" s="17">
        <v>80.032348095518586</v>
      </c>
      <c r="J23" s="17">
        <v>80.148790677478672</v>
      </c>
      <c r="K23" s="17">
        <v>80.263618972459028</v>
      </c>
      <c r="L23" s="17">
        <v>80.377948553978356</v>
      </c>
      <c r="M23" s="17">
        <v>80.491206740619674</v>
      </c>
      <c r="N23" s="17">
        <v>80.601758730612673</v>
      </c>
      <c r="O23" s="17">
        <v>80.712425712737044</v>
      </c>
      <c r="P23" s="17">
        <v>80.823279011699114</v>
      </c>
      <c r="Q23" s="17">
        <v>80.93310425254667</v>
      </c>
      <c r="R23" s="17">
        <v>81.042745903433286</v>
      </c>
      <c r="S23" s="17">
        <v>81.152833492333116</v>
      </c>
      <c r="T23" s="17">
        <v>81.261410114816059</v>
      </c>
      <c r="U23" s="17">
        <v>81.371131201202189</v>
      </c>
      <c r="V23" s="17">
        <v>81.480495998269006</v>
      </c>
      <c r="W23" s="17">
        <v>81.589012824600076</v>
      </c>
      <c r="X23" s="17">
        <v>81.698751051620022</v>
      </c>
      <c r="Y23" s="17">
        <v>81.80800370128442</v>
      </c>
      <c r="Z23" s="17">
        <v>81.915270404324616</v>
      </c>
      <c r="AA23" s="17">
        <v>82.024209931603764</v>
      </c>
      <c r="AB23" s="17">
        <v>82.133972368801011</v>
      </c>
      <c r="AC23" s="17">
        <v>82.241235652172136</v>
      </c>
      <c r="AD23" s="17">
        <v>82.348971159672004</v>
      </c>
      <c r="AE23" s="17">
        <v>82.456834403834108</v>
      </c>
      <c r="AF23" s="17">
        <v>82.56600727629764</v>
      </c>
      <c r="AG23" s="17">
        <v>82.672170506518228</v>
      </c>
      <c r="AH23" s="17">
        <v>82.780474572846614</v>
      </c>
      <c r="AI23" s="17">
        <v>82.886870202934205</v>
      </c>
      <c r="AJ23" s="17">
        <v>82.992849285817698</v>
      </c>
      <c r="AK23" s="17">
        <v>83.098270190436779</v>
      </c>
      <c r="AL23" s="17">
        <v>83.205703362916097</v>
      </c>
      <c r="AM23" s="17">
        <v>83.310270428930224</v>
      </c>
      <c r="AN23" s="17">
        <v>83.415730162338903</v>
      </c>
      <c r="AO23" s="17">
        <v>83.522221580397542</v>
      </c>
      <c r="AP23" s="17">
        <v>83.625191245200455</v>
      </c>
      <c r="AQ23" s="17">
        <v>83.729229383528548</v>
      </c>
      <c r="AR23" s="17">
        <v>83.834117177235328</v>
      </c>
      <c r="AS23" s="17">
        <v>83.937985504850943</v>
      </c>
      <c r="AT23" s="17">
        <v>84.042515292733967</v>
      </c>
      <c r="AU23" s="17">
        <v>84.145237544885291</v>
      </c>
      <c r="AV23" s="17">
        <v>84.25009653457785</v>
      </c>
      <c r="AW23" s="17">
        <v>84.351468884628147</v>
      </c>
      <c r="AX23" s="17">
        <v>84.456138887297925</v>
      </c>
      <c r="AY23" s="17">
        <v>84.558431422056486</v>
      </c>
      <c r="AZ23" s="17">
        <v>84.660759275005333</v>
      </c>
      <c r="BA23" s="17">
        <v>84.763502773419575</v>
      </c>
      <c r="BB23" s="17">
        <v>84.864384400517807</v>
      </c>
      <c r="BC23" s="17">
        <v>84.96677613730229</v>
      </c>
      <c r="BD23" s="17">
        <v>85.067605936894751</v>
      </c>
      <c r="BE23" s="17">
        <v>85.168762350205171</v>
      </c>
      <c r="BF23" s="17">
        <v>85.269632565417496</v>
      </c>
      <c r="BG23" s="17">
        <v>85.369961059664817</v>
      </c>
      <c r="BH23" s="17">
        <v>85.470808895186153</v>
      </c>
      <c r="BI23" s="17">
        <v>85.570033076562552</v>
      </c>
      <c r="BJ23" s="17">
        <v>85.670166079945901</v>
      </c>
      <c r="BK23" s="17">
        <v>85.768646176855185</v>
      </c>
      <c r="BL23" s="17">
        <v>85.867808692455398</v>
      </c>
      <c r="BM23" s="17">
        <v>85.967189155976371</v>
      </c>
      <c r="BN23" s="17">
        <v>86.066316293116301</v>
      </c>
      <c r="BO23" s="17">
        <v>86.164340346780094</v>
      </c>
      <c r="BP23" s="17">
        <v>86.263237542094572</v>
      </c>
      <c r="BQ23" s="17">
        <v>86.359990800887374</v>
      </c>
      <c r="BR23" s="17">
        <v>86.4568598197787</v>
      </c>
      <c r="BS23" s="17">
        <v>86.553984155804287</v>
      </c>
      <c r="BT23" s="17">
        <v>86.651389779440521</v>
      </c>
      <c r="BU23" s="17">
        <v>86.747897564944267</v>
      </c>
      <c r="BV23" s="17">
        <v>86.844361226818307</v>
      </c>
      <c r="BW23" s="17">
        <v>86.94024474388921</v>
      </c>
      <c r="BX23" s="17">
        <v>87.036126882425478</v>
      </c>
      <c r="BY23" s="17">
        <v>87.132347153953333</v>
      </c>
      <c r="BZ23" s="17">
        <v>87.229224490578744</v>
      </c>
      <c r="CA23" s="17">
        <v>87.3245742254161</v>
      </c>
      <c r="CB23" s="17">
        <v>87.419704424865813</v>
      </c>
      <c r="CC23" s="17">
        <v>87.512702715512987</v>
      </c>
      <c r="CD23" s="17">
        <v>87.606004038952207</v>
      </c>
      <c r="CE23" s="17">
        <v>87.701108419743463</v>
      </c>
      <c r="CF23" s="17">
        <v>87.793930237611164</v>
      </c>
      <c r="CG23" s="17">
        <v>87.886690217193262</v>
      </c>
      <c r="CH23" s="17">
        <v>87.979444747716983</v>
      </c>
      <c r="CI23" s="17">
        <v>88.071730208233504</v>
      </c>
      <c r="CJ23" s="17">
        <v>88.163755346187017</v>
      </c>
      <c r="CK23" s="17">
        <v>88.255426771064236</v>
      </c>
      <c r="CL23" s="17">
        <v>88.346813654001949</v>
      </c>
      <c r="CM23" s="17">
        <v>88.437779458190903</v>
      </c>
      <c r="CN23" s="17">
        <v>88.529880899195803</v>
      </c>
      <c r="CO23" s="17">
        <v>88.622374622645552</v>
      </c>
      <c r="CP23" s="17">
        <v>88.713942881612866</v>
      </c>
      <c r="CQ23" s="17">
        <v>88.803047610465413</v>
      </c>
      <c r="CR23" s="17">
        <v>88.893301474377708</v>
      </c>
      <c r="CS23" s="17">
        <v>88.983143711997485</v>
      </c>
      <c r="CT23" s="17">
        <v>89.07122635679967</v>
      </c>
      <c r="CU23" s="17">
        <v>89.161014929346308</v>
      </c>
      <c r="CV23" s="17">
        <v>89.250929139648989</v>
      </c>
      <c r="CW23" s="17">
        <v>89.338591450518763</v>
      </c>
      <c r="CX23" s="17">
        <v>89.425427011209905</v>
      </c>
    </row>
    <row r="24" spans="1:103" s="2" customFormat="1" ht="15" customHeight="1" x14ac:dyDescent="0.2">
      <c r="A24" s="18" t="s">
        <v>125</v>
      </c>
      <c r="B24" s="10" t="s">
        <v>109</v>
      </c>
      <c r="C24" s="17">
        <v>82.701026255098569</v>
      </c>
      <c r="D24" s="17">
        <v>83.088346692155653</v>
      </c>
      <c r="E24" s="17">
        <v>83.242954453890363</v>
      </c>
      <c r="F24" s="17">
        <v>83.391764233497369</v>
      </c>
      <c r="G24" s="17">
        <v>83.537640849674787</v>
      </c>
      <c r="H24" s="17">
        <v>83.669525415083413</v>
      </c>
      <c r="I24" s="17">
        <v>83.786774823329935</v>
      </c>
      <c r="J24" s="17">
        <v>83.901779102371052</v>
      </c>
      <c r="K24" s="17">
        <v>84.013718822424181</v>
      </c>
      <c r="L24" s="17">
        <v>84.122110626700746</v>
      </c>
      <c r="M24" s="17">
        <v>84.228787302362434</v>
      </c>
      <c r="N24" s="17">
        <v>84.334813480250389</v>
      </c>
      <c r="O24" s="17">
        <v>84.437116067004581</v>
      </c>
      <c r="P24" s="17">
        <v>84.540907487292685</v>
      </c>
      <c r="Q24" s="17">
        <v>84.640801135747509</v>
      </c>
      <c r="R24" s="17">
        <v>84.740533115774525</v>
      </c>
      <c r="S24" s="17">
        <v>84.840032974928363</v>
      </c>
      <c r="T24" s="17">
        <v>84.938924097377779</v>
      </c>
      <c r="U24" s="17">
        <v>85.038140556027997</v>
      </c>
      <c r="V24" s="17">
        <v>85.135163542763976</v>
      </c>
      <c r="W24" s="17">
        <v>85.232356896604543</v>
      </c>
      <c r="X24" s="17">
        <v>85.331031677273216</v>
      </c>
      <c r="Y24" s="17">
        <v>85.428791631945629</v>
      </c>
      <c r="Z24" s="17">
        <v>85.524552501393217</v>
      </c>
      <c r="AA24" s="17">
        <v>85.620433317138435</v>
      </c>
      <c r="AB24" s="17">
        <v>85.716063391892718</v>
      </c>
      <c r="AC24" s="17">
        <v>85.813367466259407</v>
      </c>
      <c r="AD24" s="17">
        <v>85.909237651453552</v>
      </c>
      <c r="AE24" s="17">
        <v>86.00481629894611</v>
      </c>
      <c r="AF24" s="17">
        <v>86.100398511739613</v>
      </c>
      <c r="AG24" s="17">
        <v>86.19514366342851</v>
      </c>
      <c r="AH24" s="17">
        <v>86.289380497026571</v>
      </c>
      <c r="AI24" s="17">
        <v>86.38344019750761</v>
      </c>
      <c r="AJ24" s="17">
        <v>86.478044585045765</v>
      </c>
      <c r="AK24" s="17">
        <v>86.572298912295381</v>
      </c>
      <c r="AL24" s="17">
        <v>86.667171552292757</v>
      </c>
      <c r="AM24" s="17">
        <v>86.759967152916957</v>
      </c>
      <c r="AN24" s="17">
        <v>86.852954839234414</v>
      </c>
      <c r="AO24" s="17">
        <v>86.945438248025809</v>
      </c>
      <c r="AP24" s="17">
        <v>87.038137458642268</v>
      </c>
      <c r="AQ24" s="17">
        <v>87.130554859743029</v>
      </c>
      <c r="AR24" s="17">
        <v>87.222345593017138</v>
      </c>
      <c r="AS24" s="17">
        <v>87.314967283195543</v>
      </c>
      <c r="AT24" s="17">
        <v>87.405872659669342</v>
      </c>
      <c r="AU24" s="17">
        <v>87.496020508166708</v>
      </c>
      <c r="AV24" s="17">
        <v>87.587354467433414</v>
      </c>
      <c r="AW24" s="17">
        <v>87.679014029078829</v>
      </c>
      <c r="AX24" s="17">
        <v>87.767911543381544</v>
      </c>
      <c r="AY24" s="17">
        <v>87.858041498347944</v>
      </c>
      <c r="AZ24" s="17">
        <v>87.950338238318182</v>
      </c>
      <c r="BA24" s="17">
        <v>88.037856541185917</v>
      </c>
      <c r="BB24" s="17">
        <v>88.127424089614863</v>
      </c>
      <c r="BC24" s="17">
        <v>88.215409725295757</v>
      </c>
      <c r="BD24" s="17">
        <v>88.303890248170376</v>
      </c>
      <c r="BE24" s="17">
        <v>88.391786154066693</v>
      </c>
      <c r="BF24" s="17">
        <v>88.481321057100175</v>
      </c>
      <c r="BG24" s="17">
        <v>88.56818639031259</v>
      </c>
      <c r="BH24" s="17">
        <v>88.653665414012622</v>
      </c>
      <c r="BI24" s="17">
        <v>88.742903779052753</v>
      </c>
      <c r="BJ24" s="17">
        <v>88.829956744028934</v>
      </c>
      <c r="BK24" s="17">
        <v>88.915738497295777</v>
      </c>
      <c r="BL24" s="17">
        <v>89.004466468034025</v>
      </c>
      <c r="BM24" s="17">
        <v>89.089909334081909</v>
      </c>
      <c r="BN24" s="17">
        <v>89.176379485962684</v>
      </c>
      <c r="BO24" s="17">
        <v>89.260978590580137</v>
      </c>
      <c r="BP24" s="17">
        <v>89.347147524176165</v>
      </c>
      <c r="BQ24" s="17">
        <v>89.43142150905463</v>
      </c>
      <c r="BR24" s="17">
        <v>89.516072732452173</v>
      </c>
      <c r="BS24" s="17">
        <v>89.600473055541073</v>
      </c>
      <c r="BT24" s="17">
        <v>89.683311007708582</v>
      </c>
      <c r="BU24" s="17">
        <v>89.768462571538208</v>
      </c>
      <c r="BV24" s="17">
        <v>89.852234367721607</v>
      </c>
      <c r="BW24" s="17">
        <v>89.935917164401829</v>
      </c>
      <c r="BX24" s="17">
        <v>90.018688721734236</v>
      </c>
      <c r="BY24" s="17">
        <v>90.101665794685388</v>
      </c>
      <c r="BZ24" s="17">
        <v>90.185042473634027</v>
      </c>
      <c r="CA24" s="17">
        <v>90.266771700506055</v>
      </c>
      <c r="CB24" s="17">
        <v>90.348698627385247</v>
      </c>
      <c r="CC24" s="17">
        <v>90.429938092341786</v>
      </c>
      <c r="CD24" s="17">
        <v>90.510416178447144</v>
      </c>
      <c r="CE24" s="17">
        <v>90.591661919319378</v>
      </c>
      <c r="CF24" s="17">
        <v>90.674238665364385</v>
      </c>
      <c r="CG24" s="17">
        <v>90.753767201046699</v>
      </c>
      <c r="CH24" s="17">
        <v>90.834022059779585</v>
      </c>
      <c r="CI24" s="17">
        <v>90.913809445628814</v>
      </c>
      <c r="CJ24" s="17">
        <v>90.991950209578661</v>
      </c>
      <c r="CK24" s="17">
        <v>91.072210419237535</v>
      </c>
      <c r="CL24" s="17">
        <v>91.150136089376048</v>
      </c>
      <c r="CM24" s="17">
        <v>91.230297651450371</v>
      </c>
      <c r="CN24" s="17">
        <v>91.308283922892642</v>
      </c>
      <c r="CO24" s="17">
        <v>91.386345816421553</v>
      </c>
      <c r="CP24" s="17">
        <v>91.464125764676808</v>
      </c>
      <c r="CQ24" s="17">
        <v>91.539486402857563</v>
      </c>
      <c r="CR24" s="17">
        <v>91.616105677144319</v>
      </c>
      <c r="CS24" s="17">
        <v>91.694045956027452</v>
      </c>
      <c r="CT24" s="17">
        <v>91.770894570728828</v>
      </c>
      <c r="CU24" s="17">
        <v>91.848729237976499</v>
      </c>
      <c r="CV24" s="17">
        <v>91.92423446666912</v>
      </c>
      <c r="CW24" s="17">
        <v>91.997557826700245</v>
      </c>
      <c r="CX24" s="17">
        <v>92.072666041120129</v>
      </c>
    </row>
    <row r="25" spans="1:103" ht="15" customHeight="1" x14ac:dyDescent="0.2"/>
    <row r="26" spans="1:103" ht="28.7" customHeight="1" x14ac:dyDescent="0.25">
      <c r="A26" s="5" t="s">
        <v>126</v>
      </c>
    </row>
    <row r="27" spans="1:103" s="22" customFormat="1" ht="15.6" customHeight="1" x14ac:dyDescent="0.2">
      <c r="A27" s="20" t="s">
        <v>127</v>
      </c>
      <c r="B27" s="21" t="s">
        <v>128</v>
      </c>
      <c r="C27" s="21" t="s">
        <v>8</v>
      </c>
      <c r="D27" s="21" t="s">
        <v>9</v>
      </c>
      <c r="E27" s="21" t="s">
        <v>10</v>
      </c>
      <c r="F27" s="21" t="s">
        <v>11</v>
      </c>
      <c r="G27" s="21" t="s">
        <v>12</v>
      </c>
      <c r="H27" s="21" t="s">
        <v>13</v>
      </c>
      <c r="I27" s="21" t="s">
        <v>14</v>
      </c>
      <c r="J27" s="21" t="s">
        <v>15</v>
      </c>
      <c r="K27" s="21" t="s">
        <v>16</v>
      </c>
      <c r="L27" s="21" t="s">
        <v>17</v>
      </c>
      <c r="M27" s="21" t="s">
        <v>18</v>
      </c>
      <c r="N27" s="21" t="s">
        <v>19</v>
      </c>
      <c r="O27" s="21" t="s">
        <v>20</v>
      </c>
      <c r="P27" s="21" t="s">
        <v>21</v>
      </c>
      <c r="Q27" s="21" t="s">
        <v>22</v>
      </c>
      <c r="R27" s="21" t="s">
        <v>23</v>
      </c>
      <c r="S27" s="21" t="s">
        <v>24</v>
      </c>
      <c r="T27" s="21" t="s">
        <v>25</v>
      </c>
      <c r="U27" s="21" t="s">
        <v>26</v>
      </c>
      <c r="V27" s="21" t="s">
        <v>27</v>
      </c>
      <c r="W27" s="21" t="s">
        <v>28</v>
      </c>
      <c r="X27" s="21" t="s">
        <v>29</v>
      </c>
      <c r="Y27" s="21" t="s">
        <v>30</v>
      </c>
      <c r="Z27" s="21" t="s">
        <v>31</v>
      </c>
      <c r="AA27" s="21" t="s">
        <v>32</v>
      </c>
      <c r="AB27" s="21" t="s">
        <v>33</v>
      </c>
      <c r="AC27" s="21" t="s">
        <v>34</v>
      </c>
      <c r="AD27" s="21" t="s">
        <v>35</v>
      </c>
      <c r="AE27" s="21" t="s">
        <v>36</v>
      </c>
      <c r="AF27" s="21" t="s">
        <v>37</v>
      </c>
      <c r="AG27" s="21" t="s">
        <v>38</v>
      </c>
      <c r="AH27" s="21" t="s">
        <v>39</v>
      </c>
      <c r="AI27" s="21" t="s">
        <v>40</v>
      </c>
      <c r="AJ27" s="21" t="s">
        <v>41</v>
      </c>
      <c r="AK27" s="21" t="s">
        <v>42</v>
      </c>
      <c r="AL27" s="21" t="s">
        <v>43</v>
      </c>
      <c r="AM27" s="21" t="s">
        <v>44</v>
      </c>
      <c r="AN27" s="21" t="s">
        <v>45</v>
      </c>
      <c r="AO27" s="21" t="s">
        <v>46</v>
      </c>
      <c r="AP27" s="21" t="s">
        <v>47</v>
      </c>
      <c r="AQ27" s="21" t="s">
        <v>48</v>
      </c>
      <c r="AR27" s="21" t="s">
        <v>49</v>
      </c>
      <c r="AS27" s="21" t="s">
        <v>50</v>
      </c>
      <c r="AT27" s="21" t="s">
        <v>51</v>
      </c>
      <c r="AU27" s="21" t="s">
        <v>52</v>
      </c>
      <c r="AV27" s="21" t="s">
        <v>53</v>
      </c>
      <c r="AW27" s="21" t="s">
        <v>54</v>
      </c>
      <c r="AX27" s="21" t="s">
        <v>55</v>
      </c>
      <c r="AY27" s="21" t="s">
        <v>56</v>
      </c>
      <c r="AZ27" s="21" t="s">
        <v>57</v>
      </c>
      <c r="BA27" s="21" t="s">
        <v>58</v>
      </c>
      <c r="BB27" s="21" t="s">
        <v>59</v>
      </c>
      <c r="BC27" s="21" t="s">
        <v>60</v>
      </c>
      <c r="BD27" s="21" t="s">
        <v>61</v>
      </c>
      <c r="BE27" s="21" t="s">
        <v>62</v>
      </c>
      <c r="BF27" s="21" t="s">
        <v>63</v>
      </c>
      <c r="BG27" s="21" t="s">
        <v>64</v>
      </c>
      <c r="BH27" s="21" t="s">
        <v>65</v>
      </c>
      <c r="BI27" s="21" t="s">
        <v>66</v>
      </c>
      <c r="BJ27" s="21" t="s">
        <v>67</v>
      </c>
      <c r="BK27" s="21" t="s">
        <v>68</v>
      </c>
      <c r="BL27" s="21" t="s">
        <v>69</v>
      </c>
      <c r="BM27" s="21" t="s">
        <v>70</v>
      </c>
      <c r="BN27" s="21" t="s">
        <v>71</v>
      </c>
      <c r="BO27" s="21" t="s">
        <v>72</v>
      </c>
      <c r="BP27" s="21" t="s">
        <v>73</v>
      </c>
      <c r="BQ27" s="21" t="s">
        <v>74</v>
      </c>
      <c r="BR27" s="21" t="s">
        <v>75</v>
      </c>
      <c r="BS27" s="21" t="s">
        <v>76</v>
      </c>
      <c r="BT27" s="21" t="s">
        <v>77</v>
      </c>
      <c r="BU27" s="21" t="s">
        <v>78</v>
      </c>
      <c r="BV27" s="21" t="s">
        <v>79</v>
      </c>
      <c r="BW27" s="21" t="s">
        <v>80</v>
      </c>
      <c r="BX27" s="21" t="s">
        <v>81</v>
      </c>
      <c r="BY27" s="21" t="s">
        <v>82</v>
      </c>
      <c r="BZ27" s="21" t="s">
        <v>83</v>
      </c>
      <c r="CA27" s="21" t="s">
        <v>84</v>
      </c>
      <c r="CB27" s="21" t="s">
        <v>85</v>
      </c>
      <c r="CC27" s="21" t="s">
        <v>86</v>
      </c>
      <c r="CD27" s="21" t="s">
        <v>87</v>
      </c>
      <c r="CE27" s="21" t="s">
        <v>88</v>
      </c>
      <c r="CF27" s="21" t="s">
        <v>89</v>
      </c>
      <c r="CG27" s="21" t="s">
        <v>90</v>
      </c>
      <c r="CH27" s="21" t="s">
        <v>91</v>
      </c>
      <c r="CI27" s="21" t="s">
        <v>92</v>
      </c>
      <c r="CJ27" s="21" t="s">
        <v>93</v>
      </c>
      <c r="CK27" s="21" t="s">
        <v>94</v>
      </c>
      <c r="CL27" s="21" t="s">
        <v>95</v>
      </c>
      <c r="CM27" s="21" t="s">
        <v>96</v>
      </c>
      <c r="CN27" s="21" t="s">
        <v>97</v>
      </c>
      <c r="CO27" s="21" t="s">
        <v>98</v>
      </c>
      <c r="CP27" s="21" t="s">
        <v>99</v>
      </c>
      <c r="CQ27" s="21" t="s">
        <v>100</v>
      </c>
      <c r="CR27" s="21" t="s">
        <v>101</v>
      </c>
      <c r="CS27" s="21" t="s">
        <v>102</v>
      </c>
      <c r="CT27" s="21" t="s">
        <v>103</v>
      </c>
      <c r="CU27" s="21" t="s">
        <v>104</v>
      </c>
      <c r="CV27" s="21" t="s">
        <v>105</v>
      </c>
      <c r="CW27" s="21" t="s">
        <v>106</v>
      </c>
      <c r="CX27" s="21" t="s">
        <v>107</v>
      </c>
    </row>
    <row r="28" spans="1:103" s="24" customFormat="1" ht="15" customHeight="1" x14ac:dyDescent="0.2">
      <c r="A28" s="2" t="s">
        <v>129</v>
      </c>
      <c r="B28" s="23">
        <v>11607.401</v>
      </c>
      <c r="C28" s="23">
        <v>11567.178</v>
      </c>
      <c r="D28" s="23">
        <v>11508.288</v>
      </c>
      <c r="E28" s="23">
        <v>11425.514999999999</v>
      </c>
      <c r="F28" s="23">
        <v>11312.326999999999</v>
      </c>
      <c r="G28" s="23">
        <v>11177.849</v>
      </c>
      <c r="H28" s="23">
        <v>11039.963</v>
      </c>
      <c r="I28" s="23">
        <v>10916.151</v>
      </c>
      <c r="J28" s="23">
        <v>10790.829</v>
      </c>
      <c r="K28" s="23">
        <v>10653.682000000001</v>
      </c>
      <c r="L28" s="23">
        <v>10533.598</v>
      </c>
      <c r="M28" s="23">
        <v>10426.246999999999</v>
      </c>
      <c r="N28" s="23">
        <v>10323.585999999999</v>
      </c>
      <c r="O28" s="23">
        <v>10231.584999999999</v>
      </c>
      <c r="P28" s="23">
        <v>10158.603999999999</v>
      </c>
      <c r="Q28" s="23">
        <v>10078.427</v>
      </c>
      <c r="R28" s="23">
        <v>10033.376</v>
      </c>
      <c r="S28" s="23">
        <v>9990.5210000000006</v>
      </c>
      <c r="T28" s="23">
        <v>9945.4470000000001</v>
      </c>
      <c r="U28" s="23">
        <v>9899.9230000000007</v>
      </c>
      <c r="V28" s="23">
        <v>9855.6939999999995</v>
      </c>
      <c r="W28" s="23">
        <v>9813.7340000000004</v>
      </c>
      <c r="X28" s="23">
        <v>9774.0990000000002</v>
      </c>
      <c r="Y28" s="23">
        <v>9736.59</v>
      </c>
      <c r="Z28" s="23">
        <v>9701.0159999999996</v>
      </c>
      <c r="AA28" s="23">
        <v>9667.1959999999999</v>
      </c>
      <c r="AB28" s="23">
        <v>9633.6830000000009</v>
      </c>
      <c r="AC28" s="23">
        <v>9598.6970000000001</v>
      </c>
      <c r="AD28" s="23">
        <v>9561.52</v>
      </c>
      <c r="AE28" s="23">
        <v>9521.4660000000003</v>
      </c>
      <c r="AF28" s="23">
        <v>9477.8960000000006</v>
      </c>
      <c r="AG28" s="23">
        <v>9429.9310000000005</v>
      </c>
      <c r="AH28" s="23">
        <v>9376.9560000000001</v>
      </c>
      <c r="AI28" s="23">
        <v>9319.01</v>
      </c>
      <c r="AJ28" s="23">
        <v>9256.4830000000002</v>
      </c>
      <c r="AK28" s="23">
        <v>9189.7990000000009</v>
      </c>
      <c r="AL28" s="23">
        <v>9119.6679999999997</v>
      </c>
      <c r="AM28" s="23">
        <v>9047.009</v>
      </c>
      <c r="AN28" s="23">
        <v>8972.61</v>
      </c>
      <c r="AO28" s="23">
        <v>8897.1219999999994</v>
      </c>
      <c r="AP28" s="23">
        <v>8821.1720000000005</v>
      </c>
      <c r="AQ28" s="23">
        <v>8745.973</v>
      </c>
      <c r="AR28" s="23">
        <v>8672.8909999999996</v>
      </c>
      <c r="AS28" s="23">
        <v>8602.6740000000009</v>
      </c>
      <c r="AT28" s="23">
        <v>8535.8639999999996</v>
      </c>
      <c r="AU28" s="23">
        <v>8472.759</v>
      </c>
      <c r="AV28" s="23">
        <v>8413.7009999999991</v>
      </c>
      <c r="AW28" s="23">
        <v>8358.9320000000007</v>
      </c>
      <c r="AX28" s="23">
        <v>8308.2909999999993</v>
      </c>
      <c r="AY28" s="23">
        <v>8261.4279999999999</v>
      </c>
      <c r="AZ28" s="23">
        <v>8217.8870000000006</v>
      </c>
      <c r="BA28" s="23">
        <v>8177.35</v>
      </c>
      <c r="BB28" s="23">
        <v>8139.5029999999997</v>
      </c>
      <c r="BC28" s="23">
        <v>8103.8720000000003</v>
      </c>
      <c r="BD28" s="23">
        <v>8069.9970000000003</v>
      </c>
      <c r="BE28" s="23">
        <v>8037.3689999999997</v>
      </c>
      <c r="BF28" s="23">
        <v>8005.6769999999997</v>
      </c>
      <c r="BG28" s="23">
        <v>7974.6189999999997</v>
      </c>
      <c r="BH28" s="23">
        <v>7943.6859999999997</v>
      </c>
      <c r="BI28" s="23">
        <v>7912.4160000000002</v>
      </c>
      <c r="BJ28" s="23">
        <v>7880.4740000000002</v>
      </c>
      <c r="BK28" s="23">
        <v>7847.576</v>
      </c>
      <c r="BL28" s="23">
        <v>7813.5469999999996</v>
      </c>
      <c r="BM28" s="23">
        <v>7778.223</v>
      </c>
      <c r="BN28" s="23">
        <v>7741.4409999999998</v>
      </c>
      <c r="BO28" s="23">
        <v>7703.1679999999997</v>
      </c>
      <c r="BP28" s="23">
        <v>7663.4480000000003</v>
      </c>
      <c r="BQ28" s="23">
        <v>7622.3549999999996</v>
      </c>
      <c r="BR28" s="23">
        <v>7580.0259999999998</v>
      </c>
      <c r="BS28" s="23">
        <v>7536.665</v>
      </c>
      <c r="BT28" s="23">
        <v>7492.5119999999997</v>
      </c>
      <c r="BU28" s="23">
        <v>7447.8429999999998</v>
      </c>
      <c r="BV28" s="23">
        <v>7402.9669999999996</v>
      </c>
      <c r="BW28" s="23">
        <v>7358.165</v>
      </c>
      <c r="BX28" s="23">
        <v>7313.7830000000004</v>
      </c>
      <c r="BY28" s="23">
        <v>7270.1019999999999</v>
      </c>
      <c r="BZ28" s="23">
        <v>7227.393</v>
      </c>
      <c r="CA28" s="23">
        <v>7185.9</v>
      </c>
      <c r="CB28" s="23">
        <v>7145.7889999999998</v>
      </c>
      <c r="CC28" s="23">
        <v>7107.2309999999998</v>
      </c>
      <c r="CD28" s="23">
        <v>7070.2749999999996</v>
      </c>
      <c r="CE28" s="23">
        <v>7034.9679999999998</v>
      </c>
      <c r="CF28" s="23">
        <v>7001.2860000000001</v>
      </c>
      <c r="CG28" s="23">
        <v>6969.1710000000003</v>
      </c>
      <c r="CH28" s="23">
        <v>6938.5249999999996</v>
      </c>
      <c r="CI28" s="23">
        <v>6909.223</v>
      </c>
      <c r="CJ28" s="23">
        <v>6881.0820000000003</v>
      </c>
      <c r="CK28" s="23">
        <v>6853.9279999999999</v>
      </c>
      <c r="CL28" s="23">
        <v>6827.585</v>
      </c>
      <c r="CM28" s="23">
        <v>6801.86</v>
      </c>
      <c r="CN28" s="23">
        <v>6776.5559999999996</v>
      </c>
      <c r="CO28" s="23">
        <v>6751.49</v>
      </c>
      <c r="CP28" s="23">
        <v>6726.4960000000001</v>
      </c>
      <c r="CQ28" s="23">
        <v>6701.4250000000002</v>
      </c>
      <c r="CR28" s="23">
        <v>6676.1490000000003</v>
      </c>
      <c r="CS28" s="23">
        <v>6650.5649999999996</v>
      </c>
      <c r="CT28" s="23">
        <v>6624.5910000000003</v>
      </c>
      <c r="CU28" s="23">
        <v>6598.19</v>
      </c>
      <c r="CV28" s="23">
        <v>6571.34</v>
      </c>
      <c r="CW28" s="23">
        <v>6544.0420000000004</v>
      </c>
      <c r="CX28" s="23">
        <v>6516.3379999999997</v>
      </c>
    </row>
    <row r="29" spans="1:103" s="24" customFormat="1" ht="15" customHeight="1" x14ac:dyDescent="0.2">
      <c r="A29" s="2" t="s">
        <v>130</v>
      </c>
      <c r="B29" s="23">
        <v>12333.328</v>
      </c>
      <c r="C29" s="23">
        <v>12709.81</v>
      </c>
      <c r="D29" s="23">
        <v>12973.174000000001</v>
      </c>
      <c r="E29" s="23">
        <v>13172.686</v>
      </c>
      <c r="F29" s="23">
        <v>13304.596</v>
      </c>
      <c r="G29" s="23">
        <v>13337.325000000001</v>
      </c>
      <c r="H29" s="23">
        <v>13288.581</v>
      </c>
      <c r="I29" s="23">
        <v>13222.896000000001</v>
      </c>
      <c r="J29" s="23">
        <v>13178.308999999999</v>
      </c>
      <c r="K29" s="23">
        <v>13161.541999999999</v>
      </c>
      <c r="L29" s="23">
        <v>13130.859</v>
      </c>
      <c r="M29" s="23">
        <v>13081.883</v>
      </c>
      <c r="N29" s="23">
        <v>13021.111999999999</v>
      </c>
      <c r="O29" s="23">
        <v>12957.663</v>
      </c>
      <c r="P29" s="23">
        <v>12880.114</v>
      </c>
      <c r="Q29" s="23">
        <v>12800.364</v>
      </c>
      <c r="R29" s="23">
        <v>12657.165999999999</v>
      </c>
      <c r="S29" s="23">
        <v>12520.348</v>
      </c>
      <c r="T29" s="23">
        <v>12379.47</v>
      </c>
      <c r="U29" s="23">
        <v>12227.54</v>
      </c>
      <c r="V29" s="23">
        <v>12073.973</v>
      </c>
      <c r="W29" s="23">
        <v>11936.906999999999</v>
      </c>
      <c r="X29" s="23">
        <v>11813.84</v>
      </c>
      <c r="Y29" s="23">
        <v>11689.249</v>
      </c>
      <c r="Z29" s="23">
        <v>11552.89</v>
      </c>
      <c r="AA29" s="23">
        <v>11433.496999999999</v>
      </c>
      <c r="AB29" s="23">
        <v>11326.77</v>
      </c>
      <c r="AC29" s="23">
        <v>11224.713</v>
      </c>
      <c r="AD29" s="23">
        <v>11133.252</v>
      </c>
      <c r="AE29" s="23">
        <v>11060.74</v>
      </c>
      <c r="AF29" s="23">
        <v>10981.047</v>
      </c>
      <c r="AG29" s="23">
        <v>10936.334999999999</v>
      </c>
      <c r="AH29" s="23">
        <v>10893.803</v>
      </c>
      <c r="AI29" s="23">
        <v>10849.062</v>
      </c>
      <c r="AJ29" s="23">
        <v>10803.87</v>
      </c>
      <c r="AK29" s="23">
        <v>10759.987999999999</v>
      </c>
      <c r="AL29" s="23">
        <v>10718.369000000001</v>
      </c>
      <c r="AM29" s="23">
        <v>10679.040999999999</v>
      </c>
      <c r="AN29" s="23">
        <v>10641.834999999999</v>
      </c>
      <c r="AO29" s="23">
        <v>10606.563</v>
      </c>
      <c r="AP29" s="23">
        <v>10573.036</v>
      </c>
      <c r="AQ29" s="23">
        <v>10539.819</v>
      </c>
      <c r="AR29" s="23">
        <v>10505.107</v>
      </c>
      <c r="AS29" s="23">
        <v>10468.201999999999</v>
      </c>
      <c r="AT29" s="23">
        <v>10428.419</v>
      </c>
      <c r="AU29" s="23">
        <v>10385.096</v>
      </c>
      <c r="AV29" s="23">
        <v>10337.395</v>
      </c>
      <c r="AW29" s="23">
        <v>10284.679</v>
      </c>
      <c r="AX29" s="23">
        <v>10227.005999999999</v>
      </c>
      <c r="AY29" s="23">
        <v>10164.762000000001</v>
      </c>
      <c r="AZ29" s="23">
        <v>10098.375</v>
      </c>
      <c r="BA29" s="23">
        <v>10028.544</v>
      </c>
      <c r="BB29" s="23">
        <v>9956.1769999999997</v>
      </c>
      <c r="BC29" s="23">
        <v>9882.0840000000007</v>
      </c>
      <c r="BD29" s="23">
        <v>9806.8919999999998</v>
      </c>
      <c r="BE29" s="23">
        <v>9731.2369999999992</v>
      </c>
      <c r="BF29" s="23">
        <v>9656.3310000000001</v>
      </c>
      <c r="BG29" s="23">
        <v>9583.5370000000003</v>
      </c>
      <c r="BH29" s="23">
        <v>9513.59</v>
      </c>
      <c r="BI29" s="23">
        <v>9447.0560000000005</v>
      </c>
      <c r="BJ29" s="23">
        <v>9384.2250000000004</v>
      </c>
      <c r="BK29" s="23">
        <v>9325.4259999999995</v>
      </c>
      <c r="BL29" s="23">
        <v>9270.8960000000006</v>
      </c>
      <c r="BM29" s="23">
        <v>9220.4779999999992</v>
      </c>
      <c r="BN29" s="23">
        <v>9173.8240000000005</v>
      </c>
      <c r="BO29" s="23">
        <v>9130.4860000000008</v>
      </c>
      <c r="BP29" s="23">
        <v>9090.1569999999992</v>
      </c>
      <c r="BQ29" s="23">
        <v>9052.51</v>
      </c>
      <c r="BR29" s="23">
        <v>9017.0689999999995</v>
      </c>
      <c r="BS29" s="23">
        <v>8983.384</v>
      </c>
      <c r="BT29" s="23">
        <v>8950.94</v>
      </c>
      <c r="BU29" s="23">
        <v>8919.4269999999997</v>
      </c>
      <c r="BV29" s="23">
        <v>8888.5329999999994</v>
      </c>
      <c r="BW29" s="23">
        <v>8857.7729999999992</v>
      </c>
      <c r="BX29" s="23">
        <v>8826.6659999999993</v>
      </c>
      <c r="BY29" s="23">
        <v>8794.8739999999998</v>
      </c>
      <c r="BZ29" s="23">
        <v>8762.1509999999998</v>
      </c>
      <c r="CA29" s="23">
        <v>8728.2710000000006</v>
      </c>
      <c r="CB29" s="23">
        <v>8693.1170000000002</v>
      </c>
      <c r="CC29" s="23">
        <v>8656.4930000000004</v>
      </c>
      <c r="CD29" s="23">
        <v>8618.3829999999998</v>
      </c>
      <c r="CE29" s="23">
        <v>8578.8029999999999</v>
      </c>
      <c r="CF29" s="23">
        <v>8537.8649999999998</v>
      </c>
      <c r="CG29" s="23">
        <v>8495.7009999999991</v>
      </c>
      <c r="CH29" s="23">
        <v>8452.4930000000004</v>
      </c>
      <c r="CI29" s="23">
        <v>8408.4860000000008</v>
      </c>
      <c r="CJ29" s="23">
        <v>8363.9740000000002</v>
      </c>
      <c r="CK29" s="23">
        <v>8319.2430000000004</v>
      </c>
      <c r="CL29" s="23">
        <v>8274.5990000000002</v>
      </c>
      <c r="CM29" s="23">
        <v>8230.35</v>
      </c>
      <c r="CN29" s="23">
        <v>8186.8069999999998</v>
      </c>
      <c r="CO29" s="23">
        <v>8144.2470000000003</v>
      </c>
      <c r="CP29" s="23">
        <v>8102.8890000000001</v>
      </c>
      <c r="CQ29" s="23">
        <v>8062.9170000000004</v>
      </c>
      <c r="CR29" s="23">
        <v>8024.4840000000004</v>
      </c>
      <c r="CS29" s="23">
        <v>7987.66</v>
      </c>
      <c r="CT29" s="23">
        <v>7952.4740000000002</v>
      </c>
      <c r="CU29" s="23">
        <v>7918.9170000000004</v>
      </c>
      <c r="CV29" s="23">
        <v>7886.9369999999999</v>
      </c>
      <c r="CW29" s="23">
        <v>7856.4189999999999</v>
      </c>
      <c r="CX29" s="23">
        <v>7827.2330000000002</v>
      </c>
    </row>
    <row r="30" spans="1:103" s="24" customFormat="1" ht="15" customHeight="1" x14ac:dyDescent="0.2">
      <c r="A30" s="2" t="s">
        <v>131</v>
      </c>
      <c r="B30" s="23">
        <v>13533.36</v>
      </c>
      <c r="C30" s="23">
        <v>13870.659</v>
      </c>
      <c r="D30" s="23">
        <v>14117.975</v>
      </c>
      <c r="E30" s="23">
        <v>14282.046</v>
      </c>
      <c r="F30" s="23">
        <v>14408.525</v>
      </c>
      <c r="G30" s="23">
        <v>14524.38</v>
      </c>
      <c r="H30" s="23">
        <v>14577.545</v>
      </c>
      <c r="I30" s="23">
        <v>14627.942999999999</v>
      </c>
      <c r="J30" s="23">
        <v>14623.28</v>
      </c>
      <c r="K30" s="23">
        <v>14591.081</v>
      </c>
      <c r="L30" s="23">
        <v>14540.691000000001</v>
      </c>
      <c r="M30" s="23">
        <v>14465.05</v>
      </c>
      <c r="N30" s="23">
        <v>14399.171</v>
      </c>
      <c r="O30" s="23">
        <v>14310.995999999999</v>
      </c>
      <c r="P30" s="23">
        <v>14204.859</v>
      </c>
      <c r="Q30" s="23">
        <v>14111.386</v>
      </c>
      <c r="R30" s="23">
        <v>14064.263999999999</v>
      </c>
      <c r="S30" s="23">
        <v>14001.950999999999</v>
      </c>
      <c r="T30" s="23">
        <v>13961.148999999999</v>
      </c>
      <c r="U30" s="23">
        <v>13936.439</v>
      </c>
      <c r="V30" s="23">
        <v>13893.523999999999</v>
      </c>
      <c r="W30" s="23">
        <v>13846.244000000001</v>
      </c>
      <c r="X30" s="23">
        <v>13782.226000000001</v>
      </c>
      <c r="Y30" s="23">
        <v>13739.133</v>
      </c>
      <c r="Z30" s="23">
        <v>13723.576999999999</v>
      </c>
      <c r="AA30" s="23">
        <v>13694.164000000001</v>
      </c>
      <c r="AB30" s="23">
        <v>13646.63</v>
      </c>
      <c r="AC30" s="23">
        <v>13587.352000000001</v>
      </c>
      <c r="AD30" s="23">
        <v>13525.323</v>
      </c>
      <c r="AE30" s="23">
        <v>13449.209000000001</v>
      </c>
      <c r="AF30" s="23">
        <v>13370.955</v>
      </c>
      <c r="AG30" s="23">
        <v>13229.73</v>
      </c>
      <c r="AH30" s="23">
        <v>13094.803</v>
      </c>
      <c r="AI30" s="23">
        <v>12955.898999999999</v>
      </c>
      <c r="AJ30" s="23">
        <v>12806.085999999999</v>
      </c>
      <c r="AK30" s="23">
        <v>12654.662</v>
      </c>
      <c r="AL30" s="23">
        <v>12519.575999999999</v>
      </c>
      <c r="AM30" s="23">
        <v>12398.317999999999</v>
      </c>
      <c r="AN30" s="23">
        <v>12275.549000000001</v>
      </c>
      <c r="AO30" s="23">
        <v>12141.161</v>
      </c>
      <c r="AP30" s="23">
        <v>12023.54</v>
      </c>
      <c r="AQ30" s="23">
        <v>11918.441000000001</v>
      </c>
      <c r="AR30" s="23">
        <v>11817.98</v>
      </c>
      <c r="AS30" s="23">
        <v>11728.002</v>
      </c>
      <c r="AT30" s="23">
        <v>11656.789000000001</v>
      </c>
      <c r="AU30" s="23">
        <v>11578.475</v>
      </c>
      <c r="AV30" s="23">
        <v>11534.791999999999</v>
      </c>
      <c r="AW30" s="23">
        <v>11493.272999999999</v>
      </c>
      <c r="AX30" s="23">
        <v>11449.561</v>
      </c>
      <c r="AY30" s="23">
        <v>11405.402</v>
      </c>
      <c r="AZ30" s="23">
        <v>11362.526</v>
      </c>
      <c r="BA30" s="23">
        <v>11321.895</v>
      </c>
      <c r="BB30" s="23">
        <v>11283.537</v>
      </c>
      <c r="BC30" s="23">
        <v>11247.273999999999</v>
      </c>
      <c r="BD30" s="23">
        <v>11212.919</v>
      </c>
      <c r="BE30" s="23">
        <v>11180.272000000001</v>
      </c>
      <c r="BF30" s="23">
        <v>11147.929</v>
      </c>
      <c r="BG30" s="23">
        <v>11114.069</v>
      </c>
      <c r="BH30" s="23">
        <v>11078.018</v>
      </c>
      <c r="BI30" s="23">
        <v>11039.067999999999</v>
      </c>
      <c r="BJ30" s="23">
        <v>10996.591</v>
      </c>
      <c r="BK30" s="23">
        <v>10949.725</v>
      </c>
      <c r="BL30" s="23">
        <v>10897.87</v>
      </c>
      <c r="BM30" s="23">
        <v>10841.065000000001</v>
      </c>
      <c r="BN30" s="23">
        <v>10779.707</v>
      </c>
      <c r="BO30" s="23">
        <v>10714.212</v>
      </c>
      <c r="BP30" s="23">
        <v>10645.276</v>
      </c>
      <c r="BQ30" s="23">
        <v>10573.817999999999</v>
      </c>
      <c r="BR30" s="23">
        <v>10500.629000000001</v>
      </c>
      <c r="BS30" s="23">
        <v>10426.34</v>
      </c>
      <c r="BT30" s="23">
        <v>10351.583000000001</v>
      </c>
      <c r="BU30" s="23">
        <v>10277.565000000001</v>
      </c>
      <c r="BV30" s="23">
        <v>10205.647999999999</v>
      </c>
      <c r="BW30" s="23">
        <v>10136.546</v>
      </c>
      <c r="BX30" s="23">
        <v>10070.831</v>
      </c>
      <c r="BY30" s="23">
        <v>10008.787</v>
      </c>
      <c r="BZ30" s="23">
        <v>9950.75</v>
      </c>
      <c r="CA30" s="23">
        <v>9896.9590000000007</v>
      </c>
      <c r="CB30" s="23">
        <v>9847.241</v>
      </c>
      <c r="CC30" s="23">
        <v>9801.259</v>
      </c>
      <c r="CD30" s="23">
        <v>9758.5669999999991</v>
      </c>
      <c r="CE30" s="23">
        <v>9718.875</v>
      </c>
      <c r="CF30" s="23">
        <v>9681.848</v>
      </c>
      <c r="CG30" s="23">
        <v>9646.9920000000002</v>
      </c>
      <c r="CH30" s="23">
        <v>9613.8780000000006</v>
      </c>
      <c r="CI30" s="23">
        <v>9581.9959999999992</v>
      </c>
      <c r="CJ30" s="23">
        <v>9551.0059999999994</v>
      </c>
      <c r="CK30" s="23">
        <v>9520.6370000000006</v>
      </c>
      <c r="CL30" s="23">
        <v>9490.3819999999996</v>
      </c>
      <c r="CM30" s="23">
        <v>9459.7999999999993</v>
      </c>
      <c r="CN30" s="23">
        <v>9428.5210000000006</v>
      </c>
      <c r="CO30" s="23">
        <v>9396.2909999999993</v>
      </c>
      <c r="CP30" s="23">
        <v>9362.9069999999992</v>
      </c>
      <c r="CQ30" s="23">
        <v>9328.2430000000004</v>
      </c>
      <c r="CR30" s="23">
        <v>9292.1010000000006</v>
      </c>
      <c r="CS30" s="23">
        <v>9254.4770000000008</v>
      </c>
      <c r="CT30" s="23">
        <v>9215.3829999999998</v>
      </c>
      <c r="CU30" s="23">
        <v>9174.9320000000007</v>
      </c>
      <c r="CV30" s="23">
        <v>9133.2469999999994</v>
      </c>
      <c r="CW30" s="23">
        <v>9090.5210000000006</v>
      </c>
      <c r="CX30" s="23">
        <v>9046.9879999999994</v>
      </c>
    </row>
    <row r="31" spans="1:103" s="24" customFormat="1" ht="15" customHeight="1" x14ac:dyDescent="0.2">
      <c r="A31" s="2" t="s">
        <v>132</v>
      </c>
      <c r="B31" s="23">
        <v>13314.705</v>
      </c>
      <c r="C31" s="23">
        <v>13221.608</v>
      </c>
      <c r="D31" s="23">
        <v>13164.691999999999</v>
      </c>
      <c r="E31" s="23">
        <v>13128.566000000001</v>
      </c>
      <c r="F31" s="23">
        <v>13092.082</v>
      </c>
      <c r="G31" s="23">
        <v>13038.779</v>
      </c>
      <c r="H31" s="23">
        <v>12991.194</v>
      </c>
      <c r="I31" s="23">
        <v>12947.262000000001</v>
      </c>
      <c r="J31" s="23">
        <v>12958.689</v>
      </c>
      <c r="K31" s="23">
        <v>12959.094999999999</v>
      </c>
      <c r="L31" s="23">
        <v>13005.89</v>
      </c>
      <c r="M31" s="23">
        <v>13113.441999999999</v>
      </c>
      <c r="N31" s="23">
        <v>13247.963</v>
      </c>
      <c r="O31" s="23">
        <v>13405.21</v>
      </c>
      <c r="P31" s="23">
        <v>13587.906000000001</v>
      </c>
      <c r="Q31" s="23">
        <v>13782.659</v>
      </c>
      <c r="R31" s="23">
        <v>13943.465</v>
      </c>
      <c r="S31" s="23">
        <v>14051.535</v>
      </c>
      <c r="T31" s="23">
        <v>14108.36</v>
      </c>
      <c r="U31" s="23">
        <v>14160.811</v>
      </c>
      <c r="V31" s="23">
        <v>14238.513999999999</v>
      </c>
      <c r="W31" s="23">
        <v>14294.183999999999</v>
      </c>
      <c r="X31" s="23">
        <v>14346.745000000001</v>
      </c>
      <c r="Y31" s="23">
        <v>14345.546</v>
      </c>
      <c r="Z31" s="23">
        <v>14317.125</v>
      </c>
      <c r="AA31" s="23">
        <v>14270.811</v>
      </c>
      <c r="AB31" s="23">
        <v>14200.251</v>
      </c>
      <c r="AC31" s="23">
        <v>14139.123</v>
      </c>
      <c r="AD31" s="23">
        <v>14056.277</v>
      </c>
      <c r="AE31" s="23">
        <v>13956.065000000001</v>
      </c>
      <c r="AF31" s="23">
        <v>13868.284</v>
      </c>
      <c r="AG31" s="23">
        <v>13825.805</v>
      </c>
      <c r="AH31" s="23">
        <v>13768.52</v>
      </c>
      <c r="AI31" s="23">
        <v>13732.112999999999</v>
      </c>
      <c r="AJ31" s="23">
        <v>13711.562</v>
      </c>
      <c r="AK31" s="23">
        <v>13673.573</v>
      </c>
      <c r="AL31" s="23">
        <v>13630.959000000001</v>
      </c>
      <c r="AM31" s="23">
        <v>13571.906000000001</v>
      </c>
      <c r="AN31" s="23">
        <v>13533.058000000001</v>
      </c>
      <c r="AO31" s="23">
        <v>13520.901</v>
      </c>
      <c r="AP31" s="23">
        <v>13494.825000000001</v>
      </c>
      <c r="AQ31" s="23">
        <v>13450.941000000001</v>
      </c>
      <c r="AR31" s="23">
        <v>13395.468999999999</v>
      </c>
      <c r="AS31" s="23">
        <v>13336.985000000001</v>
      </c>
      <c r="AT31" s="23">
        <v>13264.374</v>
      </c>
      <c r="AU31" s="23">
        <v>13189.821</v>
      </c>
      <c r="AV31" s="23">
        <v>13053.602000000001</v>
      </c>
      <c r="AW31" s="23">
        <v>12923.463</v>
      </c>
      <c r="AX31" s="23">
        <v>12789.623</v>
      </c>
      <c r="AY31" s="23">
        <v>12645.344999999999</v>
      </c>
      <c r="AZ31" s="23">
        <v>12499.641</v>
      </c>
      <c r="BA31" s="23">
        <v>12369.799000000001</v>
      </c>
      <c r="BB31" s="23">
        <v>12253.371999999999</v>
      </c>
      <c r="BC31" s="23">
        <v>12135.503000000001</v>
      </c>
      <c r="BD31" s="23">
        <v>12006.415999999999</v>
      </c>
      <c r="BE31" s="23">
        <v>11893.602000000001</v>
      </c>
      <c r="BF31" s="23">
        <v>11792.954</v>
      </c>
      <c r="BG31" s="23">
        <v>11696.859</v>
      </c>
      <c r="BH31" s="23">
        <v>11610.92</v>
      </c>
      <c r="BI31" s="23">
        <v>11543.208000000001</v>
      </c>
      <c r="BJ31" s="23">
        <v>11468.636</v>
      </c>
      <c r="BK31" s="23">
        <v>11427.698</v>
      </c>
      <c r="BL31" s="23">
        <v>11388.86</v>
      </c>
      <c r="BM31" s="23">
        <v>11347.888999999999</v>
      </c>
      <c r="BN31" s="23">
        <v>11306.486000000001</v>
      </c>
      <c r="BO31" s="23">
        <v>11266.337</v>
      </c>
      <c r="BP31" s="23">
        <v>11228.379000000001</v>
      </c>
      <c r="BQ31" s="23">
        <v>11192.628000000001</v>
      </c>
      <c r="BR31" s="23">
        <v>11158.888000000001</v>
      </c>
      <c r="BS31" s="23">
        <v>11126.986999999999</v>
      </c>
      <c r="BT31" s="23">
        <v>11096.710999999999</v>
      </c>
      <c r="BU31" s="23">
        <v>11066.67</v>
      </c>
      <c r="BV31" s="23">
        <v>11035.075000000001</v>
      </c>
      <c r="BW31" s="23">
        <v>11001.266</v>
      </c>
      <c r="BX31" s="23">
        <v>10964.528</v>
      </c>
      <c r="BY31" s="23">
        <v>10924.245999999999</v>
      </c>
      <c r="BZ31" s="23">
        <v>10879.611000000001</v>
      </c>
      <c r="CA31" s="23">
        <v>10830.009</v>
      </c>
      <c r="CB31" s="23">
        <v>10775.489</v>
      </c>
      <c r="CC31" s="23">
        <v>10716.453</v>
      </c>
      <c r="CD31" s="23">
        <v>10653.315000000001</v>
      </c>
      <c r="CE31" s="23">
        <v>10586.775</v>
      </c>
      <c r="CF31" s="23">
        <v>10517.727000000001</v>
      </c>
      <c r="CG31" s="23">
        <v>10446.962</v>
      </c>
      <c r="CH31" s="23">
        <v>10375.103999999999</v>
      </c>
      <c r="CI31" s="23">
        <v>10302.763000000001</v>
      </c>
      <c r="CJ31" s="23">
        <v>10231.154</v>
      </c>
      <c r="CK31" s="23">
        <v>10161.599</v>
      </c>
      <c r="CL31" s="23">
        <v>10094.800999999999</v>
      </c>
      <c r="CM31" s="23">
        <v>10031.302</v>
      </c>
      <c r="CN31" s="23">
        <v>9971.4179999999997</v>
      </c>
      <c r="CO31" s="23">
        <v>9915.4490000000005</v>
      </c>
      <c r="CP31" s="23">
        <v>9863.6560000000009</v>
      </c>
      <c r="CQ31" s="23">
        <v>9815.8310000000001</v>
      </c>
      <c r="CR31" s="23">
        <v>9771.6560000000009</v>
      </c>
      <c r="CS31" s="23">
        <v>9730.7289999999994</v>
      </c>
      <c r="CT31" s="23">
        <v>9692.7330000000002</v>
      </c>
      <c r="CU31" s="23">
        <v>9657.3410000000003</v>
      </c>
      <c r="CV31" s="23">
        <v>9624.0689999999995</v>
      </c>
      <c r="CW31" s="23">
        <v>9592.4869999999992</v>
      </c>
      <c r="CX31" s="23">
        <v>9562.1129999999994</v>
      </c>
    </row>
    <row r="32" spans="1:103" s="24" customFormat="1" ht="15" customHeight="1" x14ac:dyDescent="0.2">
      <c r="A32" s="2" t="s">
        <v>133</v>
      </c>
      <c r="B32" s="23">
        <v>10693.165000000001</v>
      </c>
      <c r="C32" s="23">
        <v>10803.975</v>
      </c>
      <c r="D32" s="23">
        <v>10974.592000000001</v>
      </c>
      <c r="E32" s="23">
        <v>11172.647000000001</v>
      </c>
      <c r="F32" s="23">
        <v>11372.833000000001</v>
      </c>
      <c r="G32" s="23">
        <v>11578.797</v>
      </c>
      <c r="H32" s="23">
        <v>11758.751</v>
      </c>
      <c r="I32" s="23">
        <v>11930.882</v>
      </c>
      <c r="J32" s="23">
        <v>12082.19</v>
      </c>
      <c r="K32" s="23">
        <v>12230.766</v>
      </c>
      <c r="L32" s="23">
        <v>12323.35</v>
      </c>
      <c r="M32" s="23">
        <v>12357.868</v>
      </c>
      <c r="N32" s="23">
        <v>12344.620999999999</v>
      </c>
      <c r="O32" s="23">
        <v>12305.739</v>
      </c>
      <c r="P32" s="23">
        <v>12227.638000000001</v>
      </c>
      <c r="Q32" s="23">
        <v>12109.662</v>
      </c>
      <c r="R32" s="23">
        <v>11992.183999999999</v>
      </c>
      <c r="S32" s="23">
        <v>11920.014999999999</v>
      </c>
      <c r="T32" s="23">
        <v>11877.523999999999</v>
      </c>
      <c r="U32" s="23">
        <v>11842.974</v>
      </c>
      <c r="V32" s="23">
        <v>11802.521000000001</v>
      </c>
      <c r="W32" s="23">
        <v>11777.103999999999</v>
      </c>
      <c r="X32" s="23">
        <v>11755.753000000001</v>
      </c>
      <c r="Y32" s="23">
        <v>11785.147999999999</v>
      </c>
      <c r="Z32" s="23">
        <v>11806.374</v>
      </c>
      <c r="AA32" s="23">
        <v>11868.471</v>
      </c>
      <c r="AB32" s="23">
        <v>11984.807000000001</v>
      </c>
      <c r="AC32" s="23">
        <v>12122.788</v>
      </c>
      <c r="AD32" s="23">
        <v>12280.397999999999</v>
      </c>
      <c r="AE32" s="23">
        <v>12459.66</v>
      </c>
      <c r="AF32" s="23">
        <v>12647.316000000001</v>
      </c>
      <c r="AG32" s="23">
        <v>12802.468999999999</v>
      </c>
      <c r="AH32" s="23">
        <v>12911.907999999999</v>
      </c>
      <c r="AI32" s="23">
        <v>12974.891</v>
      </c>
      <c r="AJ32" s="23">
        <v>13032.966</v>
      </c>
      <c r="AK32" s="23">
        <v>13113.972</v>
      </c>
      <c r="AL32" s="23">
        <v>13173.672</v>
      </c>
      <c r="AM32" s="23">
        <v>13229.876</v>
      </c>
      <c r="AN32" s="23">
        <v>13236.682000000001</v>
      </c>
      <c r="AO32" s="23">
        <v>13217.705</v>
      </c>
      <c r="AP32" s="23">
        <v>13182.119000000001</v>
      </c>
      <c r="AQ32" s="23">
        <v>13125.509</v>
      </c>
      <c r="AR32" s="23">
        <v>13077.645</v>
      </c>
      <c r="AS32" s="23">
        <v>13009.991</v>
      </c>
      <c r="AT32" s="23">
        <v>12926.852000000001</v>
      </c>
      <c r="AU32" s="23">
        <v>12855.522000000001</v>
      </c>
      <c r="AV32" s="23">
        <v>12826.522999999999</v>
      </c>
      <c r="AW32" s="23">
        <v>12783.893</v>
      </c>
      <c r="AX32" s="23">
        <v>12760.313</v>
      </c>
      <c r="AY32" s="23">
        <v>12751.843999999999</v>
      </c>
      <c r="AZ32" s="23">
        <v>12728.123</v>
      </c>
      <c r="BA32" s="23">
        <v>12698.916999999999</v>
      </c>
      <c r="BB32" s="23">
        <v>12654.111999999999</v>
      </c>
      <c r="BC32" s="23">
        <v>12627.263000000001</v>
      </c>
      <c r="BD32" s="23">
        <v>12624.643</v>
      </c>
      <c r="BE32" s="23">
        <v>12608.037</v>
      </c>
      <c r="BF32" s="23">
        <v>12574.554</v>
      </c>
      <c r="BG32" s="23">
        <v>12530.093999999999</v>
      </c>
      <c r="BH32" s="23">
        <v>12481.938</v>
      </c>
      <c r="BI32" s="23">
        <v>12419.525</v>
      </c>
      <c r="BJ32" s="23">
        <v>12355.800999999999</v>
      </c>
      <c r="BK32" s="23">
        <v>12234.323</v>
      </c>
      <c r="BL32" s="23">
        <v>12118.397000000001</v>
      </c>
      <c r="BM32" s="23">
        <v>11999.567999999999</v>
      </c>
      <c r="BN32" s="23">
        <v>11871.806</v>
      </c>
      <c r="BO32" s="23">
        <v>11743.043</v>
      </c>
      <c r="BP32" s="23">
        <v>11628.799000000001</v>
      </c>
      <c r="BQ32" s="23">
        <v>11526.710999999999</v>
      </c>
      <c r="BR32" s="23">
        <v>11423.415999999999</v>
      </c>
      <c r="BS32" s="23">
        <v>11310.136</v>
      </c>
      <c r="BT32" s="23">
        <v>11211.642</v>
      </c>
      <c r="BU32" s="23">
        <v>11124.223</v>
      </c>
      <c r="BV32" s="23">
        <v>11041.082</v>
      </c>
      <c r="BW32" s="23">
        <v>10967.19</v>
      </c>
      <c r="BX32" s="23">
        <v>10909.911</v>
      </c>
      <c r="BY32" s="23">
        <v>10846.472</v>
      </c>
      <c r="BZ32" s="23">
        <v>10813.683000000001</v>
      </c>
      <c r="CA32" s="23">
        <v>10782.784</v>
      </c>
      <c r="CB32" s="23">
        <v>10749.954</v>
      </c>
      <c r="CC32" s="23">
        <v>10716.758</v>
      </c>
      <c r="CD32" s="23">
        <v>10684.755999999999</v>
      </c>
      <c r="CE32" s="23">
        <v>10654.763000000001</v>
      </c>
      <c r="CF32" s="23">
        <v>10626.769</v>
      </c>
      <c r="CG32" s="23">
        <v>10600.550999999999</v>
      </c>
      <c r="CH32" s="23">
        <v>10575.942999999999</v>
      </c>
      <c r="CI32" s="23">
        <v>10552.737999999999</v>
      </c>
      <c r="CJ32" s="23">
        <v>10529.561</v>
      </c>
      <c r="CK32" s="23">
        <v>10504.695</v>
      </c>
      <c r="CL32" s="23">
        <v>10477.534</v>
      </c>
      <c r="CM32" s="23">
        <v>10447.396000000001</v>
      </c>
      <c r="CN32" s="23">
        <v>10413.700999999999</v>
      </c>
      <c r="CO32" s="23">
        <v>10375.700999999999</v>
      </c>
      <c r="CP32" s="23">
        <v>10332.819</v>
      </c>
      <c r="CQ32" s="23">
        <v>10285.143</v>
      </c>
      <c r="CR32" s="23">
        <v>10233.096</v>
      </c>
      <c r="CS32" s="23">
        <v>10177.063</v>
      </c>
      <c r="CT32" s="23">
        <v>10117.743</v>
      </c>
      <c r="CU32" s="23">
        <v>10055.959999999999</v>
      </c>
      <c r="CV32" s="23">
        <v>9992.5159999999996</v>
      </c>
      <c r="CW32" s="23">
        <v>9927.9959999999992</v>
      </c>
      <c r="CX32" s="23">
        <v>9862.9869999999992</v>
      </c>
    </row>
    <row r="33" spans="1:102" s="24" customFormat="1" ht="15" customHeight="1" x14ac:dyDescent="0.2">
      <c r="A33" s="2" t="s">
        <v>134</v>
      </c>
      <c r="B33" s="23">
        <v>6120.8019999999997</v>
      </c>
      <c r="C33" s="23">
        <v>6319.2650000000003</v>
      </c>
      <c r="D33" s="23">
        <v>6487.51</v>
      </c>
      <c r="E33" s="23">
        <v>6631.1710000000003</v>
      </c>
      <c r="F33" s="23">
        <v>6756.75</v>
      </c>
      <c r="G33" s="23">
        <v>6868.1210000000001</v>
      </c>
      <c r="H33" s="23">
        <v>6986.3320000000003</v>
      </c>
      <c r="I33" s="23">
        <v>7103.05</v>
      </c>
      <c r="J33" s="23">
        <v>7208.6450000000004</v>
      </c>
      <c r="K33" s="23">
        <v>7326.9650000000001</v>
      </c>
      <c r="L33" s="23">
        <v>7457.0680000000002</v>
      </c>
      <c r="M33" s="23">
        <v>7602.69</v>
      </c>
      <c r="N33" s="23">
        <v>7754.3919999999998</v>
      </c>
      <c r="O33" s="23">
        <v>7911.6390000000001</v>
      </c>
      <c r="P33" s="23">
        <v>8084.6790000000001</v>
      </c>
      <c r="Q33" s="23">
        <v>8272.0570000000007</v>
      </c>
      <c r="R33" s="23">
        <v>8465.5869999999995</v>
      </c>
      <c r="S33" s="23">
        <v>8664.7260000000006</v>
      </c>
      <c r="T33" s="23">
        <v>8862.4580000000005</v>
      </c>
      <c r="U33" s="23">
        <v>9044.9830000000002</v>
      </c>
      <c r="V33" s="23">
        <v>9220.2000000000007</v>
      </c>
      <c r="W33" s="23">
        <v>9381.5810000000001</v>
      </c>
      <c r="X33" s="23">
        <v>9535.8459999999995</v>
      </c>
      <c r="Y33" s="23">
        <v>9664.9220000000005</v>
      </c>
      <c r="Z33" s="23">
        <v>9804.866</v>
      </c>
      <c r="AA33" s="23">
        <v>9909.9920000000002</v>
      </c>
      <c r="AB33" s="23">
        <v>9982.1360000000004</v>
      </c>
      <c r="AC33" s="23">
        <v>10022.246999999999</v>
      </c>
      <c r="AD33" s="23">
        <v>10048.724</v>
      </c>
      <c r="AE33" s="23">
        <v>10058.558000000001</v>
      </c>
      <c r="AF33" s="23">
        <v>10049.989</v>
      </c>
      <c r="AG33" s="23">
        <v>10050.532999999999</v>
      </c>
      <c r="AH33" s="23">
        <v>10097.815000000001</v>
      </c>
      <c r="AI33" s="23">
        <v>10172.200999999999</v>
      </c>
      <c r="AJ33" s="23">
        <v>10243.004999999999</v>
      </c>
      <c r="AK33" s="23">
        <v>10305.323</v>
      </c>
      <c r="AL33" s="23">
        <v>10372.02</v>
      </c>
      <c r="AM33" s="23">
        <v>10439.657999999999</v>
      </c>
      <c r="AN33" s="23">
        <v>10533.324000000001</v>
      </c>
      <c r="AO33" s="23">
        <v>10633.575999999999</v>
      </c>
      <c r="AP33" s="23">
        <v>10743.871999999999</v>
      </c>
      <c r="AQ33" s="23">
        <v>10877.566999999999</v>
      </c>
      <c r="AR33" s="23">
        <v>11007.359</v>
      </c>
      <c r="AS33" s="23">
        <v>11147.797</v>
      </c>
      <c r="AT33" s="23">
        <v>11297.782999999999</v>
      </c>
      <c r="AU33" s="23">
        <v>11444.022999999999</v>
      </c>
      <c r="AV33" s="23">
        <v>11574.35</v>
      </c>
      <c r="AW33" s="23">
        <v>11709.427</v>
      </c>
      <c r="AX33" s="23">
        <v>11830.26</v>
      </c>
      <c r="AY33" s="23">
        <v>11945.127</v>
      </c>
      <c r="AZ33" s="23">
        <v>12072.972</v>
      </c>
      <c r="BA33" s="23">
        <v>12184.647000000001</v>
      </c>
      <c r="BB33" s="23">
        <v>12291.477999999999</v>
      </c>
      <c r="BC33" s="23">
        <v>12374.067999999999</v>
      </c>
      <c r="BD33" s="23">
        <v>12435.525</v>
      </c>
      <c r="BE33" s="23">
        <v>12486.394</v>
      </c>
      <c r="BF33" s="23">
        <v>12534.154</v>
      </c>
      <c r="BG33" s="23">
        <v>12581.313</v>
      </c>
      <c r="BH33" s="23">
        <v>12615.61</v>
      </c>
      <c r="BI33" s="23">
        <v>12640.456</v>
      </c>
      <c r="BJ33" s="23">
        <v>12669.052</v>
      </c>
      <c r="BK33" s="23">
        <v>12718.557000000001</v>
      </c>
      <c r="BL33" s="23">
        <v>12758.29</v>
      </c>
      <c r="BM33" s="23">
        <v>12801.759</v>
      </c>
      <c r="BN33" s="23">
        <v>12854.019</v>
      </c>
      <c r="BO33" s="23">
        <v>12906.120999999999</v>
      </c>
      <c r="BP33" s="23">
        <v>12941.843999999999</v>
      </c>
      <c r="BQ33" s="23">
        <v>12963.437</v>
      </c>
      <c r="BR33" s="23">
        <v>12984.594999999999</v>
      </c>
      <c r="BS33" s="23">
        <v>13014.388999999999</v>
      </c>
      <c r="BT33" s="23">
        <v>13028.388999999999</v>
      </c>
      <c r="BU33" s="23">
        <v>13030.96</v>
      </c>
      <c r="BV33" s="23">
        <v>13029.655000000001</v>
      </c>
      <c r="BW33" s="23">
        <v>13019.897000000001</v>
      </c>
      <c r="BX33" s="23">
        <v>12994.813</v>
      </c>
      <c r="BY33" s="23">
        <v>12977.684999999999</v>
      </c>
      <c r="BZ33" s="23">
        <v>12932.271000000001</v>
      </c>
      <c r="CA33" s="23">
        <v>12887.627</v>
      </c>
      <c r="CB33" s="23">
        <v>12847.619000000001</v>
      </c>
      <c r="CC33" s="23">
        <v>12810.527</v>
      </c>
      <c r="CD33" s="23">
        <v>12774.668</v>
      </c>
      <c r="CE33" s="23">
        <v>12738.688</v>
      </c>
      <c r="CF33" s="23">
        <v>12701.946</v>
      </c>
      <c r="CG33" s="23">
        <v>12664.299000000001</v>
      </c>
      <c r="CH33" s="23">
        <v>12625.807000000001</v>
      </c>
      <c r="CI33" s="23">
        <v>12586.651</v>
      </c>
      <c r="CJ33" s="23">
        <v>12547.486999999999</v>
      </c>
      <c r="CK33" s="23">
        <v>12509.214</v>
      </c>
      <c r="CL33" s="23">
        <v>12472.476000000001</v>
      </c>
      <c r="CM33" s="23">
        <v>12438.085999999999</v>
      </c>
      <c r="CN33" s="23">
        <v>12406.886</v>
      </c>
      <c r="CO33" s="23">
        <v>12379.757</v>
      </c>
      <c r="CP33" s="23">
        <v>12357.32</v>
      </c>
      <c r="CQ33" s="23">
        <v>12339.893</v>
      </c>
      <c r="CR33" s="23">
        <v>12327.55</v>
      </c>
      <c r="CS33" s="23">
        <v>12320.278</v>
      </c>
      <c r="CT33" s="23">
        <v>12317.531000000001</v>
      </c>
      <c r="CU33" s="23">
        <v>12318.502</v>
      </c>
      <c r="CV33" s="23">
        <v>12322.518</v>
      </c>
      <c r="CW33" s="23">
        <v>12328.97</v>
      </c>
      <c r="CX33" s="23">
        <v>12337.268</v>
      </c>
    </row>
    <row r="34" spans="1:102" s="24" customFormat="1" ht="15" customHeight="1" x14ac:dyDescent="0.2">
      <c r="A34" s="2" t="s">
        <v>135</v>
      </c>
      <c r="B34" s="23">
        <v>67602.760999999999</v>
      </c>
      <c r="C34" s="23">
        <v>68492.494999999995</v>
      </c>
      <c r="D34" s="23">
        <v>69226.231</v>
      </c>
      <c r="E34" s="23">
        <v>69812.630999999994</v>
      </c>
      <c r="F34" s="23">
        <v>70247.112999999998</v>
      </c>
      <c r="G34" s="23">
        <v>70525.251000000004</v>
      </c>
      <c r="H34" s="23">
        <v>70642.365999999995</v>
      </c>
      <c r="I34" s="23">
        <v>70748.183999999994</v>
      </c>
      <c r="J34" s="23">
        <v>70841.941999999995</v>
      </c>
      <c r="K34" s="23">
        <v>70923.130999999994</v>
      </c>
      <c r="L34" s="23">
        <v>70991.456000000006</v>
      </c>
      <c r="M34" s="23">
        <v>71047.179999999993</v>
      </c>
      <c r="N34" s="23">
        <v>71090.845000000001</v>
      </c>
      <c r="O34" s="23">
        <v>71122.831999999995</v>
      </c>
      <c r="P34" s="23">
        <v>71143.8</v>
      </c>
      <c r="Q34" s="23">
        <v>71154.554999999993</v>
      </c>
      <c r="R34" s="23">
        <v>71156.042000000001</v>
      </c>
      <c r="S34" s="23">
        <v>71149.096000000005</v>
      </c>
      <c r="T34" s="23">
        <v>71134.407999999996</v>
      </c>
      <c r="U34" s="23">
        <v>71112.67</v>
      </c>
      <c r="V34" s="23">
        <v>71084.426000000007</v>
      </c>
      <c r="W34" s="23">
        <v>71049.754000000001</v>
      </c>
      <c r="X34" s="23">
        <v>71008.509000000005</v>
      </c>
      <c r="Y34" s="23">
        <v>70960.588000000003</v>
      </c>
      <c r="Z34" s="23">
        <v>70905.847999999998</v>
      </c>
      <c r="AA34" s="23">
        <v>70844.130999999994</v>
      </c>
      <c r="AB34" s="23">
        <v>70774.277000000002</v>
      </c>
      <c r="AC34" s="23">
        <v>70694.92</v>
      </c>
      <c r="AD34" s="23">
        <v>70605.494000000006</v>
      </c>
      <c r="AE34" s="23">
        <v>70505.698000000004</v>
      </c>
      <c r="AF34" s="23">
        <v>70395.486999999994</v>
      </c>
      <c r="AG34" s="23">
        <v>70274.803</v>
      </c>
      <c r="AH34" s="23">
        <v>70143.804999999993</v>
      </c>
      <c r="AI34" s="23">
        <v>70003.176000000007</v>
      </c>
      <c r="AJ34" s="23">
        <v>69853.971999999994</v>
      </c>
      <c r="AK34" s="23">
        <v>69697.316999999995</v>
      </c>
      <c r="AL34" s="23">
        <v>69534.263999999996</v>
      </c>
      <c r="AM34" s="23">
        <v>69365.808000000005</v>
      </c>
      <c r="AN34" s="23">
        <v>69193.058000000005</v>
      </c>
      <c r="AO34" s="23">
        <v>69017.028000000006</v>
      </c>
      <c r="AP34" s="23">
        <v>68838.563999999998</v>
      </c>
      <c r="AQ34" s="23">
        <v>68658.25</v>
      </c>
      <c r="AR34" s="23">
        <v>68476.451000000001</v>
      </c>
      <c r="AS34" s="23">
        <v>68293.650999999998</v>
      </c>
      <c r="AT34" s="23">
        <v>68110.081000000006</v>
      </c>
      <c r="AU34" s="23">
        <v>67925.695999999996</v>
      </c>
      <c r="AV34" s="23">
        <v>67740.362999999998</v>
      </c>
      <c r="AW34" s="23">
        <v>67553.667000000001</v>
      </c>
      <c r="AX34" s="23">
        <v>67365.054000000004</v>
      </c>
      <c r="AY34" s="23">
        <v>67173.907999999996</v>
      </c>
      <c r="AZ34" s="23">
        <v>66979.524000000005</v>
      </c>
      <c r="BA34" s="23">
        <v>66781.152000000002</v>
      </c>
      <c r="BB34" s="23">
        <v>66578.179000000004</v>
      </c>
      <c r="BC34" s="23">
        <v>66370.063999999998</v>
      </c>
      <c r="BD34" s="23">
        <v>66156.392000000007</v>
      </c>
      <c r="BE34" s="23">
        <v>65936.910999999993</v>
      </c>
      <c r="BF34" s="23">
        <v>65711.599000000002</v>
      </c>
      <c r="BG34" s="23">
        <v>65480.491000000002</v>
      </c>
      <c r="BH34" s="23">
        <v>65243.762000000002</v>
      </c>
      <c r="BI34" s="23">
        <v>65001.728999999999</v>
      </c>
      <c r="BJ34" s="23">
        <v>64754.779000000002</v>
      </c>
      <c r="BK34" s="23">
        <v>64503.305</v>
      </c>
      <c r="BL34" s="23">
        <v>64247.86</v>
      </c>
      <c r="BM34" s="23">
        <v>63988.982000000004</v>
      </c>
      <c r="BN34" s="23">
        <v>63727.283000000003</v>
      </c>
      <c r="BO34" s="23">
        <v>63463.366999999998</v>
      </c>
      <c r="BP34" s="23">
        <v>63197.902999999998</v>
      </c>
      <c r="BQ34" s="23">
        <v>62931.459000000003</v>
      </c>
      <c r="BR34" s="23">
        <v>62664.623</v>
      </c>
      <c r="BS34" s="23">
        <v>62397.900999999998</v>
      </c>
      <c r="BT34" s="23">
        <v>62131.777000000002</v>
      </c>
      <c r="BU34" s="23">
        <v>61866.688000000002</v>
      </c>
      <c r="BV34" s="23">
        <v>61602.96</v>
      </c>
      <c r="BW34" s="23">
        <v>61340.837</v>
      </c>
      <c r="BX34" s="23">
        <v>61080.531999999999</v>
      </c>
      <c r="BY34" s="23">
        <v>60822.165999999997</v>
      </c>
      <c r="BZ34" s="23">
        <v>60565.858999999997</v>
      </c>
      <c r="CA34" s="23">
        <v>60311.55</v>
      </c>
      <c r="CB34" s="23">
        <v>60059.209000000003</v>
      </c>
      <c r="CC34" s="23">
        <v>59808.720999999998</v>
      </c>
      <c r="CD34" s="23">
        <v>59559.964</v>
      </c>
      <c r="CE34" s="23">
        <v>59312.872000000003</v>
      </c>
      <c r="CF34" s="23">
        <v>59067.440999999999</v>
      </c>
      <c r="CG34" s="23">
        <v>58823.675999999999</v>
      </c>
      <c r="CH34" s="23">
        <v>58581.75</v>
      </c>
      <c r="CI34" s="23">
        <v>58341.857000000004</v>
      </c>
      <c r="CJ34" s="23">
        <v>58104.264000000003</v>
      </c>
      <c r="CK34" s="23">
        <v>57869.315999999999</v>
      </c>
      <c r="CL34" s="23">
        <v>57637.377</v>
      </c>
      <c r="CM34" s="23">
        <v>57408.794000000002</v>
      </c>
      <c r="CN34" s="23">
        <v>57183.889000000003</v>
      </c>
      <c r="CO34" s="23">
        <v>56962.934999999998</v>
      </c>
      <c r="CP34" s="23">
        <v>56746.087</v>
      </c>
      <c r="CQ34" s="23">
        <v>56533.451999999997</v>
      </c>
      <c r="CR34" s="23">
        <v>56325.036</v>
      </c>
      <c r="CS34" s="23">
        <v>56120.771999999997</v>
      </c>
      <c r="CT34" s="23">
        <v>55920.455000000002</v>
      </c>
      <c r="CU34" s="23">
        <v>55723.841999999997</v>
      </c>
      <c r="CV34" s="23">
        <v>55530.627</v>
      </c>
      <c r="CW34" s="23">
        <v>55340.434999999998</v>
      </c>
      <c r="CX34" s="23">
        <v>55152.927000000003</v>
      </c>
    </row>
    <row r="35" spans="1:102" s="24" customFormat="1" ht="15" customHeight="1" x14ac:dyDescent="0.2">
      <c r="A35" s="2" t="s">
        <v>129</v>
      </c>
      <c r="B35" s="25">
        <v>0.17170010260379751</v>
      </c>
      <c r="C35" s="25">
        <v>0.16888241551136371</v>
      </c>
      <c r="D35" s="25">
        <v>0.1662417241811128</v>
      </c>
      <c r="E35" s="25">
        <v>0.16365971080505479</v>
      </c>
      <c r="F35" s="25">
        <v>0.16103618379306209</v>
      </c>
      <c r="G35" s="25">
        <v>0.15849428171478611</v>
      </c>
      <c r="H35" s="25">
        <v>0.15627963253665661</v>
      </c>
      <c r="I35" s="25">
        <v>0.15429584736761581</v>
      </c>
      <c r="J35" s="25">
        <v>0.15232260290097641</v>
      </c>
      <c r="K35" s="25">
        <v>0.1502144906715977</v>
      </c>
      <c r="L35" s="25">
        <v>0.14837839077423631</v>
      </c>
      <c r="M35" s="25">
        <v>0.1467510322014188</v>
      </c>
      <c r="N35" s="25">
        <v>0.1452168137824216</v>
      </c>
      <c r="O35" s="25">
        <v>0.14385795267545029</v>
      </c>
      <c r="P35" s="25">
        <v>0.1427897300959465</v>
      </c>
      <c r="Q35" s="25">
        <v>0.1416413467837723</v>
      </c>
      <c r="R35" s="25">
        <v>0.14100525715019391</v>
      </c>
      <c r="S35" s="25">
        <v>0.1404166962290006</v>
      </c>
      <c r="T35" s="25">
        <v>0.13981204426414851</v>
      </c>
      <c r="U35" s="25">
        <v>0.1392146153421043</v>
      </c>
      <c r="V35" s="25">
        <v>0.13864772573390399</v>
      </c>
      <c r="W35" s="25">
        <v>0.13812481321187969</v>
      </c>
      <c r="X35" s="25">
        <v>0.13764686989836669</v>
      </c>
      <c r="Y35" s="25">
        <v>0.13721123618648709</v>
      </c>
      <c r="Z35" s="25">
        <v>0.1368154570269014</v>
      </c>
      <c r="AA35" s="25">
        <v>0.1364572599528393</v>
      </c>
      <c r="AB35" s="25">
        <v>0.1361184233644662</v>
      </c>
      <c r="AC35" s="25">
        <v>0.13577633300950051</v>
      </c>
      <c r="AD35" s="25">
        <v>0.13542175627296091</v>
      </c>
      <c r="AE35" s="25">
        <v>0.13504534059077039</v>
      </c>
      <c r="AF35" s="25">
        <v>0.13463783551920031</v>
      </c>
      <c r="AG35" s="25">
        <v>0.13418651632506179</v>
      </c>
      <c r="AH35" s="25">
        <v>0.13368188395254579</v>
      </c>
      <c r="AI35" s="25">
        <v>0.13312267431980521</v>
      </c>
      <c r="AJ35" s="25">
        <v>0.13251190640955959</v>
      </c>
      <c r="AK35" s="25">
        <v>0.1318529807969509</v>
      </c>
      <c r="AL35" s="25">
        <v>0.1311535849433885</v>
      </c>
      <c r="AM35" s="25">
        <v>0.1304246178463026</v>
      </c>
      <c r="AN35" s="25">
        <v>0.12967500294610479</v>
      </c>
      <c r="AO35" s="25">
        <v>0.12891198386577871</v>
      </c>
      <c r="AP35" s="25">
        <v>0.12814288223676479</v>
      </c>
      <c r="AQ35" s="25">
        <v>0.1273841526691985</v>
      </c>
      <c r="AR35" s="25">
        <v>0.12665508906120149</v>
      </c>
      <c r="AS35" s="25">
        <v>0.1259659408163725</v>
      </c>
      <c r="AT35" s="25">
        <v>0.1253245316210973</v>
      </c>
      <c r="AU35" s="25">
        <v>0.1247356964881155</v>
      </c>
      <c r="AV35" s="25">
        <v>0.1242051360132215</v>
      </c>
      <c r="AW35" s="25">
        <v>0.1237376499487437</v>
      </c>
      <c r="AX35" s="25">
        <v>0.12333235864399369</v>
      </c>
      <c r="AY35" s="25">
        <v>0.122985668780801</v>
      </c>
      <c r="AZ35" s="25">
        <v>0.1226925261517236</v>
      </c>
      <c r="BA35" s="25">
        <v>0.12244996911703469</v>
      </c>
      <c r="BB35" s="25">
        <v>0.1222548156506353</v>
      </c>
      <c r="BC35" s="25">
        <v>0.12210131362838519</v>
      </c>
      <c r="BD35" s="25">
        <v>0.12198363236012021</v>
      </c>
      <c r="BE35" s="25">
        <v>0.1218948367174798</v>
      </c>
      <c r="BF35" s="25">
        <v>0.1218305005787487</v>
      </c>
      <c r="BG35" s="25">
        <v>0.12178618208589791</v>
      </c>
      <c r="BH35" s="25">
        <v>0.1217539540408476</v>
      </c>
      <c r="BI35" s="25">
        <v>0.1217262390051194</v>
      </c>
      <c r="BJ35" s="25">
        <v>0.1216971800645015</v>
      </c>
      <c r="BK35" s="25">
        <v>0.121661610982569</v>
      </c>
      <c r="BL35" s="25">
        <v>0.1216156771602976</v>
      </c>
      <c r="BM35" s="25">
        <v>0.121555660941754</v>
      </c>
      <c r="BN35" s="25">
        <v>0.1214776565948999</v>
      </c>
      <c r="BO35" s="25">
        <v>0.1213797559779644</v>
      </c>
      <c r="BP35" s="25">
        <v>0.1212611120973429</v>
      </c>
      <c r="BQ35" s="25">
        <v>0.1211215363686388</v>
      </c>
      <c r="BR35" s="25">
        <v>0.1209618064725292</v>
      </c>
      <c r="BS35" s="25">
        <v>0.1207839507293683</v>
      </c>
      <c r="BT35" s="25">
        <v>0.1205906600739908</v>
      </c>
      <c r="BU35" s="25">
        <v>0.1203853518067752</v>
      </c>
      <c r="BV35" s="25">
        <v>0.12017226120303311</v>
      </c>
      <c r="BW35" s="25">
        <v>0.11995540589053259</v>
      </c>
      <c r="BX35" s="25">
        <v>0.1197400016096782</v>
      </c>
      <c r="BY35" s="25">
        <v>0.1195304685466151</v>
      </c>
      <c r="BZ35" s="25">
        <v>0.1193311400074422</v>
      </c>
      <c r="CA35" s="25">
        <v>0.11914633266762339</v>
      </c>
      <c r="CB35" s="25">
        <v>0.1189790728013084</v>
      </c>
      <c r="CC35" s="25">
        <v>0.1188326866244139</v>
      </c>
      <c r="CD35" s="25">
        <v>0.118708517016565</v>
      </c>
      <c r="CE35" s="25">
        <v>0.11860777876343601</v>
      </c>
      <c r="CF35" s="25">
        <v>0.11853037615088149</v>
      </c>
      <c r="CG35" s="25">
        <v>0.1184756117587755</v>
      </c>
      <c r="CH35" s="25">
        <v>0.11844175020377511</v>
      </c>
      <c r="CI35" s="25">
        <v>0.11842651837427801</v>
      </c>
      <c r="CJ35" s="25">
        <v>0.1184264548983875</v>
      </c>
      <c r="CK35" s="25">
        <v>0.1184380337241242</v>
      </c>
      <c r="CL35" s="25">
        <v>0.11845759393249281</v>
      </c>
      <c r="CM35" s="25">
        <v>0.1184811511630082</v>
      </c>
      <c r="CN35" s="25">
        <v>0.11850463685672021</v>
      </c>
      <c r="CO35" s="25">
        <v>0.11852426494526661</v>
      </c>
      <c r="CP35" s="25">
        <v>0.1185367371674456</v>
      </c>
      <c r="CQ35" s="25">
        <v>0.1185391084910223</v>
      </c>
      <c r="CR35" s="25">
        <v>0.11852897883633839</v>
      </c>
      <c r="CS35" s="25">
        <v>0.1185045173648003</v>
      </c>
      <c r="CT35" s="25">
        <v>0.1184645403904528</v>
      </c>
      <c r="CU35" s="25">
        <v>0.1184087414503831</v>
      </c>
      <c r="CV35" s="25">
        <v>0.1183372195671409</v>
      </c>
      <c r="CW35" s="25">
        <v>0.1182506425907205</v>
      </c>
      <c r="CX35" s="25">
        <v>0.11815035673446669</v>
      </c>
    </row>
    <row r="36" spans="1:102" s="24" customFormat="1" ht="15" customHeight="1" x14ac:dyDescent="0.2">
      <c r="A36" s="2" t="s">
        <v>130</v>
      </c>
      <c r="B36" s="25">
        <v>0.1824382291131571</v>
      </c>
      <c r="C36" s="25">
        <v>0.18556500241376811</v>
      </c>
      <c r="D36" s="25">
        <v>0.18740257576640279</v>
      </c>
      <c r="E36" s="25">
        <v>0.188686285150892</v>
      </c>
      <c r="F36" s="25">
        <v>0.1893970503812733</v>
      </c>
      <c r="G36" s="25">
        <v>0.1891141798275911</v>
      </c>
      <c r="H36" s="25">
        <v>0.18811064453871779</v>
      </c>
      <c r="I36" s="25">
        <v>0.18690085387916111</v>
      </c>
      <c r="J36" s="25">
        <v>0.1860241070184101</v>
      </c>
      <c r="K36" s="25">
        <v>0.18557474570602361</v>
      </c>
      <c r="L36" s="25">
        <v>0.1849639342514682</v>
      </c>
      <c r="M36" s="25">
        <v>0.1841295178781199</v>
      </c>
      <c r="N36" s="25">
        <v>0.1831615871213797</v>
      </c>
      <c r="O36" s="25">
        <v>0.1821871069475974</v>
      </c>
      <c r="P36" s="25">
        <v>0.1810433797463728</v>
      </c>
      <c r="Q36" s="25">
        <v>0.17989521542225931</v>
      </c>
      <c r="R36" s="25">
        <v>0.1778790056928686</v>
      </c>
      <c r="S36" s="25">
        <v>0.17597339536120041</v>
      </c>
      <c r="T36" s="25">
        <v>0.1740292827066193</v>
      </c>
      <c r="U36" s="25">
        <v>0.17194601187102099</v>
      </c>
      <c r="V36" s="25">
        <v>0.16985398461260701</v>
      </c>
      <c r="W36" s="25">
        <v>0.16800771752144281</v>
      </c>
      <c r="X36" s="25">
        <v>0.166372173791172</v>
      </c>
      <c r="Y36" s="25">
        <v>0.16472875055657649</v>
      </c>
      <c r="Z36" s="25">
        <v>0.16293282325598871</v>
      </c>
      <c r="AA36" s="25">
        <v>0.161389473462523</v>
      </c>
      <c r="AB36" s="25">
        <v>0.1600407730057066</v>
      </c>
      <c r="AC36" s="25">
        <v>0.1587767975407568</v>
      </c>
      <c r="AD36" s="25">
        <v>0.15768251688742521</v>
      </c>
      <c r="AE36" s="25">
        <v>0.15687724983589271</v>
      </c>
      <c r="AF36" s="25">
        <v>0.15599078105674591</v>
      </c>
      <c r="AG36" s="25">
        <v>0.1556224213108075</v>
      </c>
      <c r="AH36" s="25">
        <v>0.15530670171086389</v>
      </c>
      <c r="AI36" s="25">
        <v>0.1549795683555843</v>
      </c>
      <c r="AJ36" s="25">
        <v>0.1546636460414878</v>
      </c>
      <c r="AK36" s="25">
        <v>0.1543816672311791</v>
      </c>
      <c r="AL36" s="25">
        <v>0.15414514202667051</v>
      </c>
      <c r="AM36" s="25">
        <v>0.15395252081544269</v>
      </c>
      <c r="AN36" s="25">
        <v>0.1537991715874156</v>
      </c>
      <c r="AO36" s="25">
        <v>0.15368037870306439</v>
      </c>
      <c r="AP36" s="25">
        <v>0.15359175708546161</v>
      </c>
      <c r="AQ36" s="25">
        <v>0.15351132602418499</v>
      </c>
      <c r="AR36" s="25">
        <v>0.15341196639995261</v>
      </c>
      <c r="AS36" s="25">
        <v>0.15328221359845001</v>
      </c>
      <c r="AT36" s="25">
        <v>0.1531112406106227</v>
      </c>
      <c r="AU36" s="25">
        <v>0.15288906277824521</v>
      </c>
      <c r="AV36" s="25">
        <v>0.15260318283207311</v>
      </c>
      <c r="AW36" s="25">
        <v>0.15224457023184251</v>
      </c>
      <c r="AX36" s="25">
        <v>0.15181470796416191</v>
      </c>
      <c r="AY36" s="25">
        <v>0.15132009291464779</v>
      </c>
      <c r="AZ36" s="25">
        <v>0.15076809145433759</v>
      </c>
      <c r="BA36" s="25">
        <v>0.15017027558913629</v>
      </c>
      <c r="BB36" s="25">
        <v>0.14954114320248979</v>
      </c>
      <c r="BC36" s="25">
        <v>0.14889369400035529</v>
      </c>
      <c r="BD36" s="25">
        <v>0.14823801152880281</v>
      </c>
      <c r="BE36" s="25">
        <v>0.14758405955656609</v>
      </c>
      <c r="BF36" s="25">
        <v>0.14695017541728059</v>
      </c>
      <c r="BG36" s="25">
        <v>0.14635713406608389</v>
      </c>
      <c r="BH36" s="25">
        <v>0.14581608583514849</v>
      </c>
      <c r="BI36" s="25">
        <v>0.14533545715376281</v>
      </c>
      <c r="BJ36" s="25">
        <v>0.14491941976977479</v>
      </c>
      <c r="BK36" s="25">
        <v>0.14457284010485971</v>
      </c>
      <c r="BL36" s="25">
        <v>0.14429890738773249</v>
      </c>
      <c r="BM36" s="25">
        <v>0.14409477556620601</v>
      </c>
      <c r="BN36" s="25">
        <v>0.14395441902018641</v>
      </c>
      <c r="BO36" s="25">
        <v>0.14387017946904709</v>
      </c>
      <c r="BP36" s="25">
        <v>0.1438363706466653</v>
      </c>
      <c r="BQ36" s="25">
        <v>0.14384713375229391</v>
      </c>
      <c r="BR36" s="25">
        <v>0.14389409156742231</v>
      </c>
      <c r="BS36" s="25">
        <v>0.14396932999396889</v>
      </c>
      <c r="BT36" s="25">
        <v>0.1440638016839596</v>
      </c>
      <c r="BU36" s="25">
        <v>0.14417172291492311</v>
      </c>
      <c r="BV36" s="25">
        <v>0.14428743359085339</v>
      </c>
      <c r="BW36" s="25">
        <v>0.14440254540380659</v>
      </c>
      <c r="BX36" s="25">
        <v>0.14450866276017371</v>
      </c>
      <c r="BY36" s="25">
        <v>0.14459981579741829</v>
      </c>
      <c r="BZ36" s="25">
        <v>0.14467145591049901</v>
      </c>
      <c r="CA36" s="25">
        <v>0.14471972615527209</v>
      </c>
      <c r="CB36" s="25">
        <v>0.1447424490722147</v>
      </c>
      <c r="CC36" s="25">
        <v>0.1447363002462467</v>
      </c>
      <c r="CD36" s="25">
        <v>0.14470094374133599</v>
      </c>
      <c r="CE36" s="25">
        <v>0.14463644586288121</v>
      </c>
      <c r="CF36" s="25">
        <v>0.14454435227691681</v>
      </c>
      <c r="CG36" s="25">
        <v>0.14442655708901969</v>
      </c>
      <c r="CH36" s="25">
        <v>0.1442854301894361</v>
      </c>
      <c r="CI36" s="25">
        <v>0.1441244148262199</v>
      </c>
      <c r="CJ36" s="25">
        <v>0.14394767998438121</v>
      </c>
      <c r="CK36" s="25">
        <v>0.14375913826249481</v>
      </c>
      <c r="CL36" s="25">
        <v>0.14356307366311971</v>
      </c>
      <c r="CM36" s="25">
        <v>0.14336392434929049</v>
      </c>
      <c r="CN36" s="25">
        <v>0.14316632084956649</v>
      </c>
      <c r="CO36" s="25">
        <v>0.1429744973639438</v>
      </c>
      <c r="CP36" s="25">
        <v>0.1427920307527108</v>
      </c>
      <c r="CQ36" s="25">
        <v>0.14262205322257701</v>
      </c>
      <c r="CR36" s="25">
        <v>0.14246744556008811</v>
      </c>
      <c r="CS36" s="25">
        <v>0.14232983110068409</v>
      </c>
      <c r="CT36" s="25">
        <v>0.14221046663515169</v>
      </c>
      <c r="CU36" s="25">
        <v>0.1421100325422644</v>
      </c>
      <c r="CV36" s="25">
        <v>0.14202859621952399</v>
      </c>
      <c r="CW36" s="25">
        <v>0.14196525560379131</v>
      </c>
      <c r="CX36" s="25">
        <v>0.141918723552061</v>
      </c>
    </row>
    <row r="37" spans="1:102" s="24" customFormat="1" ht="15" customHeight="1" x14ac:dyDescent="0.2">
      <c r="A37" s="2" t="s">
        <v>131</v>
      </c>
      <c r="B37" s="25">
        <v>0.200189456759022</v>
      </c>
      <c r="C37" s="25">
        <v>0.2025135600623105</v>
      </c>
      <c r="D37" s="25">
        <v>0.20393967425440221</v>
      </c>
      <c r="E37" s="25">
        <v>0.20457681934376609</v>
      </c>
      <c r="F37" s="25">
        <v>0.20511198801863931</v>
      </c>
      <c r="G37" s="25">
        <v>0.2059458108132079</v>
      </c>
      <c r="H37" s="25">
        <v>0.2063569756426335</v>
      </c>
      <c r="I37" s="25">
        <v>0.20676068519299379</v>
      </c>
      <c r="J37" s="25">
        <v>0.20642121866167931</v>
      </c>
      <c r="K37" s="25">
        <v>0.20573092014225941</v>
      </c>
      <c r="L37" s="25">
        <v>0.20482311279825</v>
      </c>
      <c r="M37" s="25">
        <v>0.2035978064153989</v>
      </c>
      <c r="N37" s="25">
        <v>0.20254606623398549</v>
      </c>
      <c r="O37" s="25">
        <v>0.20121521595203071</v>
      </c>
      <c r="P37" s="25">
        <v>0.1996640466210689</v>
      </c>
      <c r="Q37" s="25">
        <v>0.19832020592357019</v>
      </c>
      <c r="R37" s="25">
        <v>0.19765382678255211</v>
      </c>
      <c r="S37" s="25">
        <v>0.19679731419215779</v>
      </c>
      <c r="T37" s="25">
        <v>0.19626435915513629</v>
      </c>
      <c r="U37" s="25">
        <v>0.19597687725689389</v>
      </c>
      <c r="V37" s="25">
        <v>0.19545102607988979</v>
      </c>
      <c r="W37" s="25">
        <v>0.19488095623807511</v>
      </c>
      <c r="X37" s="25">
        <v>0.19409259811384011</v>
      </c>
      <c r="Y37" s="25">
        <v>0.1936163916792798</v>
      </c>
      <c r="Z37" s="25">
        <v>0.19354647588447149</v>
      </c>
      <c r="AA37" s="25">
        <v>0.19329990793450491</v>
      </c>
      <c r="AB37" s="25">
        <v>0.19281906617004371</v>
      </c>
      <c r="AC37" s="25">
        <v>0.1921970065175829</v>
      </c>
      <c r="AD37" s="25">
        <v>0.19156190593326911</v>
      </c>
      <c r="AE37" s="25">
        <v>0.19075350477347239</v>
      </c>
      <c r="AF37" s="25">
        <v>0.18994051422643049</v>
      </c>
      <c r="AG37" s="25">
        <v>0.18825709123652751</v>
      </c>
      <c r="AH37" s="25">
        <v>0.18668509642440981</v>
      </c>
      <c r="AI37" s="25">
        <v>0.18507587427176159</v>
      </c>
      <c r="AJ37" s="25">
        <v>0.18332652579870479</v>
      </c>
      <c r="AK37" s="25">
        <v>0.18156598481402089</v>
      </c>
      <c r="AL37" s="25">
        <v>0.18004901871112061</v>
      </c>
      <c r="AM37" s="25">
        <v>0.17873817601893999</v>
      </c>
      <c r="AN37" s="25">
        <v>0.17741012400405831</v>
      </c>
      <c r="AO37" s="25">
        <v>0.17591544220072761</v>
      </c>
      <c r="AP37" s="25">
        <v>0.17466285322279529</v>
      </c>
      <c r="AQ37" s="25">
        <v>0.17359080664013429</v>
      </c>
      <c r="AR37" s="25">
        <v>0.17258458678005961</v>
      </c>
      <c r="AS37" s="25">
        <v>0.17172902353690239</v>
      </c>
      <c r="AT37" s="25">
        <v>0.17114630945747961</v>
      </c>
      <c r="AU37" s="25">
        <v>0.17045795158285901</v>
      </c>
      <c r="AV37" s="25">
        <v>0.17027945362501229</v>
      </c>
      <c r="AW37" s="25">
        <v>0.1701354420922849</v>
      </c>
      <c r="AX37" s="25">
        <v>0.1699629157871676</v>
      </c>
      <c r="AY37" s="25">
        <v>0.16978916873497971</v>
      </c>
      <c r="AZ37" s="25">
        <v>0.16964178485353221</v>
      </c>
      <c r="BA37" s="25">
        <v>0.169537282016339</v>
      </c>
      <c r="BB37" s="25">
        <v>0.16947800569913449</v>
      </c>
      <c r="BC37" s="25">
        <v>0.16946305792322269</v>
      </c>
      <c r="BD37" s="25">
        <v>0.16949109014288441</v>
      </c>
      <c r="BE37" s="25">
        <v>0.1695601421182743</v>
      </c>
      <c r="BF37" s="25">
        <v>0.16964933390222331</v>
      </c>
      <c r="BG37" s="25">
        <v>0.16973099667197061</v>
      </c>
      <c r="BH37" s="25">
        <v>0.1697942862338318</v>
      </c>
      <c r="BI37" s="25">
        <v>0.16982729797848911</v>
      </c>
      <c r="BJ37" s="25">
        <v>0.16981898741404089</v>
      </c>
      <c r="BK37" s="25">
        <v>0.16975448002238019</v>
      </c>
      <c r="BL37" s="25">
        <v>0.1696223033732174</v>
      </c>
      <c r="BM37" s="25">
        <v>0.169420807475887</v>
      </c>
      <c r="BN37" s="25">
        <v>0.1691537202362762</v>
      </c>
      <c r="BO37" s="25">
        <v>0.1688251428576111</v>
      </c>
      <c r="BP37" s="25">
        <v>0.1684435004117146</v>
      </c>
      <c r="BQ37" s="25">
        <v>0.16802117999520719</v>
      </c>
      <c r="BR37" s="25">
        <v>0.16756869342372011</v>
      </c>
      <c r="BS37" s="25">
        <v>0.16709440274281021</v>
      </c>
      <c r="BT37" s="25">
        <v>0.1666069039036176</v>
      </c>
      <c r="BU37" s="25">
        <v>0.1661243769829735</v>
      </c>
      <c r="BV37" s="25">
        <v>0.1656681432190921</v>
      </c>
      <c r="BW37" s="25">
        <v>0.1652495547134448</v>
      </c>
      <c r="BX37" s="25">
        <v>0.16487791887601769</v>
      </c>
      <c r="BY37" s="25">
        <v>0.16455821385907241</v>
      </c>
      <c r="BZ37" s="25">
        <v>0.16429635712753621</v>
      </c>
      <c r="CA37" s="25">
        <v>0.16409724173893719</v>
      </c>
      <c r="CB37" s="25">
        <v>0.16395888597200811</v>
      </c>
      <c r="CC37" s="25">
        <v>0.1638767530240281</v>
      </c>
      <c r="CD37" s="25">
        <v>0.16384440729346311</v>
      </c>
      <c r="CE37" s="25">
        <v>0.16385777104167201</v>
      </c>
      <c r="CF37" s="25">
        <v>0.1639117563938482</v>
      </c>
      <c r="CG37" s="25">
        <v>0.16399845531584939</v>
      </c>
      <c r="CH37" s="25">
        <v>0.16411046102241739</v>
      </c>
      <c r="CI37" s="25">
        <v>0.16423878999943381</v>
      </c>
      <c r="CJ37" s="25">
        <v>0.16437702403389881</v>
      </c>
      <c r="CK37" s="25">
        <v>0.16451960482823061</v>
      </c>
      <c r="CL37" s="25">
        <v>0.1646567296079417</v>
      </c>
      <c r="CM37" s="25">
        <v>0.16477963289038949</v>
      </c>
      <c r="CN37" s="25">
        <v>0.16488072365977069</v>
      </c>
      <c r="CO37" s="25">
        <v>0.16495447434371141</v>
      </c>
      <c r="CP37" s="25">
        <v>0.16499652213905069</v>
      </c>
      <c r="CQ37" s="25">
        <v>0.16500395199642151</v>
      </c>
      <c r="CR37" s="25">
        <v>0.16497283730098281</v>
      </c>
      <c r="CS37" s="25">
        <v>0.16490288123620259</v>
      </c>
      <c r="CT37" s="25">
        <v>0.1647944924625524</v>
      </c>
      <c r="CU37" s="25">
        <v>0.16465002538769671</v>
      </c>
      <c r="CV37" s="25">
        <v>0.16447224699984031</v>
      </c>
      <c r="CW37" s="25">
        <v>0.1642654417154473</v>
      </c>
      <c r="CX37" s="25">
        <v>0.1640345942111105</v>
      </c>
    </row>
    <row r="38" spans="1:102" s="24" customFormat="1" ht="15" customHeight="1" x14ac:dyDescent="0.2">
      <c r="A38" s="2" t="s">
        <v>132</v>
      </c>
      <c r="B38" s="25">
        <v>0.19695504744251499</v>
      </c>
      <c r="C38" s="25">
        <v>0.1930373247463098</v>
      </c>
      <c r="D38" s="25">
        <v>0.19016912823117579</v>
      </c>
      <c r="E38" s="25">
        <v>0.1880543078228924</v>
      </c>
      <c r="F38" s="25">
        <v>0.18637181573568731</v>
      </c>
      <c r="G38" s="25">
        <v>0.18488100099069479</v>
      </c>
      <c r="H38" s="25">
        <v>0.18390089029577519</v>
      </c>
      <c r="I38" s="25">
        <v>0.18300486695177931</v>
      </c>
      <c r="J38" s="25">
        <v>0.182923966144237</v>
      </c>
      <c r="K38" s="25">
        <v>0.18272028909721991</v>
      </c>
      <c r="L38" s="25">
        <v>0.18320359565522931</v>
      </c>
      <c r="M38" s="25">
        <v>0.18457371566330991</v>
      </c>
      <c r="N38" s="25">
        <v>0.18635258871940541</v>
      </c>
      <c r="O38" s="25">
        <v>0.18847969945853671</v>
      </c>
      <c r="P38" s="25">
        <v>0.19099213142958349</v>
      </c>
      <c r="Q38" s="25">
        <v>0.19370030492074611</v>
      </c>
      <c r="R38" s="25">
        <v>0.19595616349768299</v>
      </c>
      <c r="S38" s="25">
        <v>0.1974942169328476</v>
      </c>
      <c r="T38" s="25">
        <v>0.1983338358562006</v>
      </c>
      <c r="U38" s="25">
        <v>0.1991320393398251</v>
      </c>
      <c r="V38" s="25">
        <v>0.20030426917986219</v>
      </c>
      <c r="W38" s="25">
        <v>0.2011855523102867</v>
      </c>
      <c r="X38" s="25">
        <v>0.20204261717423189</v>
      </c>
      <c r="Y38" s="25">
        <v>0.20216216359424749</v>
      </c>
      <c r="Z38" s="25">
        <v>0.201917407433023</v>
      </c>
      <c r="AA38" s="25">
        <v>0.20143956596771581</v>
      </c>
      <c r="AB38" s="25">
        <v>0.20064141382892539</v>
      </c>
      <c r="AC38" s="25">
        <v>0.20000196619502511</v>
      </c>
      <c r="AD38" s="25">
        <v>0.19908191563676331</v>
      </c>
      <c r="AE38" s="25">
        <v>0.19794237055847599</v>
      </c>
      <c r="AF38" s="25">
        <v>0.19700529950165699</v>
      </c>
      <c r="AG38" s="25">
        <v>0.1967391498770904</v>
      </c>
      <c r="AH38" s="25">
        <v>0.19628989331274521</v>
      </c>
      <c r="AI38" s="25">
        <v>0.19616414260975809</v>
      </c>
      <c r="AJ38" s="25">
        <v>0.19628893830117489</v>
      </c>
      <c r="AK38" s="25">
        <v>0.1961850697925718</v>
      </c>
      <c r="AL38" s="25">
        <v>0.19603226115976441</v>
      </c>
      <c r="AM38" s="25">
        <v>0.19565700150137369</v>
      </c>
      <c r="AN38" s="25">
        <v>0.19558404254947079</v>
      </c>
      <c r="AO38" s="25">
        <v>0.19590674058002031</v>
      </c>
      <c r="AP38" s="25">
        <v>0.19603582956785681</v>
      </c>
      <c r="AQ38" s="25">
        <v>0.1959115037158681</v>
      </c>
      <c r="AR38" s="25">
        <v>0.19562154294474171</v>
      </c>
      <c r="AS38" s="25">
        <v>0.19528879778297401</v>
      </c>
      <c r="AT38" s="25">
        <v>0.19474905631076839</v>
      </c>
      <c r="AU38" s="25">
        <v>0.19418013766101119</v>
      </c>
      <c r="AV38" s="25">
        <v>0.192700502653049</v>
      </c>
      <c r="AW38" s="25">
        <v>0.19130660960270299</v>
      </c>
      <c r="AX38" s="25">
        <v>0.18985545532257719</v>
      </c>
      <c r="AY38" s="25">
        <v>0.1882478685027526</v>
      </c>
      <c r="AZ38" s="25">
        <v>0.18661883891560649</v>
      </c>
      <c r="BA38" s="25">
        <v>0.18522889512298321</v>
      </c>
      <c r="BB38" s="25">
        <v>0.18404486551066529</v>
      </c>
      <c r="BC38" s="25">
        <v>0.18284603432053351</v>
      </c>
      <c r="BD38" s="25">
        <v>0.1814853506521335</v>
      </c>
      <c r="BE38" s="25">
        <v>0.1803785136370735</v>
      </c>
      <c r="BF38" s="25">
        <v>0.17946533305330159</v>
      </c>
      <c r="BG38" s="25">
        <v>0.17863120482709879</v>
      </c>
      <c r="BH38" s="25">
        <v>0.17796214755366191</v>
      </c>
      <c r="BI38" s="25">
        <v>0.17758309167437689</v>
      </c>
      <c r="BJ38" s="25">
        <v>0.17710871965140981</v>
      </c>
      <c r="BK38" s="25">
        <v>0.1771645344374215</v>
      </c>
      <c r="BL38" s="25">
        <v>0.1772644256166665</v>
      </c>
      <c r="BM38" s="25">
        <v>0.1773412960374959</v>
      </c>
      <c r="BN38" s="25">
        <v>0.1774198658367406</v>
      </c>
      <c r="BO38" s="25">
        <v>0.17752504369961969</v>
      </c>
      <c r="BP38" s="25">
        <v>0.1776701198455905</v>
      </c>
      <c r="BQ38" s="25">
        <v>0.17785425886916109</v>
      </c>
      <c r="BR38" s="25">
        <v>0.1780731689712711</v>
      </c>
      <c r="BS38" s="25">
        <v>0.17832309775933011</v>
      </c>
      <c r="BT38" s="25">
        <v>0.17859960773373659</v>
      </c>
      <c r="BU38" s="25">
        <v>0.17887930254161979</v>
      </c>
      <c r="BV38" s="25">
        <v>0.17913222026993511</v>
      </c>
      <c r="BW38" s="25">
        <v>0.17934652570847701</v>
      </c>
      <c r="BX38" s="25">
        <v>0.17950937297009789</v>
      </c>
      <c r="BY38" s="25">
        <v>0.17960961798039221</v>
      </c>
      <c r="BZ38" s="25">
        <v>0.1796327366544905</v>
      </c>
      <c r="CA38" s="25">
        <v>0.1795677444867525</v>
      </c>
      <c r="CB38" s="25">
        <v>0.1794144341794445</v>
      </c>
      <c r="CC38" s="25">
        <v>0.17917876892903289</v>
      </c>
      <c r="CD38" s="25">
        <v>0.17886704901299141</v>
      </c>
      <c r="CE38" s="25">
        <v>0.17849034523231311</v>
      </c>
      <c r="CF38" s="25">
        <v>0.178063021216714</v>
      </c>
      <c r="CG38" s="25">
        <v>0.1775979114260047</v>
      </c>
      <c r="CH38" s="25">
        <v>0.17710471264514971</v>
      </c>
      <c r="CI38" s="25">
        <v>0.17659299051793981</v>
      </c>
      <c r="CJ38" s="25">
        <v>0.1760826709723059</v>
      </c>
      <c r="CK38" s="25">
        <v>0.1755956299880925</v>
      </c>
      <c r="CL38" s="25">
        <v>0.1751433102169101</v>
      </c>
      <c r="CM38" s="25">
        <v>0.17473458857191809</v>
      </c>
      <c r="CN38" s="25">
        <v>0.17437460400778271</v>
      </c>
      <c r="CO38" s="25">
        <v>0.17406843590485641</v>
      </c>
      <c r="CP38" s="25">
        <v>0.17382090151872501</v>
      </c>
      <c r="CQ38" s="25">
        <v>0.17362872162839091</v>
      </c>
      <c r="CR38" s="25">
        <v>0.17348690198795441</v>
      </c>
      <c r="CS38" s="25">
        <v>0.1733890795372523</v>
      </c>
      <c r="CT38" s="25">
        <v>0.17333072486624079</v>
      </c>
      <c r="CU38" s="25">
        <v>0.17330716356564221</v>
      </c>
      <c r="CV38" s="25">
        <v>0.17331100907612659</v>
      </c>
      <c r="CW38" s="25">
        <v>0.173335952274318</v>
      </c>
      <c r="CX38" s="25">
        <v>0.17337453368522041</v>
      </c>
    </row>
    <row r="39" spans="1:102" s="24" customFormat="1" ht="15" customHeight="1" x14ac:dyDescent="0.2">
      <c r="A39" s="2" t="s">
        <v>133</v>
      </c>
      <c r="B39" s="25">
        <v>0.1581764537693956</v>
      </c>
      <c r="C39" s="25">
        <v>0.1577395450406647</v>
      </c>
      <c r="D39" s="25">
        <v>0.15853227658746871</v>
      </c>
      <c r="E39" s="25">
        <v>0.16003761554266591</v>
      </c>
      <c r="F39" s="25">
        <v>0.16189751456405049</v>
      </c>
      <c r="G39" s="25">
        <v>0.16417945113020579</v>
      </c>
      <c r="H39" s="25">
        <v>0.16645465980004129</v>
      </c>
      <c r="I39" s="25">
        <v>0.1686387031503169</v>
      </c>
      <c r="J39" s="25">
        <v>0.17055136630782941</v>
      </c>
      <c r="K39" s="25">
        <v>0.1724510160161993</v>
      </c>
      <c r="L39" s="25">
        <v>0.173589199241103</v>
      </c>
      <c r="M39" s="25">
        <v>0.1739388952524224</v>
      </c>
      <c r="N39" s="25">
        <v>0.17364572048623139</v>
      </c>
      <c r="O39" s="25">
        <v>0.17302093651163949</v>
      </c>
      <c r="P39" s="25">
        <v>0.17187215189517571</v>
      </c>
      <c r="Q39" s="25">
        <v>0.17018814888238709</v>
      </c>
      <c r="R39" s="25">
        <v>0.16853360112413221</v>
      </c>
      <c r="S39" s="25">
        <v>0.16753571963865849</v>
      </c>
      <c r="T39" s="25">
        <v>0.166972978814978</v>
      </c>
      <c r="U39" s="25">
        <v>0.16653817104603161</v>
      </c>
      <c r="V39" s="25">
        <v>0.16603525784958861</v>
      </c>
      <c r="W39" s="25">
        <v>0.16575854717245039</v>
      </c>
      <c r="X39" s="25">
        <v>0.16555414506731861</v>
      </c>
      <c r="Y39" s="25">
        <v>0.16608019088004169</v>
      </c>
      <c r="Z39" s="25">
        <v>0.16650776110878751</v>
      </c>
      <c r="AA39" s="25">
        <v>0.1675293469264236</v>
      </c>
      <c r="AB39" s="25">
        <v>0.16933845894321181</v>
      </c>
      <c r="AC39" s="25">
        <v>0.17148032701642499</v>
      </c>
      <c r="AD39" s="25">
        <v>0.17392977945880531</v>
      </c>
      <c r="AE39" s="25">
        <v>0.17671848309338059</v>
      </c>
      <c r="AF39" s="25">
        <v>0.17966089218190939</v>
      </c>
      <c r="AG39" s="25">
        <v>0.1821772307209456</v>
      </c>
      <c r="AH39" s="25">
        <v>0.1840776673007688</v>
      </c>
      <c r="AI39" s="25">
        <v>0.18534717624811761</v>
      </c>
      <c r="AJ39" s="25">
        <v>0.18657444418479169</v>
      </c>
      <c r="AK39" s="25">
        <v>0.1881560519754297</v>
      </c>
      <c r="AL39" s="25">
        <v>0.18945583432076021</v>
      </c>
      <c r="AM39" s="25">
        <v>0.19072618601948671</v>
      </c>
      <c r="AN39" s="25">
        <v>0.19130072268232459</v>
      </c>
      <c r="AO39" s="25">
        <v>0.1915136797834876</v>
      </c>
      <c r="AP39" s="25">
        <v>0.1914932304514661</v>
      </c>
      <c r="AQ39" s="25">
        <v>0.19117162176431821</v>
      </c>
      <c r="AR39" s="25">
        <v>0.19098018090920049</v>
      </c>
      <c r="AS39" s="25">
        <v>0.1905007392268426</v>
      </c>
      <c r="AT39" s="25">
        <v>0.18979351969938191</v>
      </c>
      <c r="AU39" s="25">
        <v>0.18925859810107801</v>
      </c>
      <c r="AV39" s="25">
        <v>0.1893483062675646</v>
      </c>
      <c r="AW39" s="25">
        <v>0.18924054855526939</v>
      </c>
      <c r="AX39" s="25">
        <v>0.18942036326431211</v>
      </c>
      <c r="AY39" s="25">
        <v>0.18983329062825999</v>
      </c>
      <c r="AZ39" s="25">
        <v>0.19003006053014049</v>
      </c>
      <c r="BA39" s="25">
        <v>0.19015720184042351</v>
      </c>
      <c r="BB39" s="25">
        <v>0.19006395473808321</v>
      </c>
      <c r="BC39" s="25">
        <v>0.19025539887983231</v>
      </c>
      <c r="BD39" s="25">
        <v>0.19083028288483439</v>
      </c>
      <c r="BE39" s="25">
        <v>0.19121364359940979</v>
      </c>
      <c r="BF39" s="25">
        <v>0.19135973239671131</v>
      </c>
      <c r="BG39" s="25">
        <v>0.19135613995319611</v>
      </c>
      <c r="BH39" s="25">
        <v>0.19131235872020991</v>
      </c>
      <c r="BI39" s="25">
        <v>0.19106453306803581</v>
      </c>
      <c r="BJ39" s="25">
        <v>0.19080909842963101</v>
      </c>
      <c r="BK39" s="25">
        <v>0.18966970762195831</v>
      </c>
      <c r="BL39" s="25">
        <v>0.18861946530203499</v>
      </c>
      <c r="BM39" s="25">
        <v>0.18752553369265981</v>
      </c>
      <c r="BN39" s="25">
        <v>0.18629079165355281</v>
      </c>
      <c r="BO39" s="25">
        <v>0.18503655817694009</v>
      </c>
      <c r="BP39" s="25">
        <v>0.18400608956914291</v>
      </c>
      <c r="BQ39" s="25">
        <v>0.18316293922249599</v>
      </c>
      <c r="BR39" s="25">
        <v>0.18229449812536169</v>
      </c>
      <c r="BS39" s="25">
        <v>0.18125827662055491</v>
      </c>
      <c r="BT39" s="25">
        <v>0.18044940192198269</v>
      </c>
      <c r="BU39" s="25">
        <v>0.1798095770053183</v>
      </c>
      <c r="BV39" s="25">
        <v>0.17922973181808149</v>
      </c>
      <c r="BW39" s="25">
        <v>0.17879100671547729</v>
      </c>
      <c r="BX39" s="25">
        <v>0.17861519280807839</v>
      </c>
      <c r="BY39" s="25">
        <v>0.17833090653167469</v>
      </c>
      <c r="BZ39" s="25">
        <v>0.17854420260100659</v>
      </c>
      <c r="CA39" s="25">
        <v>0.1787847269718652</v>
      </c>
      <c r="CB39" s="25">
        <v>0.17898927040481</v>
      </c>
      <c r="CC39" s="25">
        <v>0.17918386851977661</v>
      </c>
      <c r="CD39" s="25">
        <v>0.17939493717625479</v>
      </c>
      <c r="CE39" s="25">
        <v>0.17963660569328019</v>
      </c>
      <c r="CF39" s="25">
        <v>0.17990908053727939</v>
      </c>
      <c r="CG39" s="25">
        <v>0.18020891791937649</v>
      </c>
      <c r="CH39" s="25">
        <v>0.18053306703879621</v>
      </c>
      <c r="CI39" s="25">
        <v>0.18087765015775889</v>
      </c>
      <c r="CJ39" s="25">
        <v>0.18121838700168369</v>
      </c>
      <c r="CK39" s="25">
        <v>0.1815244368881084</v>
      </c>
      <c r="CL39" s="25">
        <v>0.18178367138393539</v>
      </c>
      <c r="CM39" s="25">
        <v>0.18198250254133541</v>
      </c>
      <c r="CN39" s="25">
        <v>0.1821090027647472</v>
      </c>
      <c r="CO39" s="25">
        <v>0.18214828642519909</v>
      </c>
      <c r="CP39" s="25">
        <v>0.18208866102080309</v>
      </c>
      <c r="CQ39" s="25">
        <v>0.18193021363705161</v>
      </c>
      <c r="CR39" s="25">
        <v>0.18167935125687271</v>
      </c>
      <c r="CS39" s="25">
        <v>0.18134217754524121</v>
      </c>
      <c r="CT39" s="25">
        <v>0.1809309849141964</v>
      </c>
      <c r="CU39" s="25">
        <v>0.18046063657993999</v>
      </c>
      <c r="CV39" s="25">
        <v>0.17994603230393921</v>
      </c>
      <c r="CW39" s="25">
        <v>0.17939858983761151</v>
      </c>
      <c r="CX39" s="25">
        <v>0.1788298017256636</v>
      </c>
    </row>
    <row r="40" spans="1:102" s="24" customFormat="1" ht="15" customHeight="1" x14ac:dyDescent="0.2">
      <c r="A40" s="2" t="s">
        <v>134</v>
      </c>
      <c r="B40" s="25">
        <v>9.0540710312112846E-2</v>
      </c>
      <c r="C40" s="25">
        <v>9.226215222558326E-2</v>
      </c>
      <c r="D40" s="25">
        <v>9.3714620979437696E-2</v>
      </c>
      <c r="E40" s="25">
        <v>9.4985261334728968E-2</v>
      </c>
      <c r="F40" s="25">
        <v>9.6185447507287594E-2</v>
      </c>
      <c r="G40" s="25">
        <v>9.7385275523514267E-2</v>
      </c>
      <c r="H40" s="25">
        <v>9.8897197186175803E-2</v>
      </c>
      <c r="I40" s="25">
        <v>0.10039904345813309</v>
      </c>
      <c r="J40" s="25">
        <v>0.101756738966868</v>
      </c>
      <c r="K40" s="25">
        <v>0.10330853836670011</v>
      </c>
      <c r="L40" s="25">
        <v>0.10504176727971321</v>
      </c>
      <c r="M40" s="25">
        <v>0.1070090325893301</v>
      </c>
      <c r="N40" s="25">
        <v>0.10907722365657629</v>
      </c>
      <c r="O40" s="25">
        <v>0.11123908845474539</v>
      </c>
      <c r="P40" s="25">
        <v>0.1136385602118526</v>
      </c>
      <c r="Q40" s="25">
        <v>0.116254778067265</v>
      </c>
      <c r="R40" s="25">
        <v>0.1189721457525701</v>
      </c>
      <c r="S40" s="25">
        <v>0.12178265764613511</v>
      </c>
      <c r="T40" s="25">
        <v>0.1245874992029174</v>
      </c>
      <c r="U40" s="25">
        <v>0.12719228514412409</v>
      </c>
      <c r="V40" s="25">
        <v>0.12970773654414819</v>
      </c>
      <c r="W40" s="25">
        <v>0.13204241354586541</v>
      </c>
      <c r="X40" s="25">
        <v>0.1342915959550707</v>
      </c>
      <c r="Y40" s="25">
        <v>0.1362012671033673</v>
      </c>
      <c r="Z40" s="25">
        <v>0.13828007529082789</v>
      </c>
      <c r="AA40" s="25">
        <v>0.13988444575599349</v>
      </c>
      <c r="AB40" s="25">
        <v>0.14104186468764629</v>
      </c>
      <c r="AC40" s="25">
        <v>0.14176756972070981</v>
      </c>
      <c r="AD40" s="25">
        <v>0.14232212581077611</v>
      </c>
      <c r="AE40" s="25">
        <v>0.1426630511480079</v>
      </c>
      <c r="AF40" s="25">
        <v>0.14276467751405711</v>
      </c>
      <c r="AG40" s="25">
        <v>0.1430175905295672</v>
      </c>
      <c r="AH40" s="25">
        <v>0.1439587572986667</v>
      </c>
      <c r="AI40" s="25">
        <v>0.1453105641949731</v>
      </c>
      <c r="AJ40" s="25">
        <v>0.14663453926428119</v>
      </c>
      <c r="AK40" s="25">
        <v>0.14785824538984771</v>
      </c>
      <c r="AL40" s="25">
        <v>0.1491641588382959</v>
      </c>
      <c r="AM40" s="25">
        <v>0.1505014977984542</v>
      </c>
      <c r="AN40" s="25">
        <v>0.15223093623062589</v>
      </c>
      <c r="AO40" s="25">
        <v>0.1540717748669212</v>
      </c>
      <c r="AP40" s="25">
        <v>0.1560734474356554</v>
      </c>
      <c r="AQ40" s="25">
        <v>0.15843058918629591</v>
      </c>
      <c r="AR40" s="25">
        <v>0.1607466339048442</v>
      </c>
      <c r="AS40" s="25">
        <v>0.16323328503845841</v>
      </c>
      <c r="AT40" s="25">
        <v>0.16587534230065001</v>
      </c>
      <c r="AU40" s="25">
        <v>0.16847855338869111</v>
      </c>
      <c r="AV40" s="25">
        <v>0.1708634186090795</v>
      </c>
      <c r="AW40" s="25">
        <v>0.17333517956915651</v>
      </c>
      <c r="AX40" s="25">
        <v>0.17561419901778749</v>
      </c>
      <c r="AY40" s="25">
        <v>0.177823910438559</v>
      </c>
      <c r="AZ40" s="25">
        <v>0.18024869809465949</v>
      </c>
      <c r="BA40" s="25">
        <v>0.18245637631408329</v>
      </c>
      <c r="BB40" s="25">
        <v>0.1846172151989918</v>
      </c>
      <c r="BC40" s="25">
        <v>0.18644050124767089</v>
      </c>
      <c r="BD40" s="25">
        <v>0.18797163243122439</v>
      </c>
      <c r="BE40" s="25">
        <v>0.1893688043711966</v>
      </c>
      <c r="BF40" s="25">
        <v>0.19074492465173459</v>
      </c>
      <c r="BG40" s="25">
        <v>0.19213834239575259</v>
      </c>
      <c r="BH40" s="25">
        <v>0.19336116761630021</v>
      </c>
      <c r="BI40" s="25">
        <v>0.19446338112021611</v>
      </c>
      <c r="BJ40" s="25">
        <v>0.19564659467064199</v>
      </c>
      <c r="BK40" s="25">
        <v>0.1971768268308112</v>
      </c>
      <c r="BL40" s="25">
        <v>0.19857922116005111</v>
      </c>
      <c r="BM40" s="25">
        <v>0.2000619262859972</v>
      </c>
      <c r="BN40" s="25">
        <v>0.20170354665834411</v>
      </c>
      <c r="BO40" s="25">
        <v>0.20336331981881769</v>
      </c>
      <c r="BP40" s="25">
        <v>0.20478280742954399</v>
      </c>
      <c r="BQ40" s="25">
        <v>0.20599295179220301</v>
      </c>
      <c r="BR40" s="25">
        <v>0.20720774143969559</v>
      </c>
      <c r="BS40" s="25">
        <v>0.20857094215396771</v>
      </c>
      <c r="BT40" s="25">
        <v>0.20968962468271271</v>
      </c>
      <c r="BU40" s="25">
        <v>0.21062966874839009</v>
      </c>
      <c r="BV40" s="25">
        <v>0.2115102098990049</v>
      </c>
      <c r="BW40" s="25">
        <v>0.2122549615682616</v>
      </c>
      <c r="BX40" s="25">
        <v>0.2127488509759542</v>
      </c>
      <c r="BY40" s="25">
        <v>0.2133709772848274</v>
      </c>
      <c r="BZ40" s="25">
        <v>0.21352410769902561</v>
      </c>
      <c r="CA40" s="25">
        <v>0.2136842279795495</v>
      </c>
      <c r="CB40" s="25">
        <v>0.21391588757021429</v>
      </c>
      <c r="CC40" s="25">
        <v>0.21419162265650191</v>
      </c>
      <c r="CD40" s="25">
        <v>0.21448414575938959</v>
      </c>
      <c r="CE40" s="25">
        <v>0.21477105340641739</v>
      </c>
      <c r="CF40" s="25">
        <v>0.21504141342436009</v>
      </c>
      <c r="CG40" s="25">
        <v>0.21529254649097421</v>
      </c>
      <c r="CH40" s="25">
        <v>0.21552457890042551</v>
      </c>
      <c r="CI40" s="25">
        <v>0.2157396361243695</v>
      </c>
      <c r="CJ40" s="25">
        <v>0.2159477831093429</v>
      </c>
      <c r="CK40" s="25">
        <v>0.21616315630894961</v>
      </c>
      <c r="CL40" s="25">
        <v>0.21639562119560021</v>
      </c>
      <c r="CM40" s="25">
        <v>0.21665820048405821</v>
      </c>
      <c r="CN40" s="25">
        <v>0.21696471186141261</v>
      </c>
      <c r="CO40" s="25">
        <v>0.21733004101702269</v>
      </c>
      <c r="CP40" s="25">
        <v>0.2177651474012649</v>
      </c>
      <c r="CQ40" s="25">
        <v>0.21827595102453681</v>
      </c>
      <c r="CR40" s="25">
        <v>0.21886448505776371</v>
      </c>
      <c r="CS40" s="25">
        <v>0.21953151321581971</v>
      </c>
      <c r="CT40" s="25">
        <v>0.2202687907314059</v>
      </c>
      <c r="CU40" s="25">
        <v>0.22106340047407361</v>
      </c>
      <c r="CV40" s="25">
        <v>0.22190489583342901</v>
      </c>
      <c r="CW40" s="25">
        <v>0.22278411797811129</v>
      </c>
      <c r="CX40" s="25">
        <v>0.2236919900914778</v>
      </c>
    </row>
    <row r="41" spans="1:102" s="24" customFormat="1" ht="15" customHeight="1" x14ac:dyDescent="0.2">
      <c r="A41" s="2" t="s">
        <v>135</v>
      </c>
      <c r="B41" s="25">
        <v>1</v>
      </c>
      <c r="C41" s="25">
        <v>1</v>
      </c>
      <c r="D41" s="25">
        <v>1</v>
      </c>
      <c r="E41" s="25">
        <v>1</v>
      </c>
      <c r="F41" s="25">
        <v>1</v>
      </c>
      <c r="G41" s="25">
        <v>1</v>
      </c>
      <c r="H41" s="25">
        <v>1</v>
      </c>
      <c r="I41" s="25">
        <v>1</v>
      </c>
      <c r="J41" s="25">
        <v>1</v>
      </c>
      <c r="K41" s="25">
        <v>1</v>
      </c>
      <c r="L41" s="25">
        <v>1</v>
      </c>
      <c r="M41" s="25">
        <v>1</v>
      </c>
      <c r="N41" s="25">
        <v>1</v>
      </c>
      <c r="O41" s="25">
        <v>1</v>
      </c>
      <c r="P41" s="25">
        <v>1</v>
      </c>
      <c r="Q41" s="25">
        <v>1</v>
      </c>
      <c r="R41" s="25">
        <v>1</v>
      </c>
      <c r="S41" s="25">
        <v>1</v>
      </c>
      <c r="T41" s="25">
        <v>1</v>
      </c>
      <c r="U41" s="25">
        <v>1</v>
      </c>
      <c r="V41" s="25">
        <v>1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25">
        <v>1</v>
      </c>
      <c r="AI41" s="25">
        <v>1</v>
      </c>
      <c r="AJ41" s="25">
        <v>1</v>
      </c>
      <c r="AK41" s="25">
        <v>1</v>
      </c>
      <c r="AL41" s="25">
        <v>1</v>
      </c>
      <c r="AM41" s="25">
        <v>1</v>
      </c>
      <c r="AN41" s="25">
        <v>1</v>
      </c>
      <c r="AO41" s="25">
        <v>1</v>
      </c>
      <c r="AP41" s="25">
        <v>1</v>
      </c>
      <c r="AQ41" s="25">
        <v>1</v>
      </c>
      <c r="AR41" s="25">
        <v>1</v>
      </c>
      <c r="AS41" s="25">
        <v>1</v>
      </c>
      <c r="AT41" s="25">
        <v>1</v>
      </c>
      <c r="AU41" s="25">
        <v>1</v>
      </c>
      <c r="AV41" s="25">
        <v>1</v>
      </c>
      <c r="AW41" s="25">
        <v>1</v>
      </c>
      <c r="AX41" s="25">
        <v>1</v>
      </c>
      <c r="AY41" s="25">
        <v>1</v>
      </c>
      <c r="AZ41" s="25">
        <v>1</v>
      </c>
      <c r="BA41" s="25">
        <v>1</v>
      </c>
      <c r="BB41" s="25">
        <v>1</v>
      </c>
      <c r="BC41" s="25">
        <v>1</v>
      </c>
      <c r="BD41" s="25">
        <v>1</v>
      </c>
      <c r="BE41" s="25">
        <v>1</v>
      </c>
      <c r="BF41" s="25">
        <v>1</v>
      </c>
      <c r="BG41" s="25">
        <v>1</v>
      </c>
      <c r="BH41" s="25">
        <v>1</v>
      </c>
      <c r="BI41" s="25">
        <v>1</v>
      </c>
      <c r="BJ41" s="25">
        <v>1</v>
      </c>
      <c r="BK41" s="25">
        <v>1</v>
      </c>
      <c r="BL41" s="25">
        <v>1</v>
      </c>
      <c r="BM41" s="25">
        <v>1</v>
      </c>
      <c r="BN41" s="25">
        <v>1</v>
      </c>
      <c r="BO41" s="25">
        <v>1</v>
      </c>
      <c r="BP41" s="25">
        <v>1</v>
      </c>
      <c r="BQ41" s="25">
        <v>1</v>
      </c>
      <c r="BR41" s="25">
        <v>1</v>
      </c>
      <c r="BS41" s="25">
        <v>1</v>
      </c>
      <c r="BT41" s="25">
        <v>1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25">
        <v>1</v>
      </c>
      <c r="CB41" s="25">
        <v>1</v>
      </c>
      <c r="CC41" s="25">
        <v>1</v>
      </c>
      <c r="CD41" s="25">
        <v>1</v>
      </c>
      <c r="CE41" s="25">
        <v>1</v>
      </c>
      <c r="CF41" s="25">
        <v>1</v>
      </c>
      <c r="CG41" s="25">
        <v>1</v>
      </c>
      <c r="CH41" s="25">
        <v>1</v>
      </c>
      <c r="CI41" s="25">
        <v>1</v>
      </c>
      <c r="CJ41" s="25">
        <v>1</v>
      </c>
      <c r="CK41" s="25">
        <v>1</v>
      </c>
      <c r="CL41" s="25">
        <v>1</v>
      </c>
      <c r="CM41" s="25">
        <v>1</v>
      </c>
      <c r="CN41" s="25">
        <v>1</v>
      </c>
      <c r="CO41" s="25">
        <v>1</v>
      </c>
      <c r="CP41" s="25">
        <v>1</v>
      </c>
      <c r="CQ41" s="25">
        <v>1</v>
      </c>
      <c r="CR41" s="25">
        <v>1</v>
      </c>
      <c r="CS41" s="25">
        <v>1</v>
      </c>
      <c r="CT41" s="25">
        <v>1</v>
      </c>
      <c r="CU41" s="25">
        <v>1</v>
      </c>
      <c r="CV41" s="25">
        <v>1</v>
      </c>
      <c r="CW41" s="25">
        <v>1</v>
      </c>
      <c r="CX41" s="25">
        <v>1</v>
      </c>
    </row>
    <row r="42" spans="1:102" s="24" customFormat="1" ht="15" customHeight="1" x14ac:dyDescent="0.2">
      <c r="A42" s="2" t="s">
        <v>136</v>
      </c>
      <c r="B42" s="26">
        <v>41.366685652084527</v>
      </c>
      <c r="C42" s="26">
        <v>41.399113837216767</v>
      </c>
      <c r="D42" s="26">
        <v>41.484200714321723</v>
      </c>
      <c r="E42" s="26">
        <v>41.601056340363392</v>
      </c>
      <c r="F42" s="26">
        <v>41.748582856351689</v>
      </c>
      <c r="G42" s="26">
        <v>41.926177994035072</v>
      </c>
      <c r="H42" s="26">
        <v>42.133028302024883</v>
      </c>
      <c r="I42" s="26">
        <v>42.338237374403853</v>
      </c>
      <c r="J42" s="26">
        <v>42.541370237986982</v>
      </c>
      <c r="K42" s="26">
        <v>42.742061281812283</v>
      </c>
      <c r="L42" s="26">
        <v>42.94000521696583</v>
      </c>
      <c r="M42" s="26">
        <v>43.134711525496158</v>
      </c>
      <c r="N42" s="26">
        <v>43.325646762251878</v>
      </c>
      <c r="O42" s="26">
        <v>43.512515713659987</v>
      </c>
      <c r="P42" s="26">
        <v>43.695073175737029</v>
      </c>
      <c r="Q42" s="26">
        <v>43.873025071971853</v>
      </c>
      <c r="R42" s="26">
        <v>44.04602051924136</v>
      </c>
      <c r="S42" s="26">
        <v>44.21390379998644</v>
      </c>
      <c r="T42" s="26">
        <v>44.376857118147377</v>
      </c>
      <c r="U42" s="26">
        <v>44.535132614202233</v>
      </c>
      <c r="V42" s="26">
        <v>44.689008700724401</v>
      </c>
      <c r="W42" s="26">
        <v>44.839031265329929</v>
      </c>
      <c r="X42" s="26">
        <v>44.985841675678607</v>
      </c>
      <c r="Y42" s="26">
        <v>45.12985549105089</v>
      </c>
      <c r="Z42" s="26">
        <v>45.271319891696379</v>
      </c>
      <c r="AA42" s="26">
        <v>45.410324865160668</v>
      </c>
      <c r="AB42" s="26">
        <v>45.547362560835488</v>
      </c>
      <c r="AC42" s="26">
        <v>45.682976598601428</v>
      </c>
      <c r="AD42" s="26">
        <v>45.817164695427238</v>
      </c>
      <c r="AE42" s="26">
        <v>45.949875157607828</v>
      </c>
      <c r="AF42" s="26">
        <v>46.081023354522713</v>
      </c>
      <c r="AG42" s="26">
        <v>46.210650558493917</v>
      </c>
      <c r="AH42" s="26">
        <v>46.338899942767583</v>
      </c>
      <c r="AI42" s="26">
        <v>46.465780566870279</v>
      </c>
      <c r="AJ42" s="26">
        <v>46.591239922620289</v>
      </c>
      <c r="AK42" s="26">
        <v>46.715307068419868</v>
      </c>
      <c r="AL42" s="26">
        <v>46.838201853980941</v>
      </c>
      <c r="AM42" s="26">
        <v>46.960198733646983</v>
      </c>
      <c r="AN42" s="26">
        <v>47.081464819780052</v>
      </c>
      <c r="AO42" s="26">
        <v>47.202205200722346</v>
      </c>
      <c r="AP42" s="26">
        <v>47.322544322685182</v>
      </c>
      <c r="AQ42" s="26">
        <v>47.442677609755563</v>
      </c>
      <c r="AR42" s="26">
        <v>47.562746490760738</v>
      </c>
      <c r="AS42" s="26">
        <v>47.6826591610983</v>
      </c>
      <c r="AT42" s="26">
        <v>47.802257414728373</v>
      </c>
      <c r="AU42" s="26">
        <v>47.921316389603128</v>
      </c>
      <c r="AV42" s="26">
        <v>48.039547713967814</v>
      </c>
      <c r="AW42" s="26">
        <v>48.156597472347428</v>
      </c>
      <c r="AX42" s="26">
        <v>48.271961438641462</v>
      </c>
      <c r="AY42" s="26">
        <v>48.385001569359339</v>
      </c>
      <c r="AZ42" s="26">
        <v>48.495103294553132</v>
      </c>
      <c r="BA42" s="26">
        <v>48.601646030305083</v>
      </c>
      <c r="BB42" s="26">
        <v>48.704070120331771</v>
      </c>
      <c r="BC42" s="26">
        <v>48.801867314758049</v>
      </c>
      <c r="BD42" s="26">
        <v>48.894678158990288</v>
      </c>
      <c r="BE42" s="26">
        <v>48.982257532507099</v>
      </c>
      <c r="BF42" s="26">
        <v>49.064538507121092</v>
      </c>
      <c r="BG42" s="26">
        <v>49.141579810389629</v>
      </c>
      <c r="BH42" s="26">
        <v>49.213547066767852</v>
      </c>
      <c r="BI42" s="26">
        <v>49.280722325093848</v>
      </c>
      <c r="BJ42" s="26">
        <v>49.343432034568437</v>
      </c>
      <c r="BK42" s="26">
        <v>49.402051111954648</v>
      </c>
      <c r="BL42" s="26">
        <v>49.456982240342327</v>
      </c>
      <c r="BM42" s="26">
        <v>49.508667742205994</v>
      </c>
      <c r="BN42" s="26">
        <v>49.55754048858477</v>
      </c>
      <c r="BO42" s="26">
        <v>49.604010980066661</v>
      </c>
      <c r="BP42" s="26">
        <v>49.648472537134658</v>
      </c>
      <c r="BQ42" s="26">
        <v>49.691287413183922</v>
      </c>
      <c r="BR42" s="26">
        <v>49.732775979518777</v>
      </c>
      <c r="BS42" s="26">
        <v>49.773170038203688</v>
      </c>
      <c r="BT42" s="26">
        <v>49.812685117633123</v>
      </c>
      <c r="BU42" s="26">
        <v>49.851456392816758</v>
      </c>
      <c r="BV42" s="26">
        <v>49.889553927278818</v>
      </c>
      <c r="BW42" s="26">
        <v>49.927009823814437</v>
      </c>
      <c r="BX42" s="26">
        <v>49.9637776239408</v>
      </c>
      <c r="BY42" s="26">
        <v>49.999796439344173</v>
      </c>
      <c r="BZ42" s="26">
        <v>50.034942813244008</v>
      </c>
      <c r="CA42" s="26">
        <v>50.069045166307284</v>
      </c>
      <c r="CB42" s="26">
        <v>50.101937398143221</v>
      </c>
      <c r="CC42" s="26">
        <v>50.133393731994367</v>
      </c>
      <c r="CD42" s="26">
        <v>50.163220095297582</v>
      </c>
      <c r="CE42" s="26">
        <v>50.191250560249387</v>
      </c>
      <c r="CF42" s="26">
        <v>50.217383829104769</v>
      </c>
      <c r="CG42" s="26">
        <v>50.241599963932892</v>
      </c>
      <c r="CH42" s="26">
        <v>50.26399564710853</v>
      </c>
      <c r="CI42" s="26">
        <v>50.284738733976191</v>
      </c>
      <c r="CJ42" s="26">
        <v>50.304114496657249</v>
      </c>
      <c r="CK42" s="26">
        <v>50.322490160415917</v>
      </c>
      <c r="CL42" s="26">
        <v>50.340295647041678</v>
      </c>
      <c r="CM42" s="26">
        <v>50.357988708141129</v>
      </c>
      <c r="CN42" s="26">
        <v>50.376042813387528</v>
      </c>
      <c r="CO42" s="26">
        <v>50.394896163619379</v>
      </c>
      <c r="CP42" s="26">
        <v>50.414928883114001</v>
      </c>
      <c r="CQ42" s="26">
        <v>50.436483641579152</v>
      </c>
      <c r="CR42" s="26">
        <v>50.459787473549063</v>
      </c>
      <c r="CS42" s="26">
        <v>50.484974868129036</v>
      </c>
      <c r="CT42" s="26">
        <v>50.512106661149303</v>
      </c>
      <c r="CU42" s="26">
        <v>50.541103626702551</v>
      </c>
      <c r="CV42" s="26">
        <v>50.571846334456119</v>
      </c>
      <c r="CW42" s="26">
        <v>50.604133586951377</v>
      </c>
      <c r="CX42" s="26">
        <v>50.637706308860089</v>
      </c>
    </row>
    <row r="43" spans="1:102" s="24" customFormat="1" ht="15" customHeight="1" x14ac:dyDescent="0.2">
      <c r="A43" s="2" t="s">
        <v>137</v>
      </c>
      <c r="B43" s="26">
        <v>40.743447528722427</v>
      </c>
      <c r="C43" s="26">
        <v>40.618500867275152</v>
      </c>
      <c r="D43" s="26">
        <v>40.587109761148703</v>
      </c>
      <c r="E43" s="26">
        <v>40.631205428970439</v>
      </c>
      <c r="F43" s="26">
        <v>40.755053377232358</v>
      </c>
      <c r="G43" s="26">
        <v>40.94170680428531</v>
      </c>
      <c r="H43" s="26">
        <v>41.193283745464619</v>
      </c>
      <c r="I43" s="26">
        <v>41.458437552361858</v>
      </c>
      <c r="J43" s="26">
        <v>41.72536277737094</v>
      </c>
      <c r="K43" s="26">
        <v>41.987641284426701</v>
      </c>
      <c r="L43" s="26">
        <v>42.256325945524289</v>
      </c>
      <c r="M43" s="26">
        <v>42.527648199382597</v>
      </c>
      <c r="N43" s="26">
        <v>42.79792857800166</v>
      </c>
      <c r="O43" s="26">
        <v>43.062674799003048</v>
      </c>
      <c r="P43" s="26">
        <v>43.311321689342194</v>
      </c>
      <c r="Q43" s="26">
        <v>43.558246363727761</v>
      </c>
      <c r="R43" s="26">
        <v>43.800479865868823</v>
      </c>
      <c r="S43" s="26">
        <v>44.030147668377722</v>
      </c>
      <c r="T43" s="26">
        <v>44.252814436857967</v>
      </c>
      <c r="U43" s="26">
        <v>44.482043306688873</v>
      </c>
      <c r="V43" s="26">
        <v>44.708653865097212</v>
      </c>
      <c r="W43" s="26">
        <v>44.92523442115548</v>
      </c>
      <c r="X43" s="26">
        <v>45.139407477026118</v>
      </c>
      <c r="Y43" s="26">
        <v>45.336078188949521</v>
      </c>
      <c r="Z43" s="26">
        <v>45.517845842505217</v>
      </c>
      <c r="AA43" s="26">
        <v>45.688787478118783</v>
      </c>
      <c r="AB43" s="26">
        <v>45.855278060718227</v>
      </c>
      <c r="AC43" s="26">
        <v>46.023082471748019</v>
      </c>
      <c r="AD43" s="26">
        <v>46.194593956201381</v>
      </c>
      <c r="AE43" s="26">
        <v>46.358940672948037</v>
      </c>
      <c r="AF43" s="26">
        <v>46.517414781637193</v>
      </c>
      <c r="AG43" s="26">
        <v>46.676171488744913</v>
      </c>
      <c r="AH43" s="26">
        <v>46.844556216073173</v>
      </c>
      <c r="AI43" s="26">
        <v>47.033294949366557</v>
      </c>
      <c r="AJ43" s="26">
        <v>47.215354847415718</v>
      </c>
      <c r="AK43" s="26">
        <v>47.401773223449517</v>
      </c>
      <c r="AL43" s="26">
        <v>47.595512673088344</v>
      </c>
      <c r="AM43" s="26">
        <v>47.795366043405352</v>
      </c>
      <c r="AN43" s="26">
        <v>47.996682621417698</v>
      </c>
      <c r="AO43" s="26">
        <v>48.183161966389157</v>
      </c>
      <c r="AP43" s="26">
        <v>48.359188188504397</v>
      </c>
      <c r="AQ43" s="26">
        <v>48.532361374371767</v>
      </c>
      <c r="AR43" s="26">
        <v>48.709061884005664</v>
      </c>
      <c r="AS43" s="26">
        <v>48.889559198766491</v>
      </c>
      <c r="AT43" s="26">
        <v>49.055145183329543</v>
      </c>
      <c r="AU43" s="26">
        <v>49.2078194982711</v>
      </c>
      <c r="AV43" s="26">
        <v>49.354954979222981</v>
      </c>
      <c r="AW43" s="26">
        <v>49.493346732687641</v>
      </c>
      <c r="AX43" s="26">
        <v>49.617154571605788</v>
      </c>
      <c r="AY43" s="26">
        <v>49.730100723720383</v>
      </c>
      <c r="AZ43" s="26">
        <v>49.839651470312027</v>
      </c>
      <c r="BA43" s="26">
        <v>49.915073855469593</v>
      </c>
      <c r="BB43" s="26">
        <v>49.98624101222795</v>
      </c>
      <c r="BC43" s="26">
        <v>50.057868326817321</v>
      </c>
      <c r="BD43" s="26">
        <v>50.127845757188389</v>
      </c>
      <c r="BE43" s="26">
        <v>50.194406678303181</v>
      </c>
      <c r="BF43" s="26">
        <v>50.25625798089078</v>
      </c>
      <c r="BG43" s="26">
        <v>50.312784215883447</v>
      </c>
      <c r="BH43" s="26">
        <v>50.363896621413033</v>
      </c>
      <c r="BI43" s="26">
        <v>50.40978840810363</v>
      </c>
      <c r="BJ43" s="26">
        <v>50.45074941550314</v>
      </c>
      <c r="BK43" s="26">
        <v>50.487431959936323</v>
      </c>
      <c r="BL43" s="26">
        <v>50.520816192418117</v>
      </c>
      <c r="BM43" s="26">
        <v>50.551871266447577</v>
      </c>
      <c r="BN43" s="26">
        <v>50.581473554058888</v>
      </c>
      <c r="BO43" s="26">
        <v>50.610623362049218</v>
      </c>
      <c r="BP43" s="26">
        <v>50.640407861471488</v>
      </c>
      <c r="BQ43" s="26">
        <v>50.671858747449988</v>
      </c>
      <c r="BR43" s="26">
        <v>50.705727341104158</v>
      </c>
      <c r="BS43" s="26">
        <v>50.742381952423997</v>
      </c>
      <c r="BT43" s="26">
        <v>50.782060756277701</v>
      </c>
      <c r="BU43" s="26">
        <v>50.824817587262309</v>
      </c>
      <c r="BV43" s="26">
        <v>50.870183415432017</v>
      </c>
      <c r="BW43" s="26">
        <v>50.91748138450653</v>
      </c>
      <c r="BX43" s="26">
        <v>50.966196476846598</v>
      </c>
      <c r="BY43" s="26">
        <v>51.01593014530323</v>
      </c>
      <c r="BZ43" s="26">
        <v>51.066184787460998</v>
      </c>
      <c r="CA43" s="26">
        <v>51.115649984929043</v>
      </c>
      <c r="CB43" s="26">
        <v>51.162722684743812</v>
      </c>
      <c r="CC43" s="26">
        <v>51.206612810461898</v>
      </c>
      <c r="CD43" s="26">
        <v>51.246759239719182</v>
      </c>
      <c r="CE43" s="26">
        <v>51.282731928424226</v>
      </c>
      <c r="CF43" s="26">
        <v>51.314166664283078</v>
      </c>
      <c r="CG43" s="26">
        <v>51.340719090684829</v>
      </c>
      <c r="CH43" s="26">
        <v>51.36251625799806</v>
      </c>
      <c r="CI43" s="26">
        <v>51.380117186297177</v>
      </c>
      <c r="CJ43" s="26">
        <v>51.394301336196648</v>
      </c>
      <c r="CK43" s="26">
        <v>51.405798243722543</v>
      </c>
      <c r="CL43" s="26">
        <v>51.415293369256098</v>
      </c>
      <c r="CM43" s="26">
        <v>51.423615993929332</v>
      </c>
      <c r="CN43" s="26">
        <v>51.431633706531677</v>
      </c>
      <c r="CO43" s="26">
        <v>51.440155917249768</v>
      </c>
      <c r="CP43" s="26">
        <v>51.449821900371177</v>
      </c>
      <c r="CQ43" s="26">
        <v>51.461055455704972</v>
      </c>
      <c r="CR43" s="26">
        <v>51.474292361977852</v>
      </c>
      <c r="CS43" s="26">
        <v>51.489990552603139</v>
      </c>
      <c r="CT43" s="26">
        <v>51.508442199051309</v>
      </c>
      <c r="CU43" s="26">
        <v>51.529677907190219</v>
      </c>
      <c r="CV43" s="26">
        <v>51.553681823997707</v>
      </c>
      <c r="CW43" s="26">
        <v>51.580269235824673</v>
      </c>
      <c r="CX43" s="26">
        <v>51.609267995738847</v>
      </c>
    </row>
    <row r="44" spans="1:102" s="24" customFormat="1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</row>
    <row r="45" spans="1:102" s="2" customFormat="1" ht="28.7" customHeight="1" x14ac:dyDescent="0.25">
      <c r="A45" s="5" t="s">
        <v>138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</row>
    <row r="46" spans="1:102" s="27" customFormat="1" ht="15.6" customHeight="1" x14ac:dyDescent="0.2">
      <c r="A46" s="20" t="s">
        <v>139</v>
      </c>
      <c r="B46" s="21" t="s">
        <v>128</v>
      </c>
      <c r="C46" s="21" t="s">
        <v>8</v>
      </c>
      <c r="D46" s="21" t="s">
        <v>9</v>
      </c>
      <c r="E46" s="21" t="s">
        <v>10</v>
      </c>
      <c r="F46" s="21" t="s">
        <v>11</v>
      </c>
      <c r="G46" s="21" t="s">
        <v>12</v>
      </c>
      <c r="H46" s="21" t="s">
        <v>13</v>
      </c>
      <c r="I46" s="21" t="s">
        <v>14</v>
      </c>
      <c r="J46" s="21" t="s">
        <v>15</v>
      </c>
      <c r="K46" s="21" t="s">
        <v>16</v>
      </c>
      <c r="L46" s="21" t="s">
        <v>17</v>
      </c>
      <c r="M46" s="21" t="s">
        <v>18</v>
      </c>
      <c r="N46" s="21" t="s">
        <v>19</v>
      </c>
      <c r="O46" s="21" t="s">
        <v>20</v>
      </c>
      <c r="P46" s="21" t="s">
        <v>21</v>
      </c>
      <c r="Q46" s="21" t="s">
        <v>22</v>
      </c>
      <c r="R46" s="21" t="s">
        <v>23</v>
      </c>
      <c r="S46" s="21" t="s">
        <v>24</v>
      </c>
      <c r="T46" s="21" t="s">
        <v>25</v>
      </c>
      <c r="U46" s="21" t="s">
        <v>26</v>
      </c>
      <c r="V46" s="21" t="s">
        <v>27</v>
      </c>
      <c r="W46" s="21" t="s">
        <v>28</v>
      </c>
      <c r="X46" s="21" t="s">
        <v>29</v>
      </c>
      <c r="Y46" s="21" t="s">
        <v>30</v>
      </c>
      <c r="Z46" s="21" t="s">
        <v>31</v>
      </c>
      <c r="AA46" s="21" t="s">
        <v>32</v>
      </c>
      <c r="AB46" s="21" t="s">
        <v>33</v>
      </c>
      <c r="AC46" s="21" t="s">
        <v>34</v>
      </c>
      <c r="AD46" s="21" t="s">
        <v>35</v>
      </c>
      <c r="AE46" s="21" t="s">
        <v>36</v>
      </c>
      <c r="AF46" s="21" t="s">
        <v>37</v>
      </c>
      <c r="AG46" s="21" t="s">
        <v>38</v>
      </c>
      <c r="AH46" s="21" t="s">
        <v>39</v>
      </c>
      <c r="AI46" s="21" t="s">
        <v>40</v>
      </c>
      <c r="AJ46" s="21" t="s">
        <v>41</v>
      </c>
      <c r="AK46" s="21" t="s">
        <v>42</v>
      </c>
      <c r="AL46" s="21" t="s">
        <v>43</v>
      </c>
      <c r="AM46" s="21" t="s">
        <v>44</v>
      </c>
      <c r="AN46" s="21" t="s">
        <v>45</v>
      </c>
      <c r="AO46" s="21" t="s">
        <v>46</v>
      </c>
      <c r="AP46" s="21" t="s">
        <v>47</v>
      </c>
      <c r="AQ46" s="21" t="s">
        <v>48</v>
      </c>
      <c r="AR46" s="21" t="s">
        <v>49</v>
      </c>
      <c r="AS46" s="21" t="s">
        <v>50</v>
      </c>
      <c r="AT46" s="21" t="s">
        <v>51</v>
      </c>
      <c r="AU46" s="21" t="s">
        <v>52</v>
      </c>
      <c r="AV46" s="21" t="s">
        <v>53</v>
      </c>
      <c r="AW46" s="21" t="s">
        <v>54</v>
      </c>
      <c r="AX46" s="21" t="s">
        <v>55</v>
      </c>
      <c r="AY46" s="21" t="s">
        <v>56</v>
      </c>
      <c r="AZ46" s="21" t="s">
        <v>57</v>
      </c>
      <c r="BA46" s="21" t="s">
        <v>58</v>
      </c>
      <c r="BB46" s="21" t="s">
        <v>59</v>
      </c>
      <c r="BC46" s="21" t="s">
        <v>60</v>
      </c>
      <c r="BD46" s="21" t="s">
        <v>61</v>
      </c>
      <c r="BE46" s="21" t="s">
        <v>62</v>
      </c>
      <c r="BF46" s="21" t="s">
        <v>63</v>
      </c>
      <c r="BG46" s="21" t="s">
        <v>64</v>
      </c>
      <c r="BH46" s="21" t="s">
        <v>65</v>
      </c>
      <c r="BI46" s="21" t="s">
        <v>66</v>
      </c>
      <c r="BJ46" s="21" t="s">
        <v>67</v>
      </c>
      <c r="BK46" s="21" t="s">
        <v>68</v>
      </c>
      <c r="BL46" s="21" t="s">
        <v>69</v>
      </c>
      <c r="BM46" s="21" t="s">
        <v>70</v>
      </c>
      <c r="BN46" s="21" t="s">
        <v>71</v>
      </c>
      <c r="BO46" s="21" t="s">
        <v>72</v>
      </c>
      <c r="BP46" s="21" t="s">
        <v>73</v>
      </c>
      <c r="BQ46" s="21" t="s">
        <v>74</v>
      </c>
      <c r="BR46" s="21" t="s">
        <v>75</v>
      </c>
      <c r="BS46" s="21" t="s">
        <v>76</v>
      </c>
      <c r="BT46" s="21" t="s">
        <v>77</v>
      </c>
      <c r="BU46" s="21" t="s">
        <v>78</v>
      </c>
      <c r="BV46" s="21" t="s">
        <v>79</v>
      </c>
      <c r="BW46" s="21" t="s">
        <v>80</v>
      </c>
      <c r="BX46" s="21" t="s">
        <v>81</v>
      </c>
      <c r="BY46" s="21" t="s">
        <v>82</v>
      </c>
      <c r="BZ46" s="21" t="s">
        <v>83</v>
      </c>
      <c r="CA46" s="21" t="s">
        <v>84</v>
      </c>
      <c r="CB46" s="21" t="s">
        <v>85</v>
      </c>
      <c r="CC46" s="21" t="s">
        <v>86</v>
      </c>
      <c r="CD46" s="21" t="s">
        <v>87</v>
      </c>
      <c r="CE46" s="21" t="s">
        <v>88</v>
      </c>
      <c r="CF46" s="21" t="s">
        <v>89</v>
      </c>
      <c r="CG46" s="21" t="s">
        <v>90</v>
      </c>
      <c r="CH46" s="21" t="s">
        <v>91</v>
      </c>
      <c r="CI46" s="21" t="s">
        <v>92</v>
      </c>
      <c r="CJ46" s="21" t="s">
        <v>93</v>
      </c>
      <c r="CK46" s="21" t="s">
        <v>94</v>
      </c>
      <c r="CL46" s="21" t="s">
        <v>95</v>
      </c>
      <c r="CM46" s="21" t="s">
        <v>96</v>
      </c>
      <c r="CN46" s="21" t="s">
        <v>97</v>
      </c>
      <c r="CO46" s="21" t="s">
        <v>98</v>
      </c>
      <c r="CP46" s="21" t="s">
        <v>99</v>
      </c>
      <c r="CQ46" s="21" t="s">
        <v>100</v>
      </c>
      <c r="CR46" s="21" t="s">
        <v>101</v>
      </c>
      <c r="CS46" s="21" t="s">
        <v>102</v>
      </c>
      <c r="CT46" s="21" t="s">
        <v>103</v>
      </c>
      <c r="CU46" s="21" t="s">
        <v>104</v>
      </c>
      <c r="CV46" s="21" t="s">
        <v>105</v>
      </c>
      <c r="CW46" s="21" t="s">
        <v>106</v>
      </c>
      <c r="CX46" s="21" t="s">
        <v>107</v>
      </c>
    </row>
    <row r="47" spans="1:102" s="24" customFormat="1" ht="15" customHeight="1" x14ac:dyDescent="0.2">
      <c r="A47" s="12" t="s">
        <v>140</v>
      </c>
      <c r="B47" s="28">
        <v>12397.632</v>
      </c>
      <c r="C47" s="28">
        <v>12397.236000000001</v>
      </c>
      <c r="D47" s="28">
        <v>12336.986999999999</v>
      </c>
      <c r="E47" s="28">
        <v>12264.128000000001</v>
      </c>
      <c r="F47" s="28">
        <v>12163.968000000001</v>
      </c>
      <c r="G47" s="28">
        <v>12029.964</v>
      </c>
      <c r="H47" s="28">
        <v>11871.891</v>
      </c>
      <c r="I47" s="28">
        <v>11729.716</v>
      </c>
      <c r="J47" s="28">
        <v>11601.433999999999</v>
      </c>
      <c r="K47" s="28">
        <v>11471.527</v>
      </c>
      <c r="L47" s="28">
        <v>11329.768</v>
      </c>
      <c r="M47" s="28">
        <v>11205.472</v>
      </c>
      <c r="N47" s="28">
        <v>11094.474</v>
      </c>
      <c r="O47" s="28">
        <v>10988.484</v>
      </c>
      <c r="P47" s="28">
        <v>10893.561</v>
      </c>
      <c r="Q47" s="28">
        <v>10818.210999999999</v>
      </c>
      <c r="R47" s="28">
        <v>10736.33</v>
      </c>
      <c r="S47" s="28">
        <v>10690.035</v>
      </c>
      <c r="T47" s="28">
        <v>10646.099</v>
      </c>
      <c r="U47" s="28">
        <v>10600.032999999999</v>
      </c>
      <c r="V47" s="28">
        <v>10553.552</v>
      </c>
      <c r="W47" s="28">
        <v>10507.966</v>
      </c>
      <c r="X47" s="28">
        <v>10464.029</v>
      </c>
      <c r="Y47" s="28">
        <v>10422.030000000001</v>
      </c>
      <c r="Z47" s="28">
        <v>10381.865</v>
      </c>
      <c r="AA47" s="28">
        <v>10343.418</v>
      </c>
      <c r="AB47" s="28">
        <v>10305.681</v>
      </c>
      <c r="AC47" s="28">
        <v>10267.040000000001</v>
      </c>
      <c r="AD47" s="28">
        <v>10226.519</v>
      </c>
      <c r="AE47" s="28">
        <v>10183.540999999999</v>
      </c>
      <c r="AF47" s="28">
        <v>10137.593000000001</v>
      </c>
      <c r="AG47" s="28">
        <v>10087.92</v>
      </c>
      <c r="AH47" s="28">
        <v>10033.688</v>
      </c>
      <c r="AI47" s="28">
        <v>9974.6610000000001</v>
      </c>
      <c r="AJ47" s="28">
        <v>9911.1299999999992</v>
      </c>
      <c r="AK47" s="28">
        <v>9843.4979999999996</v>
      </c>
      <c r="AL47" s="28">
        <v>9772.0079999999998</v>
      </c>
      <c r="AM47" s="28">
        <v>9697.3610000000008</v>
      </c>
      <c r="AN47" s="28">
        <v>9620.5949999999993</v>
      </c>
      <c r="AO47" s="28">
        <v>9542.4650000000001</v>
      </c>
      <c r="AP47" s="28">
        <v>9463.6350000000002</v>
      </c>
      <c r="AQ47" s="28">
        <v>9384.5280000000002</v>
      </c>
      <c r="AR47" s="28">
        <v>9306.3109999999997</v>
      </c>
      <c r="AS47" s="28">
        <v>9230.5589999999993</v>
      </c>
      <c r="AT47" s="28">
        <v>9157.9570000000003</v>
      </c>
      <c r="AU47" s="28">
        <v>9088.9429999999993</v>
      </c>
      <c r="AV47" s="28">
        <v>9023.7900000000009</v>
      </c>
      <c r="AW47" s="28">
        <v>8962.7520000000004</v>
      </c>
      <c r="AX47" s="28">
        <v>8906.0660000000007</v>
      </c>
      <c r="AY47" s="28">
        <v>8853.6180000000004</v>
      </c>
      <c r="AZ47" s="28">
        <v>8804.973</v>
      </c>
      <c r="BA47" s="28">
        <v>8759.6290000000008</v>
      </c>
      <c r="BB47" s="28">
        <v>8717.2639999999992</v>
      </c>
      <c r="BC47" s="28">
        <v>8677.5249999999996</v>
      </c>
      <c r="BD47" s="28">
        <v>8639.9120000000003</v>
      </c>
      <c r="BE47" s="28">
        <v>8603.9410000000007</v>
      </c>
      <c r="BF47" s="28">
        <v>8569.09</v>
      </c>
      <c r="BG47" s="28">
        <v>8535.0110000000004</v>
      </c>
      <c r="BH47" s="28">
        <v>8501.4009999999998</v>
      </c>
      <c r="BI47" s="28">
        <v>8467.7510000000002</v>
      </c>
      <c r="BJ47" s="28">
        <v>8433.616</v>
      </c>
      <c r="BK47" s="28">
        <v>8398.6569999999992</v>
      </c>
      <c r="BL47" s="28">
        <v>8362.6419999999998</v>
      </c>
      <c r="BM47" s="28">
        <v>8325.3940000000002</v>
      </c>
      <c r="BN47" s="28">
        <v>8286.8050000000003</v>
      </c>
      <c r="BO47" s="28">
        <v>8246.7459999999992</v>
      </c>
      <c r="BP47" s="28">
        <v>8205.2309999999998</v>
      </c>
      <c r="BQ47" s="28">
        <v>8162.3090000000002</v>
      </c>
      <c r="BR47" s="28">
        <v>8118.0889999999999</v>
      </c>
      <c r="BS47" s="28">
        <v>8072.7489999999998</v>
      </c>
      <c r="BT47" s="28">
        <v>8026.4970000000003</v>
      </c>
      <c r="BU47" s="28">
        <v>7979.5990000000002</v>
      </c>
      <c r="BV47" s="28">
        <v>7932.3329999999996</v>
      </c>
      <c r="BW47" s="28">
        <v>7884.9859999999999</v>
      </c>
      <c r="BX47" s="28">
        <v>7837.884</v>
      </c>
      <c r="BY47" s="28">
        <v>7791.3310000000001</v>
      </c>
      <c r="BZ47" s="28">
        <v>7745.6149999999998</v>
      </c>
      <c r="CA47" s="28">
        <v>7700.9920000000002</v>
      </c>
      <c r="CB47" s="28">
        <v>7657.674</v>
      </c>
      <c r="CC47" s="28">
        <v>7615.84</v>
      </c>
      <c r="CD47" s="28">
        <v>7575.6210000000001</v>
      </c>
      <c r="CE47" s="28">
        <v>7537.0630000000001</v>
      </c>
      <c r="CF47" s="28">
        <v>7500.1859999999997</v>
      </c>
      <c r="CG47" s="28">
        <v>7464.9489999999996</v>
      </c>
      <c r="CH47" s="28">
        <v>7431.2860000000001</v>
      </c>
      <c r="CI47" s="28">
        <v>7399.0919999999996</v>
      </c>
      <c r="CJ47" s="28">
        <v>7368.2039999999997</v>
      </c>
      <c r="CK47" s="28">
        <v>7338.45</v>
      </c>
      <c r="CL47" s="28">
        <v>7309.6459999999997</v>
      </c>
      <c r="CM47" s="28">
        <v>7281.6009999999997</v>
      </c>
      <c r="CN47" s="28">
        <v>7254.134</v>
      </c>
      <c r="CO47" s="28">
        <v>7227.03</v>
      </c>
      <c r="CP47" s="28">
        <v>7200.1180000000004</v>
      </c>
      <c r="CQ47" s="28">
        <v>7173.2269999999999</v>
      </c>
      <c r="CR47" s="28">
        <v>7146.2209999999995</v>
      </c>
      <c r="CS47" s="28">
        <v>7118.9790000000003</v>
      </c>
      <c r="CT47" s="28">
        <v>7091.4030000000002</v>
      </c>
      <c r="CU47" s="28">
        <v>7063.4350000000004</v>
      </c>
      <c r="CV47" s="28">
        <v>7035.0309999999999</v>
      </c>
      <c r="CW47" s="28">
        <v>7006.1869999999999</v>
      </c>
      <c r="CX47" s="28">
        <v>6976.924</v>
      </c>
    </row>
    <row r="48" spans="1:102" s="24" customFormat="1" ht="15" customHeight="1" x14ac:dyDescent="0.2">
      <c r="A48" s="12" t="s">
        <v>141</v>
      </c>
      <c r="B48" s="28">
        <v>43198.555999999997</v>
      </c>
      <c r="C48" s="28">
        <v>43917.531000000003</v>
      </c>
      <c r="D48" s="28">
        <v>44500.02</v>
      </c>
      <c r="E48" s="28">
        <v>44935.258000000002</v>
      </c>
      <c r="F48" s="28">
        <v>45355.041273224051</v>
      </c>
      <c r="G48" s="28">
        <v>45918.097621917812</v>
      </c>
      <c r="H48" s="28">
        <v>46230.415000000001</v>
      </c>
      <c r="I48" s="28">
        <v>46213.205999999998</v>
      </c>
      <c r="J48" s="28">
        <v>46161.877</v>
      </c>
      <c r="K48" s="28">
        <v>46092.722999999998</v>
      </c>
      <c r="L48" s="28">
        <v>46024.305999999997</v>
      </c>
      <c r="M48" s="28">
        <v>45943.976000000002</v>
      </c>
      <c r="N48" s="28">
        <v>45848.087</v>
      </c>
      <c r="O48" s="28">
        <v>45753.398000000001</v>
      </c>
      <c r="P48" s="28">
        <v>45647.262000000002</v>
      </c>
      <c r="Q48" s="28">
        <v>45542.436000000002</v>
      </c>
      <c r="R48" s="28">
        <v>45425.561999999998</v>
      </c>
      <c r="S48" s="28">
        <v>45306.033000000003</v>
      </c>
      <c r="T48" s="28">
        <v>45215.332999999999</v>
      </c>
      <c r="U48" s="28">
        <v>45157.048000000003</v>
      </c>
      <c r="V48" s="28">
        <v>45108.978000000003</v>
      </c>
      <c r="W48" s="28">
        <v>45072.73</v>
      </c>
      <c r="X48" s="28">
        <v>45159.123156164387</v>
      </c>
      <c r="Y48" s="28">
        <v>45481.75820821918</v>
      </c>
      <c r="Z48" s="28">
        <v>45691.709000000003</v>
      </c>
      <c r="AA48" s="28">
        <v>45585.680999999997</v>
      </c>
      <c r="AB48" s="28">
        <v>45441.786999999997</v>
      </c>
      <c r="AC48" s="28">
        <v>45294.576000000001</v>
      </c>
      <c r="AD48" s="28">
        <v>45150.701999999997</v>
      </c>
      <c r="AE48" s="28">
        <v>44997.315000000002</v>
      </c>
      <c r="AF48" s="28">
        <v>44839.328999999998</v>
      </c>
      <c r="AG48" s="28">
        <v>44650.571000000004</v>
      </c>
      <c r="AH48" s="28">
        <v>44453.536</v>
      </c>
      <c r="AI48" s="28">
        <v>44245.504999999997</v>
      </c>
      <c r="AJ48" s="28">
        <v>44012.307000000001</v>
      </c>
      <c r="AK48" s="28">
        <v>43783.87</v>
      </c>
      <c r="AL48" s="28">
        <v>43544.608</v>
      </c>
      <c r="AM48" s="28">
        <v>43295.053999999996</v>
      </c>
      <c r="AN48" s="28">
        <v>43048.866000000002</v>
      </c>
      <c r="AO48" s="28">
        <v>42818.525999999998</v>
      </c>
      <c r="AP48" s="28">
        <v>42580.822</v>
      </c>
      <c r="AQ48" s="28">
        <v>42355.38</v>
      </c>
      <c r="AR48" s="28">
        <v>42131.408000000003</v>
      </c>
      <c r="AS48" s="28">
        <v>41886.470999999998</v>
      </c>
      <c r="AT48" s="28">
        <v>41650.767</v>
      </c>
      <c r="AU48" s="28">
        <v>41411.112999999998</v>
      </c>
      <c r="AV48" s="28">
        <v>41187.834999999999</v>
      </c>
      <c r="AW48" s="28">
        <v>40977.222999999998</v>
      </c>
      <c r="AX48" s="28">
        <v>40767.578999999998</v>
      </c>
      <c r="AY48" s="28">
        <v>40551.053</v>
      </c>
      <c r="AZ48" s="28">
        <v>40325.830999999998</v>
      </c>
      <c r="BA48" s="28">
        <v>40105.877</v>
      </c>
      <c r="BB48" s="28">
        <v>39888.396000000001</v>
      </c>
      <c r="BC48" s="28">
        <v>39660.082000000002</v>
      </c>
      <c r="BD48" s="28">
        <v>39403.516000000003</v>
      </c>
      <c r="BE48" s="28">
        <v>39152.481</v>
      </c>
      <c r="BF48" s="28">
        <v>38893.658000000003</v>
      </c>
      <c r="BG48" s="28">
        <v>38622.421000000002</v>
      </c>
      <c r="BH48" s="28">
        <v>38349.137999999999</v>
      </c>
      <c r="BI48" s="28">
        <v>38092.091999999997</v>
      </c>
      <c r="BJ48" s="28">
        <v>37849.821000000004</v>
      </c>
      <c r="BK48" s="28">
        <v>37608.417000000001</v>
      </c>
      <c r="BL48" s="28">
        <v>37358.777999999998</v>
      </c>
      <c r="BM48" s="28">
        <v>37127.372000000003</v>
      </c>
      <c r="BN48" s="28">
        <v>36909.940999999999</v>
      </c>
      <c r="BO48" s="28">
        <v>36698.728000000003</v>
      </c>
      <c r="BP48" s="28">
        <v>36498.824000000001</v>
      </c>
      <c r="BQ48" s="28">
        <v>36317.565000000002</v>
      </c>
      <c r="BR48" s="28">
        <v>36130.237999999998</v>
      </c>
      <c r="BS48" s="28">
        <v>35975.17</v>
      </c>
      <c r="BT48" s="28">
        <v>35821.387000000002</v>
      </c>
      <c r="BU48" s="28">
        <v>35664.542000000001</v>
      </c>
      <c r="BV48" s="28">
        <v>35506.086000000003</v>
      </c>
      <c r="BW48" s="28">
        <v>35347.449999999997</v>
      </c>
      <c r="BX48" s="28">
        <v>35189.743999999999</v>
      </c>
      <c r="BY48" s="28">
        <v>35033.411999999997</v>
      </c>
      <c r="BZ48" s="28">
        <v>34878.51</v>
      </c>
      <c r="CA48" s="28">
        <v>34724.974000000002</v>
      </c>
      <c r="CB48" s="28">
        <v>34572.711000000003</v>
      </c>
      <c r="CC48" s="28">
        <v>34421.269999999997</v>
      </c>
      <c r="CD48" s="28">
        <v>34270.01</v>
      </c>
      <c r="CE48" s="28">
        <v>34118.699000000001</v>
      </c>
      <c r="CF48" s="28">
        <v>33966.934000000001</v>
      </c>
      <c r="CG48" s="28">
        <v>33814.258999999998</v>
      </c>
      <c r="CH48" s="28">
        <v>33660.146999999997</v>
      </c>
      <c r="CI48" s="28">
        <v>33504.271999999997</v>
      </c>
      <c r="CJ48" s="28">
        <v>33346.595000000001</v>
      </c>
      <c r="CK48" s="28">
        <v>33187.222999999998</v>
      </c>
      <c r="CL48" s="28">
        <v>33026.250999999997</v>
      </c>
      <c r="CM48" s="28">
        <v>32864.222999999998</v>
      </c>
      <c r="CN48" s="28">
        <v>32701.843000000001</v>
      </c>
      <c r="CO48" s="28">
        <v>32539.657999999999</v>
      </c>
      <c r="CP48" s="28">
        <v>32378.054</v>
      </c>
      <c r="CQ48" s="28">
        <v>32217.346000000001</v>
      </c>
      <c r="CR48" s="28">
        <v>32058.636999999999</v>
      </c>
      <c r="CS48" s="28">
        <v>31903.205000000002</v>
      </c>
      <c r="CT48" s="28">
        <v>31751.433000000001</v>
      </c>
      <c r="CU48" s="28">
        <v>31603.656999999999</v>
      </c>
      <c r="CV48" s="28">
        <v>31460.019</v>
      </c>
      <c r="CW48" s="28">
        <v>31320.682000000001</v>
      </c>
      <c r="CX48" s="28">
        <v>31185.82</v>
      </c>
    </row>
    <row r="49" spans="1:102" s="24" customFormat="1" ht="15" customHeight="1" x14ac:dyDescent="0.2">
      <c r="A49" s="2" t="s">
        <v>142</v>
      </c>
      <c r="B49" s="28">
        <v>12006.573</v>
      </c>
      <c r="C49" s="28">
        <v>12177.727999999999</v>
      </c>
      <c r="D49" s="28">
        <v>12389.224</v>
      </c>
      <c r="E49" s="28">
        <v>12613.245000000001</v>
      </c>
      <c r="F49" s="28">
        <v>12728.103726775949</v>
      </c>
      <c r="G49" s="28">
        <v>12577.18937808219</v>
      </c>
      <c r="H49" s="28">
        <v>12540.06</v>
      </c>
      <c r="I49" s="28">
        <v>12805.262000000001</v>
      </c>
      <c r="J49" s="28">
        <v>13078.630999999999</v>
      </c>
      <c r="K49" s="28">
        <v>13358.880999999999</v>
      </c>
      <c r="L49" s="28">
        <v>13637.382</v>
      </c>
      <c r="M49" s="28">
        <v>13897.732</v>
      </c>
      <c r="N49" s="28">
        <v>14148.284</v>
      </c>
      <c r="O49" s="28">
        <v>14380.95</v>
      </c>
      <c r="P49" s="28">
        <v>14602.977000000001</v>
      </c>
      <c r="Q49" s="28">
        <v>14793.907999999999</v>
      </c>
      <c r="R49" s="28">
        <v>14994.15</v>
      </c>
      <c r="S49" s="28">
        <v>15153.028</v>
      </c>
      <c r="T49" s="28">
        <v>15272.976000000001</v>
      </c>
      <c r="U49" s="28">
        <v>15355.589</v>
      </c>
      <c r="V49" s="28">
        <v>15421.896000000001</v>
      </c>
      <c r="W49" s="28">
        <v>15469.058000000001</v>
      </c>
      <c r="X49" s="28">
        <v>15385.35684383562</v>
      </c>
      <c r="Y49" s="28">
        <v>15056.799791780821</v>
      </c>
      <c r="Z49" s="28">
        <v>14832.273999999999</v>
      </c>
      <c r="AA49" s="28">
        <v>14915.031999999999</v>
      </c>
      <c r="AB49" s="28">
        <v>15026.808999999999</v>
      </c>
      <c r="AC49" s="28">
        <v>15133.304</v>
      </c>
      <c r="AD49" s="28">
        <v>15228.272999999999</v>
      </c>
      <c r="AE49" s="28">
        <v>15324.842000000001</v>
      </c>
      <c r="AF49" s="28">
        <v>15418.565000000001</v>
      </c>
      <c r="AG49" s="28">
        <v>15536.312</v>
      </c>
      <c r="AH49" s="28">
        <v>15656.581</v>
      </c>
      <c r="AI49" s="28">
        <v>15783.01</v>
      </c>
      <c r="AJ49" s="28">
        <v>15930.535</v>
      </c>
      <c r="AK49" s="28">
        <v>16069.949000000001</v>
      </c>
      <c r="AL49" s="28">
        <v>16217.647999999999</v>
      </c>
      <c r="AM49" s="28">
        <v>16373.393</v>
      </c>
      <c r="AN49" s="28">
        <v>16523.597000000002</v>
      </c>
      <c r="AO49" s="28">
        <v>16656.037</v>
      </c>
      <c r="AP49" s="28">
        <v>16794.107</v>
      </c>
      <c r="AQ49" s="28">
        <v>16918.342000000001</v>
      </c>
      <c r="AR49" s="28">
        <v>17038.732</v>
      </c>
      <c r="AS49" s="28">
        <v>17176.620999999999</v>
      </c>
      <c r="AT49" s="28">
        <v>17301.357</v>
      </c>
      <c r="AU49" s="28">
        <v>17425.64</v>
      </c>
      <c r="AV49" s="28">
        <v>17528.738000000001</v>
      </c>
      <c r="AW49" s="28">
        <v>17613.691999999999</v>
      </c>
      <c r="AX49" s="28">
        <v>17691.409</v>
      </c>
      <c r="AY49" s="28">
        <v>17769.237000000001</v>
      </c>
      <c r="AZ49" s="28">
        <v>17848.72</v>
      </c>
      <c r="BA49" s="28">
        <v>17915.646000000001</v>
      </c>
      <c r="BB49" s="28">
        <v>17972.519</v>
      </c>
      <c r="BC49" s="28">
        <v>18032.456999999999</v>
      </c>
      <c r="BD49" s="28">
        <v>18112.964</v>
      </c>
      <c r="BE49" s="28">
        <v>18180.489000000001</v>
      </c>
      <c r="BF49" s="28">
        <v>18248.850999999999</v>
      </c>
      <c r="BG49" s="28">
        <v>18323.059000000001</v>
      </c>
      <c r="BH49" s="28">
        <v>18393.223000000002</v>
      </c>
      <c r="BI49" s="28">
        <v>18441.885999999999</v>
      </c>
      <c r="BJ49" s="28">
        <v>18471.342000000001</v>
      </c>
      <c r="BK49" s="28">
        <v>18496.231</v>
      </c>
      <c r="BL49" s="28">
        <v>18526.439999999999</v>
      </c>
      <c r="BM49" s="28">
        <v>18536.216</v>
      </c>
      <c r="BN49" s="28">
        <v>18530.537</v>
      </c>
      <c r="BO49" s="28">
        <v>18517.893</v>
      </c>
      <c r="BP49" s="28">
        <v>18493.848000000002</v>
      </c>
      <c r="BQ49" s="28">
        <v>18451.584999999999</v>
      </c>
      <c r="BR49" s="28">
        <v>18416.295999999998</v>
      </c>
      <c r="BS49" s="28">
        <v>18349.982</v>
      </c>
      <c r="BT49" s="28">
        <v>18283.893</v>
      </c>
      <c r="BU49" s="28">
        <v>18222.546999999999</v>
      </c>
      <c r="BV49" s="28">
        <v>18164.541000000001</v>
      </c>
      <c r="BW49" s="28">
        <v>18108.401000000002</v>
      </c>
      <c r="BX49" s="28">
        <v>18052.903999999999</v>
      </c>
      <c r="BY49" s="28">
        <v>17997.422999999999</v>
      </c>
      <c r="BZ49" s="28">
        <v>17941.734</v>
      </c>
      <c r="CA49" s="28">
        <v>17885.583999999999</v>
      </c>
      <c r="CB49" s="28">
        <v>17828.824000000001</v>
      </c>
      <c r="CC49" s="28">
        <v>17771.611000000001</v>
      </c>
      <c r="CD49" s="28">
        <v>17714.332999999999</v>
      </c>
      <c r="CE49" s="28">
        <v>17657.11</v>
      </c>
      <c r="CF49" s="28">
        <v>17600.321</v>
      </c>
      <c r="CG49" s="28">
        <v>17544.468000000001</v>
      </c>
      <c r="CH49" s="28">
        <v>17490.316999999999</v>
      </c>
      <c r="CI49" s="28">
        <v>17438.492999999999</v>
      </c>
      <c r="CJ49" s="28">
        <v>17389.465</v>
      </c>
      <c r="CK49" s="28">
        <v>17343.643</v>
      </c>
      <c r="CL49" s="28">
        <v>17301.48</v>
      </c>
      <c r="CM49" s="28">
        <v>17262.97</v>
      </c>
      <c r="CN49" s="28">
        <v>17227.912</v>
      </c>
      <c r="CO49" s="28">
        <v>17196.246999999999</v>
      </c>
      <c r="CP49" s="28">
        <v>17167.915000000001</v>
      </c>
      <c r="CQ49" s="28">
        <v>17142.879000000001</v>
      </c>
      <c r="CR49" s="28">
        <v>17120.178</v>
      </c>
      <c r="CS49" s="28">
        <v>17098.588</v>
      </c>
      <c r="CT49" s="28">
        <v>17077.618999999999</v>
      </c>
      <c r="CU49" s="28">
        <v>17056.75</v>
      </c>
      <c r="CV49" s="28">
        <v>17035.577000000001</v>
      </c>
      <c r="CW49" s="28">
        <v>17013.565999999999</v>
      </c>
      <c r="CX49" s="28">
        <v>16990.183000000001</v>
      </c>
    </row>
    <row r="50" spans="1:102" s="24" customFormat="1" ht="15" customHeight="1" x14ac:dyDescent="0.2">
      <c r="A50" s="2" t="s">
        <v>143</v>
      </c>
      <c r="B50" s="28">
        <v>42468.847999999998</v>
      </c>
      <c r="C50" s="28">
        <v>43160.303999999996</v>
      </c>
      <c r="D50" s="28">
        <v>43725.847000000002</v>
      </c>
      <c r="E50" s="28">
        <v>44144.688999999998</v>
      </c>
      <c r="F50" s="28">
        <v>44416.5</v>
      </c>
      <c r="G50" s="28">
        <v>44546.438999999998</v>
      </c>
      <c r="H50" s="28">
        <v>44531.197999999997</v>
      </c>
      <c r="I50" s="28">
        <v>44480.466999999997</v>
      </c>
      <c r="J50" s="28">
        <v>44404.58</v>
      </c>
      <c r="K50" s="28">
        <v>44335.557000000001</v>
      </c>
      <c r="L50" s="28">
        <v>44275.008000000002</v>
      </c>
      <c r="M50" s="28">
        <v>44202.394999999997</v>
      </c>
      <c r="N50" s="28">
        <v>44115.33</v>
      </c>
      <c r="O50" s="28">
        <v>44043.58</v>
      </c>
      <c r="P50" s="28">
        <v>43940.635999999999</v>
      </c>
      <c r="Q50" s="28">
        <v>43850.534</v>
      </c>
      <c r="R50" s="28">
        <v>43798.180999999997</v>
      </c>
      <c r="S50" s="28">
        <v>43740.938000000002</v>
      </c>
      <c r="T50" s="28">
        <v>43691.32</v>
      </c>
      <c r="U50" s="28">
        <v>43657.341999999997</v>
      </c>
      <c r="V50" s="28">
        <v>43639.572</v>
      </c>
      <c r="W50" s="28">
        <v>43605.438000000002</v>
      </c>
      <c r="X50" s="28">
        <v>43511.247000000003</v>
      </c>
      <c r="Y50" s="28">
        <v>43378.767999999996</v>
      </c>
      <c r="Z50" s="28">
        <v>43242.805999999997</v>
      </c>
      <c r="AA50" s="28">
        <v>43109.542999999998</v>
      </c>
      <c r="AB50" s="28">
        <v>42965.419000000002</v>
      </c>
      <c r="AC50" s="28">
        <v>42815.43</v>
      </c>
      <c r="AD50" s="28">
        <v>42632.718999999997</v>
      </c>
      <c r="AE50" s="28">
        <v>42439.974000000002</v>
      </c>
      <c r="AF50" s="28">
        <v>42234.377999999997</v>
      </c>
      <c r="AG50" s="28">
        <v>42001.701999999997</v>
      </c>
      <c r="AH50" s="28">
        <v>41773.199999999997</v>
      </c>
      <c r="AI50" s="28">
        <v>41533.279999999999</v>
      </c>
      <c r="AJ50" s="28">
        <v>41283.074000000001</v>
      </c>
      <c r="AK50" s="28">
        <v>41037.254000000001</v>
      </c>
      <c r="AL50" s="28">
        <v>40809.061000000002</v>
      </c>
      <c r="AM50" s="28">
        <v>40574.629000000001</v>
      </c>
      <c r="AN50" s="28">
        <v>40353.635000000002</v>
      </c>
      <c r="AO50" s="28">
        <v>40135.730000000003</v>
      </c>
      <c r="AP50" s="28">
        <v>39898.906000000003</v>
      </c>
      <c r="AQ50" s="28">
        <v>39674.214</v>
      </c>
      <c r="AR50" s="28">
        <v>39447.385000000002</v>
      </c>
      <c r="AS50" s="28">
        <v>39238.101000000002</v>
      </c>
      <c r="AT50" s="28">
        <v>39042.425000000003</v>
      </c>
      <c r="AU50" s="28">
        <v>38848.296999999999</v>
      </c>
      <c r="AV50" s="28">
        <v>38647.322</v>
      </c>
      <c r="AW50" s="28">
        <v>38437.034</v>
      </c>
      <c r="AX50" s="28">
        <v>38231.048000000003</v>
      </c>
      <c r="AY50" s="28">
        <v>38026.421999999999</v>
      </c>
      <c r="AZ50" s="28">
        <v>37809.743999999999</v>
      </c>
      <c r="BA50" s="28">
        <v>37563.292999999998</v>
      </c>
      <c r="BB50" s="28">
        <v>37321.404000000002</v>
      </c>
      <c r="BC50" s="28">
        <v>37070.387000000002</v>
      </c>
      <c r="BD50" s="28">
        <v>36805.735999999997</v>
      </c>
      <c r="BE50" s="28">
        <v>36538.252</v>
      </c>
      <c r="BF50" s="28">
        <v>36286.597000000002</v>
      </c>
      <c r="BG50" s="28">
        <v>36049.165000000001</v>
      </c>
      <c r="BH50" s="28">
        <v>35811.760999999999</v>
      </c>
      <c r="BI50" s="28">
        <v>35565.288</v>
      </c>
      <c r="BJ50" s="28">
        <v>35336.944000000003</v>
      </c>
      <c r="BK50" s="28">
        <v>35122.493000000002</v>
      </c>
      <c r="BL50" s="28">
        <v>34914.097999999998</v>
      </c>
      <c r="BM50" s="28">
        <v>34716.982000000004</v>
      </c>
      <c r="BN50" s="28">
        <v>34538.690999999999</v>
      </c>
      <c r="BO50" s="28">
        <v>34354.228999999999</v>
      </c>
      <c r="BP50" s="28">
        <v>34202.665000000001</v>
      </c>
      <c r="BQ50" s="28">
        <v>34052.603000000003</v>
      </c>
      <c r="BR50" s="28">
        <v>33899.705999999998</v>
      </c>
      <c r="BS50" s="28">
        <v>33745.527999999998</v>
      </c>
      <c r="BT50" s="28">
        <v>33591.576000000001</v>
      </c>
      <c r="BU50" s="28">
        <v>33439.048999999999</v>
      </c>
      <c r="BV50" s="28">
        <v>33288.436999999998</v>
      </c>
      <c r="BW50" s="28">
        <v>33139.764999999999</v>
      </c>
      <c r="BX50" s="28">
        <v>32992.962</v>
      </c>
      <c r="BY50" s="28">
        <v>32847.864000000001</v>
      </c>
      <c r="BZ50" s="28">
        <v>32703.996999999999</v>
      </c>
      <c r="CA50" s="28">
        <v>32560.629000000001</v>
      </c>
      <c r="CB50" s="28">
        <v>32417.373</v>
      </c>
      <c r="CC50" s="28">
        <v>32273.713</v>
      </c>
      <c r="CD50" s="28">
        <v>32129.072</v>
      </c>
      <c r="CE50" s="28">
        <v>31982.861000000001</v>
      </c>
      <c r="CF50" s="28">
        <v>31834.668000000001</v>
      </c>
      <c r="CG50" s="28">
        <v>31684.36</v>
      </c>
      <c r="CH50" s="28">
        <v>31531.968000000001</v>
      </c>
      <c r="CI50" s="28">
        <v>31377.543000000001</v>
      </c>
      <c r="CJ50" s="28">
        <v>31221.620999999999</v>
      </c>
      <c r="CK50" s="28">
        <v>31064.928</v>
      </c>
      <c r="CL50" s="28">
        <v>30907.985000000001</v>
      </c>
      <c r="CM50" s="28">
        <v>30751.213</v>
      </c>
      <c r="CN50" s="28">
        <v>30594.952000000001</v>
      </c>
      <c r="CO50" s="28">
        <v>30440.378000000001</v>
      </c>
      <c r="CP50" s="28">
        <v>30288.789000000001</v>
      </c>
      <c r="CQ50" s="28">
        <v>30140.631000000001</v>
      </c>
      <c r="CR50" s="28">
        <v>29996.276999999998</v>
      </c>
      <c r="CS50" s="28">
        <v>29855.95</v>
      </c>
      <c r="CT50" s="28">
        <v>29719.877</v>
      </c>
      <c r="CU50" s="28">
        <v>29588.285</v>
      </c>
      <c r="CV50" s="28">
        <v>29460.976999999999</v>
      </c>
      <c r="CW50" s="28">
        <v>29337.5</v>
      </c>
      <c r="CX50" s="28">
        <v>29217.437999999998</v>
      </c>
    </row>
    <row r="51" spans="1:102" s="24" customFormat="1" ht="15" customHeight="1" x14ac:dyDescent="0.2">
      <c r="A51" s="2" t="s">
        <v>144</v>
      </c>
      <c r="B51" s="28">
        <v>12736.281000000001</v>
      </c>
      <c r="C51" s="28">
        <v>12934.955</v>
      </c>
      <c r="D51" s="28">
        <v>13163.397000000001</v>
      </c>
      <c r="E51" s="28">
        <v>13403.814</v>
      </c>
      <c r="F51" s="28">
        <v>13666.645</v>
      </c>
      <c r="G51" s="28">
        <v>13948.848</v>
      </c>
      <c r="H51" s="28">
        <v>14239.277</v>
      </c>
      <c r="I51" s="28">
        <v>14538.001</v>
      </c>
      <c r="J51" s="28">
        <v>14835.928</v>
      </c>
      <c r="K51" s="28">
        <v>15116.047</v>
      </c>
      <c r="L51" s="28">
        <v>15386.68</v>
      </c>
      <c r="M51" s="28">
        <v>15639.313</v>
      </c>
      <c r="N51" s="28">
        <v>15881.040999999999</v>
      </c>
      <c r="O51" s="28">
        <v>16090.768</v>
      </c>
      <c r="P51" s="28">
        <v>16309.602999999999</v>
      </c>
      <c r="Q51" s="28">
        <v>16485.810000000001</v>
      </c>
      <c r="R51" s="28">
        <v>16621.530999999999</v>
      </c>
      <c r="S51" s="28">
        <v>16718.123</v>
      </c>
      <c r="T51" s="28">
        <v>16796.989000000001</v>
      </c>
      <c r="U51" s="28">
        <v>16855.294999999998</v>
      </c>
      <c r="V51" s="28">
        <v>16891.302</v>
      </c>
      <c r="W51" s="28">
        <v>16936.349999999999</v>
      </c>
      <c r="X51" s="28">
        <v>17033.233</v>
      </c>
      <c r="Y51" s="28">
        <v>17159.79</v>
      </c>
      <c r="Z51" s="28">
        <v>17281.177</v>
      </c>
      <c r="AA51" s="28">
        <v>17391.169999999998</v>
      </c>
      <c r="AB51" s="28">
        <v>17503.177</v>
      </c>
      <c r="AC51" s="28">
        <v>17612.45</v>
      </c>
      <c r="AD51" s="28">
        <v>17746.256000000001</v>
      </c>
      <c r="AE51" s="28">
        <v>17882.183000000001</v>
      </c>
      <c r="AF51" s="28">
        <v>18023.516</v>
      </c>
      <c r="AG51" s="28">
        <v>18185.181</v>
      </c>
      <c r="AH51" s="28">
        <v>18336.917000000001</v>
      </c>
      <c r="AI51" s="28">
        <v>18495.235000000001</v>
      </c>
      <c r="AJ51" s="28">
        <v>18659.768</v>
      </c>
      <c r="AK51" s="28">
        <v>18816.564999999999</v>
      </c>
      <c r="AL51" s="28">
        <v>18953.195</v>
      </c>
      <c r="AM51" s="28">
        <v>19093.817999999999</v>
      </c>
      <c r="AN51" s="28">
        <v>19218.828000000001</v>
      </c>
      <c r="AO51" s="28">
        <v>19338.832999999999</v>
      </c>
      <c r="AP51" s="28">
        <v>19476.023000000001</v>
      </c>
      <c r="AQ51" s="28">
        <v>19599.508000000002</v>
      </c>
      <c r="AR51" s="28">
        <v>19722.755000000001</v>
      </c>
      <c r="AS51" s="28">
        <v>19824.991000000002</v>
      </c>
      <c r="AT51" s="28">
        <v>19909.699000000001</v>
      </c>
      <c r="AU51" s="28">
        <v>19988.455999999998</v>
      </c>
      <c r="AV51" s="28">
        <v>20069.251</v>
      </c>
      <c r="AW51" s="28">
        <v>20153.881000000001</v>
      </c>
      <c r="AX51" s="28">
        <v>20227.939999999999</v>
      </c>
      <c r="AY51" s="28">
        <v>20293.867999999999</v>
      </c>
      <c r="AZ51" s="28">
        <v>20364.807000000001</v>
      </c>
      <c r="BA51" s="28">
        <v>20458.23</v>
      </c>
      <c r="BB51" s="28">
        <v>20539.510999999999</v>
      </c>
      <c r="BC51" s="28">
        <v>20622.151999999998</v>
      </c>
      <c r="BD51" s="28">
        <v>20710.743999999999</v>
      </c>
      <c r="BE51" s="28">
        <v>20794.718000000001</v>
      </c>
      <c r="BF51" s="28">
        <v>20855.912</v>
      </c>
      <c r="BG51" s="28">
        <v>20896.314999999999</v>
      </c>
      <c r="BH51" s="28">
        <v>20930.599999999999</v>
      </c>
      <c r="BI51" s="28">
        <v>20968.689999999999</v>
      </c>
      <c r="BJ51" s="28">
        <v>20984.219000000001</v>
      </c>
      <c r="BK51" s="28">
        <v>20982.154999999999</v>
      </c>
      <c r="BL51" s="28">
        <v>20971.12</v>
      </c>
      <c r="BM51" s="28">
        <v>20946.606</v>
      </c>
      <c r="BN51" s="28">
        <v>20901.787</v>
      </c>
      <c r="BO51" s="28">
        <v>20862.392</v>
      </c>
      <c r="BP51" s="28">
        <v>20790.007000000001</v>
      </c>
      <c r="BQ51" s="28">
        <v>20716.546999999999</v>
      </c>
      <c r="BR51" s="28">
        <v>20646.828000000001</v>
      </c>
      <c r="BS51" s="28">
        <v>20579.624</v>
      </c>
      <c r="BT51" s="28">
        <v>20513.704000000002</v>
      </c>
      <c r="BU51" s="28">
        <v>20448.04</v>
      </c>
      <c r="BV51" s="28">
        <v>20382.189999999999</v>
      </c>
      <c r="BW51" s="28">
        <v>20316.085999999999</v>
      </c>
      <c r="BX51" s="28">
        <v>20249.686000000002</v>
      </c>
      <c r="BY51" s="28">
        <v>20182.971000000001</v>
      </c>
      <c r="BZ51" s="28">
        <v>20116.246999999999</v>
      </c>
      <c r="CA51" s="28">
        <v>20049.929</v>
      </c>
      <c r="CB51" s="28">
        <v>19984.162</v>
      </c>
      <c r="CC51" s="28">
        <v>19919.168000000001</v>
      </c>
      <c r="CD51" s="28">
        <v>19855.271000000001</v>
      </c>
      <c r="CE51" s="28">
        <v>19792.948</v>
      </c>
      <c r="CF51" s="28">
        <v>19732.587</v>
      </c>
      <c r="CG51" s="28">
        <v>19674.366999999998</v>
      </c>
      <c r="CH51" s="28">
        <v>19618.495999999999</v>
      </c>
      <c r="CI51" s="28">
        <v>19565.222000000002</v>
      </c>
      <c r="CJ51" s="28">
        <v>19514.438999999998</v>
      </c>
      <c r="CK51" s="28">
        <v>19465.937999999998</v>
      </c>
      <c r="CL51" s="28">
        <v>19419.745999999999</v>
      </c>
      <c r="CM51" s="28">
        <v>19375.98</v>
      </c>
      <c r="CN51" s="28">
        <v>19334.803</v>
      </c>
      <c r="CO51" s="28">
        <v>19295.526999999998</v>
      </c>
      <c r="CP51" s="28">
        <v>19257.18</v>
      </c>
      <c r="CQ51" s="28">
        <v>19219.594000000001</v>
      </c>
      <c r="CR51" s="28">
        <v>19182.538</v>
      </c>
      <c r="CS51" s="28">
        <v>19145.843000000001</v>
      </c>
      <c r="CT51" s="28">
        <v>19109.174999999999</v>
      </c>
      <c r="CU51" s="28">
        <v>19072.121999999999</v>
      </c>
      <c r="CV51" s="28">
        <v>19034.618999999999</v>
      </c>
      <c r="CW51" s="28">
        <v>18996.748</v>
      </c>
      <c r="CX51" s="28">
        <v>18958.564999999999</v>
      </c>
    </row>
    <row r="52" spans="1:102" s="24" customFormat="1" ht="15" customHeight="1" x14ac:dyDescent="0.2">
      <c r="A52" s="2" t="s">
        <v>140</v>
      </c>
      <c r="B52" s="25">
        <v>0.18338943286650669</v>
      </c>
      <c r="C52" s="25">
        <v>0.1810013783261947</v>
      </c>
      <c r="D52" s="25">
        <v>0.17821260556565621</v>
      </c>
      <c r="E52" s="25">
        <v>0.17567204994752311</v>
      </c>
      <c r="F52" s="25">
        <v>0.1731596855802458</v>
      </c>
      <c r="G52" s="25">
        <v>0.1705766917440677</v>
      </c>
      <c r="H52" s="25">
        <v>0.16805624828590821</v>
      </c>
      <c r="I52" s="25">
        <v>0.1657952944770992</v>
      </c>
      <c r="J52" s="25">
        <v>0.16376504754768009</v>
      </c>
      <c r="K52" s="25">
        <v>0.16174591897247181</v>
      </c>
      <c r="L52" s="25">
        <v>0.1595934023384448</v>
      </c>
      <c r="M52" s="25">
        <v>0.15771874407963829</v>
      </c>
      <c r="N52" s="25">
        <v>0.15606051665302331</v>
      </c>
      <c r="O52" s="25">
        <v>0.1545000907725384</v>
      </c>
      <c r="P52" s="25">
        <v>0.15312031406812679</v>
      </c>
      <c r="Q52" s="25">
        <v>0.15203820753288391</v>
      </c>
      <c r="R52" s="25">
        <v>0.1508843057909264</v>
      </c>
      <c r="S52" s="25">
        <v>0.1502483601478225</v>
      </c>
      <c r="T52" s="25">
        <v>0.14966173613197151</v>
      </c>
      <c r="U52" s="25">
        <v>0.14905969639446809</v>
      </c>
      <c r="V52" s="25">
        <v>0.1484650378973307</v>
      </c>
      <c r="W52" s="25">
        <v>0.14789588152550109</v>
      </c>
      <c r="X52" s="25">
        <v>0.147363029408208</v>
      </c>
      <c r="Y52" s="25">
        <v>0.14687068263865011</v>
      </c>
      <c r="Z52" s="25">
        <v>0.1464176128321602</v>
      </c>
      <c r="AA52" s="25">
        <v>0.14600246843312961</v>
      </c>
      <c r="AB52" s="25">
        <v>0.14561337023619469</v>
      </c>
      <c r="AC52" s="25">
        <v>0.14523023719384651</v>
      </c>
      <c r="AD52" s="25">
        <v>0.14484027262807619</v>
      </c>
      <c r="AE52" s="25">
        <v>0.14443571638706421</v>
      </c>
      <c r="AF52" s="25">
        <v>0.14400913228997189</v>
      </c>
      <c r="AG52" s="25">
        <v>0.14354960198180849</v>
      </c>
      <c r="AH52" s="25">
        <v>0.14304453543687859</v>
      </c>
      <c r="AI52" s="25">
        <v>0.14248869222733551</v>
      </c>
      <c r="AJ52" s="25">
        <v>0.14188355674320141</v>
      </c>
      <c r="AK52" s="25">
        <v>0.14123209362564129</v>
      </c>
      <c r="AL52" s="25">
        <v>0.14053514681625159</v>
      </c>
      <c r="AM52" s="25">
        <v>0.1398003033425344</v>
      </c>
      <c r="AN52" s="25">
        <v>0.13903988749854071</v>
      </c>
      <c r="AO52" s="25">
        <v>0.13826247342902101</v>
      </c>
      <c r="AP52" s="25">
        <v>0.13747577593280419</v>
      </c>
      <c r="AQ52" s="25">
        <v>0.13668463731598171</v>
      </c>
      <c r="AR52" s="25">
        <v>0.1359052763993274</v>
      </c>
      <c r="AS52" s="25">
        <v>0.13515984084669891</v>
      </c>
      <c r="AT52" s="25">
        <v>0.1344581722050808</v>
      </c>
      <c r="AU52" s="25">
        <v>0.13380713831772881</v>
      </c>
      <c r="AV52" s="25">
        <v>0.13321142078910911</v>
      </c>
      <c r="AW52" s="25">
        <v>0.13267602482630589</v>
      </c>
      <c r="AX52" s="25">
        <v>0.13220602480330529</v>
      </c>
      <c r="AY52" s="25">
        <v>0.13180144290548049</v>
      </c>
      <c r="AZ52" s="25">
        <v>0.13145768250010259</v>
      </c>
      <c r="BA52" s="25">
        <v>0.1311691807892143</v>
      </c>
      <c r="BB52" s="25">
        <v>0.13093274900174121</v>
      </c>
      <c r="BC52" s="25">
        <v>0.13074456278963359</v>
      </c>
      <c r="BD52" s="25">
        <v>0.13059829502189299</v>
      </c>
      <c r="BE52" s="25">
        <v>0.13048747461038929</v>
      </c>
      <c r="BF52" s="25">
        <v>0.1304045272129202</v>
      </c>
      <c r="BG52" s="25">
        <v>0.13034433416206359</v>
      </c>
      <c r="BH52" s="25">
        <v>0.13030212758117779</v>
      </c>
      <c r="BI52" s="25">
        <v>0.13026962713561049</v>
      </c>
      <c r="BJ52" s="25">
        <v>0.13023928318865849</v>
      </c>
      <c r="BK52" s="25">
        <v>0.13020506468622031</v>
      </c>
      <c r="BL52" s="25">
        <v>0.13016218750321021</v>
      </c>
      <c r="BM52" s="25">
        <v>0.13010667992811639</v>
      </c>
      <c r="BN52" s="25">
        <v>0.13003543552923791</v>
      </c>
      <c r="BO52" s="25">
        <v>0.12994498070044089</v>
      </c>
      <c r="BP52" s="25">
        <v>0.12983391236889619</v>
      </c>
      <c r="BQ52" s="25">
        <v>0.12970156944875541</v>
      </c>
      <c r="BR52" s="25">
        <v>0.1295481981915059</v>
      </c>
      <c r="BS52" s="25">
        <v>0.12937532946821401</v>
      </c>
      <c r="BT52" s="25">
        <v>0.12918505453336701</v>
      </c>
      <c r="BU52" s="25">
        <v>0.12898054280843349</v>
      </c>
      <c r="BV52" s="25">
        <v>0.12876545217957061</v>
      </c>
      <c r="BW52" s="25">
        <v>0.1285438279885226</v>
      </c>
      <c r="BX52" s="25">
        <v>0.12832049334475351</v>
      </c>
      <c r="BY52" s="25">
        <v>0.12810018965782971</v>
      </c>
      <c r="BZ52" s="25">
        <v>0.12788747865360911</v>
      </c>
      <c r="CA52" s="25">
        <v>0.12768685268410451</v>
      </c>
      <c r="CB52" s="25">
        <v>0.12750207882358219</v>
      </c>
      <c r="CC52" s="25">
        <v>0.12733661366876581</v>
      </c>
      <c r="CD52" s="25">
        <v>0.12719317627525761</v>
      </c>
      <c r="CE52" s="25">
        <v>0.1270729732999609</v>
      </c>
      <c r="CF52" s="25">
        <v>0.12697665368641919</v>
      </c>
      <c r="CG52" s="25">
        <v>0.12690381675568871</v>
      </c>
      <c r="CH52" s="25">
        <v>0.12685326061444049</v>
      </c>
      <c r="CI52" s="25">
        <v>0.12682304575941081</v>
      </c>
      <c r="CJ52" s="25">
        <v>0.1268100392769797</v>
      </c>
      <c r="CK52" s="25">
        <v>0.1268107264305664</v>
      </c>
      <c r="CL52" s="25">
        <v>0.12682128126684181</v>
      </c>
      <c r="CM52" s="25">
        <v>0.1268377280317019</v>
      </c>
      <c r="CN52" s="25">
        <v>0.12685625491473659</v>
      </c>
      <c r="CO52" s="25">
        <v>0.1268725005128335</v>
      </c>
      <c r="CP52" s="25">
        <v>0.12688307477482991</v>
      </c>
      <c r="CQ52" s="25">
        <v>0.12688464521855131</v>
      </c>
      <c r="CR52" s="25">
        <v>0.12687468144716321</v>
      </c>
      <c r="CS52" s="25">
        <v>0.12685105258352469</v>
      </c>
      <c r="CT52" s="25">
        <v>0.12681232654491101</v>
      </c>
      <c r="CU52" s="25">
        <v>0.12675786066581701</v>
      </c>
      <c r="CV52" s="25">
        <v>0.12668740441198331</v>
      </c>
      <c r="CW52" s="25">
        <v>0.12660158887439171</v>
      </c>
      <c r="CX52" s="25">
        <v>0.12650142756702651</v>
      </c>
    </row>
    <row r="53" spans="1:102" s="24" customFormat="1" ht="15" customHeight="1" x14ac:dyDescent="0.2">
      <c r="A53" s="2" t="s">
        <v>141</v>
      </c>
      <c r="B53" s="25">
        <v>0.63900579445268513</v>
      </c>
      <c r="C53" s="25">
        <v>0.64120209082761548</v>
      </c>
      <c r="D53" s="25">
        <v>0.64282020495959113</v>
      </c>
      <c r="E53" s="25">
        <v>0.64365512882618614</v>
      </c>
      <c r="F53" s="25">
        <v>0.64564989700322695</v>
      </c>
      <c r="G53" s="25">
        <v>0.65108733355543558</v>
      </c>
      <c r="H53" s="25">
        <v>0.65442902917492884</v>
      </c>
      <c r="I53" s="25">
        <v>0.65320695722734023</v>
      </c>
      <c r="J53" s="25">
        <v>0.65161789325312403</v>
      </c>
      <c r="K53" s="25">
        <v>0.64989690034976033</v>
      </c>
      <c r="L53" s="25">
        <v>0.64830767803945311</v>
      </c>
      <c r="M53" s="25">
        <v>0.6466685377238055</v>
      </c>
      <c r="N53" s="25">
        <v>0.64492252131761829</v>
      </c>
      <c r="O53" s="25">
        <v>0.6433011272666983</v>
      </c>
      <c r="P53" s="25">
        <v>0.64161967732957759</v>
      </c>
      <c r="Q53" s="25">
        <v>0.64004948102057557</v>
      </c>
      <c r="R53" s="25">
        <v>0.63839360261212952</v>
      </c>
      <c r="S53" s="25">
        <v>0.63677594723058739</v>
      </c>
      <c r="T53" s="25">
        <v>0.63563237919966942</v>
      </c>
      <c r="U53" s="25">
        <v>0.63500706695445408</v>
      </c>
      <c r="V53" s="25">
        <v>0.63458313639614961</v>
      </c>
      <c r="W53" s="25">
        <v>0.63438263276745477</v>
      </c>
      <c r="X53" s="25">
        <v>0.63596777051274778</v>
      </c>
      <c r="Y53" s="25">
        <v>0.64094393085101242</v>
      </c>
      <c r="Z53" s="25">
        <v>0.6443997256756594</v>
      </c>
      <c r="AA53" s="25">
        <v>0.64346446708478933</v>
      </c>
      <c r="AB53" s="25">
        <v>0.64206642478311715</v>
      </c>
      <c r="AC53" s="25">
        <v>0.64070482009174068</v>
      </c>
      <c r="AD53" s="25">
        <v>0.63947859354967473</v>
      </c>
      <c r="AE53" s="25">
        <v>0.63820820552687818</v>
      </c>
      <c r="AF53" s="25">
        <v>0.63696311952497753</v>
      </c>
      <c r="AG53" s="25">
        <v>0.63537098780625545</v>
      </c>
      <c r="AH53" s="25">
        <v>0.63374856838747196</v>
      </c>
      <c r="AI53" s="25">
        <v>0.63204996584726381</v>
      </c>
      <c r="AJ53" s="25">
        <v>0.63006162341062011</v>
      </c>
      <c r="AK53" s="25">
        <v>0.62820022182489466</v>
      </c>
      <c r="AL53" s="25">
        <v>0.62623238523097047</v>
      </c>
      <c r="AM53" s="25">
        <v>0.62415554937383555</v>
      </c>
      <c r="AN53" s="25">
        <v>0.62215585268684037</v>
      </c>
      <c r="AO53" s="25">
        <v>0.62040524260186924</v>
      </c>
      <c r="AP53" s="25">
        <v>0.61856057892201233</v>
      </c>
      <c r="AQ53" s="25">
        <v>0.61690153768847877</v>
      </c>
      <c r="AR53" s="25">
        <v>0.61526856875219771</v>
      </c>
      <c r="AS53" s="25">
        <v>0.61332891691498526</v>
      </c>
      <c r="AT53" s="25">
        <v>0.61152132530865733</v>
      </c>
      <c r="AU53" s="25">
        <v>0.6096531274409025</v>
      </c>
      <c r="AV53" s="25">
        <v>0.60802501161678157</v>
      </c>
      <c r="AW53" s="25">
        <v>0.60658769271548207</v>
      </c>
      <c r="AX53" s="25">
        <v>0.60517399718851261</v>
      </c>
      <c r="AY53" s="25">
        <v>0.60367267898124966</v>
      </c>
      <c r="AZ53" s="25">
        <v>0.60206207198486505</v>
      </c>
      <c r="BA53" s="25">
        <v>0.6005568307656628</v>
      </c>
      <c r="BB53" s="25">
        <v>0.59912116250581138</v>
      </c>
      <c r="BC53" s="25">
        <v>0.5975597974412078</v>
      </c>
      <c r="BD53" s="25">
        <v>0.59561162283457059</v>
      </c>
      <c r="BE53" s="25">
        <v>0.59378700649170535</v>
      </c>
      <c r="BF53" s="25">
        <v>0.59188421210081954</v>
      </c>
      <c r="BG53" s="25">
        <v>0.58983096201890117</v>
      </c>
      <c r="BH53" s="25">
        <v>0.58778244577619543</v>
      </c>
      <c r="BI53" s="25">
        <v>0.5860165965739158</v>
      </c>
      <c r="BJ53" s="25">
        <v>0.58451007917114506</v>
      </c>
      <c r="BK53" s="25">
        <v>0.58304635708201313</v>
      </c>
      <c r="BL53" s="25">
        <v>0.58147894731435412</v>
      </c>
      <c r="BM53" s="25">
        <v>0.58021507515153159</v>
      </c>
      <c r="BN53" s="25">
        <v>0.57918585670755807</v>
      </c>
      <c r="BO53" s="25">
        <v>0.57826632488629226</v>
      </c>
      <c r="BP53" s="25">
        <v>0.57753220071241917</v>
      </c>
      <c r="BQ53" s="25">
        <v>0.57709713992170431</v>
      </c>
      <c r="BR53" s="25">
        <v>0.57656515383488383</v>
      </c>
      <c r="BS53" s="25">
        <v>0.57654455395863391</v>
      </c>
      <c r="BT53" s="25">
        <v>0.57653891019405412</v>
      </c>
      <c r="BU53" s="25">
        <v>0.57647407923307614</v>
      </c>
      <c r="BV53" s="25">
        <v>0.57636980430810469</v>
      </c>
      <c r="BW53" s="25">
        <v>0.57624662017572403</v>
      </c>
      <c r="BX53" s="25">
        <v>0.57612045684212443</v>
      </c>
      <c r="BY53" s="25">
        <v>0.57599744145908915</v>
      </c>
      <c r="BZ53" s="25">
        <v>0.57587740974663626</v>
      </c>
      <c r="CA53" s="25">
        <v>0.57575993321345575</v>
      </c>
      <c r="CB53" s="25">
        <v>0.57564379510892327</v>
      </c>
      <c r="CC53" s="25">
        <v>0.57552258975743686</v>
      </c>
      <c r="CD53" s="25">
        <v>0.57538668089188238</v>
      </c>
      <c r="CE53" s="25">
        <v>0.5752326240415403</v>
      </c>
      <c r="CF53" s="25">
        <v>0.57505342071616072</v>
      </c>
      <c r="CG53" s="25">
        <v>0.57484097049630156</v>
      </c>
      <c r="CH53" s="25">
        <v>0.57458418364080965</v>
      </c>
      <c r="CI53" s="25">
        <v>0.57427503550324088</v>
      </c>
      <c r="CJ53" s="25">
        <v>0.57390960153974246</v>
      </c>
      <c r="CK53" s="25">
        <v>0.57348566207348983</v>
      </c>
      <c r="CL53" s="25">
        <v>0.57300058953064437</v>
      </c>
      <c r="CM53" s="25">
        <v>0.57245973500157488</v>
      </c>
      <c r="CN53" s="25">
        <v>0.57187161579723966</v>
      </c>
      <c r="CO53" s="25">
        <v>0.57124265103264082</v>
      </c>
      <c r="CP53" s="25">
        <v>0.57057773869059902</v>
      </c>
      <c r="CQ53" s="25">
        <v>0.56988110331560859</v>
      </c>
      <c r="CR53" s="25">
        <v>0.56917206408887155</v>
      </c>
      <c r="CS53" s="25">
        <v>0.56847409369208246</v>
      </c>
      <c r="CT53" s="25">
        <v>0.56779639936763748</v>
      </c>
      <c r="CU53" s="25">
        <v>0.56714784669728979</v>
      </c>
      <c r="CV53" s="25">
        <v>0.56653455398585717</v>
      </c>
      <c r="CW53" s="25">
        <v>0.5659637839854349</v>
      </c>
      <c r="CX53" s="25">
        <v>0.5654427008017181</v>
      </c>
    </row>
    <row r="54" spans="1:102" s="24" customFormat="1" ht="15" customHeight="1" x14ac:dyDescent="0.2">
      <c r="A54" s="2" t="s">
        <v>142</v>
      </c>
      <c r="B54" s="25">
        <v>0.1776047726808081</v>
      </c>
      <c r="C54" s="25">
        <v>0.17779653084618979</v>
      </c>
      <c r="D54" s="25">
        <v>0.17896718947475271</v>
      </c>
      <c r="E54" s="25">
        <v>0.18067282122629069</v>
      </c>
      <c r="F54" s="25">
        <v>0.18119041741652719</v>
      </c>
      <c r="G54" s="25">
        <v>0.17833597470049689</v>
      </c>
      <c r="H54" s="25">
        <v>0.17751472253916301</v>
      </c>
      <c r="I54" s="25">
        <v>0.18099774829556051</v>
      </c>
      <c r="J54" s="25">
        <v>0.18461705919919591</v>
      </c>
      <c r="K54" s="25">
        <v>0.18835718067776791</v>
      </c>
      <c r="L54" s="25">
        <v>0.1920989196221021</v>
      </c>
      <c r="M54" s="25">
        <v>0.19561271819655621</v>
      </c>
      <c r="N54" s="25">
        <v>0.19901696202935831</v>
      </c>
      <c r="O54" s="25">
        <v>0.2021987819607633</v>
      </c>
      <c r="P54" s="25">
        <v>0.2052600086022956</v>
      </c>
      <c r="Q54" s="25">
        <v>0.2079123114465406</v>
      </c>
      <c r="R54" s="25">
        <v>0.21072209159694411</v>
      </c>
      <c r="S54" s="25">
        <v>0.21297569262159</v>
      </c>
      <c r="T54" s="25">
        <v>0.2147058846683591</v>
      </c>
      <c r="U54" s="25">
        <v>0.2159332366510778</v>
      </c>
      <c r="V54" s="25">
        <v>0.21695182570651969</v>
      </c>
      <c r="W54" s="25">
        <v>0.21772148570704411</v>
      </c>
      <c r="X54" s="25">
        <v>0.21666920007904431</v>
      </c>
      <c r="Y54" s="25">
        <v>0.21218538651033761</v>
      </c>
      <c r="Z54" s="25">
        <v>0.20918266149218051</v>
      </c>
      <c r="AA54" s="25">
        <v>0.21053306448208109</v>
      </c>
      <c r="AB54" s="25">
        <v>0.2123202049806881</v>
      </c>
      <c r="AC54" s="25">
        <v>0.2140649427144129</v>
      </c>
      <c r="AD54" s="25">
        <v>0.21568113382224899</v>
      </c>
      <c r="AE54" s="25">
        <v>0.2173560780860577</v>
      </c>
      <c r="AF54" s="25">
        <v>0.21902774818505061</v>
      </c>
      <c r="AG54" s="25">
        <v>0.22107941021193611</v>
      </c>
      <c r="AH54" s="25">
        <v>0.2232068961756494</v>
      </c>
      <c r="AI54" s="25">
        <v>0.22546134192540071</v>
      </c>
      <c r="AJ54" s="25">
        <v>0.22805481984617851</v>
      </c>
      <c r="AK54" s="25">
        <v>0.23056768454946411</v>
      </c>
      <c r="AL54" s="25">
        <v>0.23323246795277791</v>
      </c>
      <c r="AM54" s="25">
        <v>0.23604414728362999</v>
      </c>
      <c r="AN54" s="25">
        <v>0.238804259814619</v>
      </c>
      <c r="AO54" s="25">
        <v>0.2413322839691098</v>
      </c>
      <c r="AP54" s="25">
        <v>0.24396364514518351</v>
      </c>
      <c r="AQ54" s="25">
        <v>0.24641382499553949</v>
      </c>
      <c r="AR54" s="25">
        <v>0.24882615484847481</v>
      </c>
      <c r="AS54" s="25">
        <v>0.25151124223831578</v>
      </c>
      <c r="AT54" s="25">
        <v>0.2540205024862619</v>
      </c>
      <c r="AU54" s="25">
        <v>0.25653973424136872</v>
      </c>
      <c r="AV54" s="25">
        <v>0.25876356759410929</v>
      </c>
      <c r="AW54" s="25">
        <v>0.26073628245821212</v>
      </c>
      <c r="AX54" s="25">
        <v>0.2626199780081821</v>
      </c>
      <c r="AY54" s="25">
        <v>0.26452587811326977</v>
      </c>
      <c r="AZ54" s="25">
        <v>0.2664802455150323</v>
      </c>
      <c r="BA54" s="25">
        <v>0.26827398844512301</v>
      </c>
      <c r="BB54" s="25">
        <v>0.26994608849244728</v>
      </c>
      <c r="BC54" s="25">
        <v>0.27169563976915861</v>
      </c>
      <c r="BD54" s="25">
        <v>0.27379008214353651</v>
      </c>
      <c r="BE54" s="25">
        <v>0.27572551889790531</v>
      </c>
      <c r="BF54" s="25">
        <v>0.27771126068626029</v>
      </c>
      <c r="BG54" s="25">
        <v>0.27982470381903518</v>
      </c>
      <c r="BH54" s="25">
        <v>0.28191542664262681</v>
      </c>
      <c r="BI54" s="25">
        <v>0.28371377629047367</v>
      </c>
      <c r="BJ54" s="25">
        <v>0.28525063764019642</v>
      </c>
      <c r="BK54" s="25">
        <v>0.28674857823176658</v>
      </c>
      <c r="BL54" s="25">
        <v>0.28835886518243559</v>
      </c>
      <c r="BM54" s="25">
        <v>0.28967824492035199</v>
      </c>
      <c r="BN54" s="25">
        <v>0.29077870776320403</v>
      </c>
      <c r="BO54" s="25">
        <v>0.29178869441326682</v>
      </c>
      <c r="BP54" s="25">
        <v>0.29263388691868458</v>
      </c>
      <c r="BQ54" s="25">
        <v>0.29320129062954031</v>
      </c>
      <c r="BR54" s="25">
        <v>0.29388664797361019</v>
      </c>
      <c r="BS54" s="25">
        <v>0.29408011657315197</v>
      </c>
      <c r="BT54" s="25">
        <v>0.29427603527257878</v>
      </c>
      <c r="BU54" s="25">
        <v>0.29454537795849028</v>
      </c>
      <c r="BV54" s="25">
        <v>0.29486474351232472</v>
      </c>
      <c r="BW54" s="25">
        <v>0.29520955183575343</v>
      </c>
      <c r="BX54" s="25">
        <v>0.29555904981312209</v>
      </c>
      <c r="BY54" s="25">
        <v>0.29590236888308119</v>
      </c>
      <c r="BZ54" s="25">
        <v>0.29623511159975457</v>
      </c>
      <c r="CA54" s="25">
        <v>0.29655321410243968</v>
      </c>
      <c r="CB54" s="25">
        <v>0.29685412606749451</v>
      </c>
      <c r="CC54" s="25">
        <v>0.29714079657379727</v>
      </c>
      <c r="CD54" s="25">
        <v>0.29742014283286</v>
      </c>
      <c r="CE54" s="25">
        <v>0.29769440265849878</v>
      </c>
      <c r="CF54" s="25">
        <v>0.29796992559742008</v>
      </c>
      <c r="CG54" s="25">
        <v>0.29825521274800981</v>
      </c>
      <c r="CH54" s="25">
        <v>0.29856255574474988</v>
      </c>
      <c r="CI54" s="25">
        <v>0.29890191873734839</v>
      </c>
      <c r="CJ54" s="25">
        <v>0.29928035918327778</v>
      </c>
      <c r="CK54" s="25">
        <v>0.29970361149594371</v>
      </c>
      <c r="CL54" s="25">
        <v>0.30017812920251391</v>
      </c>
      <c r="CM54" s="25">
        <v>0.30070253696672328</v>
      </c>
      <c r="CN54" s="25">
        <v>0.30127212928802383</v>
      </c>
      <c r="CO54" s="25">
        <v>0.30188484845452568</v>
      </c>
      <c r="CP54" s="25">
        <v>0.30253918653457113</v>
      </c>
      <c r="CQ54" s="25">
        <v>0.3032342514658401</v>
      </c>
      <c r="CR54" s="25">
        <v>0.30395325446396521</v>
      </c>
      <c r="CS54" s="25">
        <v>0.30467485372439279</v>
      </c>
      <c r="CT54" s="25">
        <v>0.30539127408745148</v>
      </c>
      <c r="CU54" s="25">
        <v>0.30609429263689319</v>
      </c>
      <c r="CV54" s="25">
        <v>0.30677804160215949</v>
      </c>
      <c r="CW54" s="25">
        <v>0.30743462714017339</v>
      </c>
      <c r="CX54" s="25">
        <v>0.30805587163125542</v>
      </c>
    </row>
    <row r="55" spans="1:102" s="24" customFormat="1" ht="15" customHeight="1" x14ac:dyDescent="0.2">
      <c r="A55" s="2" t="s">
        <v>145</v>
      </c>
      <c r="B55" s="29">
        <v>286.99181518937809</v>
      </c>
      <c r="C55" s="29">
        <v>282.28444809431568</v>
      </c>
      <c r="D55" s="29">
        <v>277.23553832110639</v>
      </c>
      <c r="E55" s="29">
        <v>272.92884353751788</v>
      </c>
      <c r="F55" s="29">
        <v>268.19439820863221</v>
      </c>
      <c r="G55" s="29">
        <v>261.98742158381162</v>
      </c>
      <c r="H55" s="29">
        <v>256.79827879546389</v>
      </c>
      <c r="I55" s="29">
        <v>253.8174044882322</v>
      </c>
      <c r="J55" s="29">
        <v>251.32067311734309</v>
      </c>
      <c r="K55" s="29">
        <v>248.87935130237369</v>
      </c>
      <c r="L55" s="29">
        <v>246.16923066694369</v>
      </c>
      <c r="M55" s="29">
        <v>243.89425939104621</v>
      </c>
      <c r="N55" s="29">
        <v>241.98335690647249</v>
      </c>
      <c r="O55" s="29">
        <v>240.16760460064631</v>
      </c>
      <c r="P55" s="29">
        <v>238.64653700368709</v>
      </c>
      <c r="Q55" s="29">
        <v>237.54133397695281</v>
      </c>
      <c r="R55" s="29">
        <v>236.34996524643989</v>
      </c>
      <c r="S55" s="29">
        <v>235.9516888181316</v>
      </c>
      <c r="T55" s="29">
        <v>235.4532919175891</v>
      </c>
      <c r="U55" s="29">
        <v>234.73706695796409</v>
      </c>
      <c r="V55" s="29">
        <v>233.9567968043967</v>
      </c>
      <c r="W55" s="29">
        <v>233.1335599152747</v>
      </c>
      <c r="X55" s="29">
        <v>231.71461863452109</v>
      </c>
      <c r="Y55" s="29">
        <v>229.1474738572573</v>
      </c>
      <c r="Z55" s="29">
        <v>227.2155108052535</v>
      </c>
      <c r="AA55" s="29">
        <v>226.9005918766465</v>
      </c>
      <c r="AB55" s="29">
        <v>226.78863839575669</v>
      </c>
      <c r="AC55" s="29">
        <v>226.67261528179441</v>
      </c>
      <c r="AD55" s="29">
        <v>226.49745290781971</v>
      </c>
      <c r="AE55" s="29">
        <v>226.31441453784521</v>
      </c>
      <c r="AF55" s="29">
        <v>226.087080830313</v>
      </c>
      <c r="AG55" s="29">
        <v>225.930369401099</v>
      </c>
      <c r="AH55" s="29">
        <v>225.71180839247521</v>
      </c>
      <c r="AI55" s="29">
        <v>225.43896832005871</v>
      </c>
      <c r="AJ55" s="29">
        <v>225.1899678878456</v>
      </c>
      <c r="AK55" s="29">
        <v>224.82019063184691</v>
      </c>
      <c r="AL55" s="29">
        <v>224.41373223522879</v>
      </c>
      <c r="AM55" s="29">
        <v>223.9831136369526</v>
      </c>
      <c r="AN55" s="29">
        <v>223.4807997032953</v>
      </c>
      <c r="AO55" s="29">
        <v>222.85832538934201</v>
      </c>
      <c r="AP55" s="29">
        <v>222.25111107530989</v>
      </c>
      <c r="AQ55" s="29">
        <v>221.56637480291761</v>
      </c>
      <c r="AR55" s="29">
        <v>220.88772822403661</v>
      </c>
      <c r="AS55" s="29">
        <v>220.3708925490524</v>
      </c>
      <c r="AT55" s="29">
        <v>219.87487049158059</v>
      </c>
      <c r="AU55" s="29">
        <v>219.48077077764131</v>
      </c>
      <c r="AV55" s="29">
        <v>219.0887187928183</v>
      </c>
      <c r="AW55" s="29">
        <v>218.72521717735731</v>
      </c>
      <c r="AX55" s="29">
        <v>218.45952638001879</v>
      </c>
      <c r="AY55" s="29">
        <v>218.33262874825959</v>
      </c>
      <c r="AZ55" s="29">
        <v>218.3457298127347</v>
      </c>
      <c r="BA55" s="29">
        <v>218.41260322022131</v>
      </c>
      <c r="BB55" s="29">
        <v>218.54135222684809</v>
      </c>
      <c r="BC55" s="29">
        <v>218.79745483128349</v>
      </c>
      <c r="BD55" s="29">
        <v>219.2675394754113</v>
      </c>
      <c r="BE55" s="29">
        <v>219.7546817020357</v>
      </c>
      <c r="BF55" s="29">
        <v>220.32100966178081</v>
      </c>
      <c r="BG55" s="29">
        <v>220.98591385558149</v>
      </c>
      <c r="BH55" s="29">
        <v>221.68427879656639</v>
      </c>
      <c r="BI55" s="29">
        <v>222.29682213305591</v>
      </c>
      <c r="BJ55" s="29">
        <v>222.81785691932339</v>
      </c>
      <c r="BK55" s="29">
        <v>223.3185459520937</v>
      </c>
      <c r="BL55" s="29">
        <v>223.84677571627211</v>
      </c>
      <c r="BM55" s="29">
        <v>224.2387099200019</v>
      </c>
      <c r="BN55" s="29">
        <v>224.51417627570851</v>
      </c>
      <c r="BO55" s="29">
        <v>224.71476395585151</v>
      </c>
      <c r="BP55" s="29">
        <v>224.8080924470334</v>
      </c>
      <c r="BQ55" s="29">
        <v>224.7482450984806</v>
      </c>
      <c r="BR55" s="29">
        <v>224.68960763557661</v>
      </c>
      <c r="BS55" s="29">
        <v>224.3977999270052</v>
      </c>
      <c r="BT55" s="29">
        <v>224.06996691669141</v>
      </c>
      <c r="BU55" s="29">
        <v>223.74040300307229</v>
      </c>
      <c r="BV55" s="29">
        <v>223.40769973913771</v>
      </c>
      <c r="BW55" s="29">
        <v>223.07085801097389</v>
      </c>
      <c r="BX55" s="29">
        <v>222.73205511242139</v>
      </c>
      <c r="BY55" s="29">
        <v>222.39715046881531</v>
      </c>
      <c r="BZ55" s="29">
        <v>222.07413676788369</v>
      </c>
      <c r="CA55" s="29">
        <v>221.77099398260171</v>
      </c>
      <c r="CB55" s="29">
        <v>221.4947505852231</v>
      </c>
      <c r="CC55" s="29">
        <v>221.2538933049245</v>
      </c>
      <c r="CD55" s="29">
        <v>221.05686575521861</v>
      </c>
      <c r="CE55" s="29">
        <v>220.9071043418156</v>
      </c>
      <c r="CF55" s="29">
        <v>220.80844859297571</v>
      </c>
      <c r="CG55" s="29">
        <v>220.7633472021374</v>
      </c>
      <c r="CH55" s="29">
        <v>220.77402098095411</v>
      </c>
      <c r="CI55" s="29">
        <v>220.84025583364411</v>
      </c>
      <c r="CJ55" s="29">
        <v>220.95821177544511</v>
      </c>
      <c r="CK55" s="29">
        <v>221.1227495593711</v>
      </c>
      <c r="CL55" s="29">
        <v>221.32836088480039</v>
      </c>
      <c r="CM55" s="29">
        <v>221.56619981552581</v>
      </c>
      <c r="CN55" s="29">
        <v>221.82645791553711</v>
      </c>
      <c r="CO55" s="29">
        <v>222.09913822695981</v>
      </c>
      <c r="CP55" s="29">
        <v>222.3764899521139</v>
      </c>
      <c r="CQ55" s="29">
        <v>222.6510836739935</v>
      </c>
      <c r="CR55" s="29">
        <v>222.91094284513721</v>
      </c>
      <c r="CS55" s="29">
        <v>223.14306666054401</v>
      </c>
      <c r="CT55" s="29">
        <v>223.34119534069529</v>
      </c>
      <c r="CU55" s="29">
        <v>223.50055881191221</v>
      </c>
      <c r="CV55" s="29">
        <v>223.61814212508901</v>
      </c>
      <c r="CW55" s="29">
        <v>223.69203199342849</v>
      </c>
      <c r="CX55" s="29">
        <v>223.7210373176014</v>
      </c>
    </row>
    <row r="56" spans="1:102" s="24" customFormat="1" ht="32.450000000000003" customHeight="1" x14ac:dyDescent="0.2">
      <c r="A56" s="30" t="s">
        <v>146</v>
      </c>
      <c r="B56" s="29">
        <v>277.93922093136632</v>
      </c>
      <c r="C56" s="29">
        <v>277.28626183471022</v>
      </c>
      <c r="D56" s="29">
        <v>278.40940296206611</v>
      </c>
      <c r="E56" s="29">
        <v>280.69817691933582</v>
      </c>
      <c r="F56" s="29">
        <v>280.63261259317079</v>
      </c>
      <c r="G56" s="29">
        <v>273.90484426512472</v>
      </c>
      <c r="H56" s="29">
        <v>271.25129635976663</v>
      </c>
      <c r="I56" s="29">
        <v>277.09096832623987</v>
      </c>
      <c r="J56" s="29">
        <v>283.32104000017148</v>
      </c>
      <c r="K56" s="29">
        <v>289.82624871175432</v>
      </c>
      <c r="L56" s="29">
        <v>296.30825937929399</v>
      </c>
      <c r="M56" s="29">
        <v>302.49301888891807</v>
      </c>
      <c r="N56" s="29">
        <v>308.59049800703792</v>
      </c>
      <c r="O56" s="29">
        <v>314.31435977716887</v>
      </c>
      <c r="P56" s="29">
        <v>319.90915468270578</v>
      </c>
      <c r="Q56" s="29">
        <v>324.83787208923133</v>
      </c>
      <c r="R56" s="29">
        <v>330.08177202078429</v>
      </c>
      <c r="S56" s="29">
        <v>334.45938645742831</v>
      </c>
      <c r="T56" s="29">
        <v>337.78311441386489</v>
      </c>
      <c r="U56" s="29">
        <v>340.04855676128341</v>
      </c>
      <c r="V56" s="29">
        <v>341.88085573563649</v>
      </c>
      <c r="W56" s="29">
        <v>343.20215349724771</v>
      </c>
      <c r="X56" s="29">
        <v>340.69210756443698</v>
      </c>
      <c r="Y56" s="29">
        <v>331.05140137392158</v>
      </c>
      <c r="Z56" s="29">
        <v>324.61631058711328</v>
      </c>
      <c r="AA56" s="29">
        <v>327.1867760404852</v>
      </c>
      <c r="AB56" s="29">
        <v>330.68261598074918</v>
      </c>
      <c r="AC56" s="29">
        <v>334.10852548879137</v>
      </c>
      <c r="AD56" s="29">
        <v>337.27654998586729</v>
      </c>
      <c r="AE56" s="29">
        <v>340.57236526223852</v>
      </c>
      <c r="AF56" s="29">
        <v>343.86252747002533</v>
      </c>
      <c r="AG56" s="29">
        <v>347.9532658160183</v>
      </c>
      <c r="AH56" s="29">
        <v>352.20102625806862</v>
      </c>
      <c r="AI56" s="29">
        <v>356.71442782718827</v>
      </c>
      <c r="AJ56" s="29">
        <v>361.956372793637</v>
      </c>
      <c r="AK56" s="29">
        <v>367.02897665281762</v>
      </c>
      <c r="AL56" s="29">
        <v>372.43757022683502</v>
      </c>
      <c r="AM56" s="29">
        <v>378.18160476252092</v>
      </c>
      <c r="AN56" s="29">
        <v>383.83350214149658</v>
      </c>
      <c r="AO56" s="29">
        <v>388.99136789528899</v>
      </c>
      <c r="AP56" s="29">
        <v>394.40542035567103</v>
      </c>
      <c r="AQ56" s="29">
        <v>399.43785181481081</v>
      </c>
      <c r="AR56" s="29">
        <v>404.41876521192933</v>
      </c>
      <c r="AS56" s="29">
        <v>410.07563038671839</v>
      </c>
      <c r="AT56" s="29">
        <v>415.39107791220272</v>
      </c>
      <c r="AU56" s="29">
        <v>420.79622443376491</v>
      </c>
      <c r="AV56" s="29">
        <v>425.58046568847328</v>
      </c>
      <c r="AW56" s="29">
        <v>429.8410363240086</v>
      </c>
      <c r="AX56" s="29">
        <v>433.95780259602861</v>
      </c>
      <c r="AY56" s="29">
        <v>438.19421902558241</v>
      </c>
      <c r="AZ56" s="29">
        <v>442.61257753126029</v>
      </c>
      <c r="BA56" s="29">
        <v>446.70874545393929</v>
      </c>
      <c r="BB56" s="29">
        <v>450.5701106657686</v>
      </c>
      <c r="BC56" s="29">
        <v>454.67523239109789</v>
      </c>
      <c r="BD56" s="29">
        <v>459.67887738748999</v>
      </c>
      <c r="BE56" s="29">
        <v>464.35087983313241</v>
      </c>
      <c r="BF56" s="29">
        <v>469.19862873273581</v>
      </c>
      <c r="BG56" s="29">
        <v>474.41508133319758</v>
      </c>
      <c r="BH56" s="29">
        <v>479.6254612033261</v>
      </c>
      <c r="BI56" s="29">
        <v>484.13949015979478</v>
      </c>
      <c r="BJ56" s="29">
        <v>488.01662760835779</v>
      </c>
      <c r="BK56" s="29">
        <v>491.81094221540877</v>
      </c>
      <c r="BL56" s="29">
        <v>495.90594210549392</v>
      </c>
      <c r="BM56" s="29">
        <v>499.26011461301391</v>
      </c>
      <c r="BN56" s="29">
        <v>502.0473210726617</v>
      </c>
      <c r="BO56" s="29">
        <v>504.59223000862602</v>
      </c>
      <c r="BP56" s="29">
        <v>506.69709248714418</v>
      </c>
      <c r="BQ56" s="29">
        <v>508.06228336068239</v>
      </c>
      <c r="BR56" s="29">
        <v>509.71975329916182</v>
      </c>
      <c r="BS56" s="29">
        <v>510.07353127170762</v>
      </c>
      <c r="BT56" s="29">
        <v>510.41834309765841</v>
      </c>
      <c r="BU56" s="29">
        <v>510.94296963073288</v>
      </c>
      <c r="BV56" s="29">
        <v>511.58950609199781</v>
      </c>
      <c r="BW56" s="29">
        <v>512.29723784884061</v>
      </c>
      <c r="BX56" s="29">
        <v>513.01606513534171</v>
      </c>
      <c r="BY56" s="29">
        <v>513.72167232811933</v>
      </c>
      <c r="BZ56" s="29">
        <v>514.40655005044653</v>
      </c>
      <c r="CA56" s="29">
        <v>515.06399975994225</v>
      </c>
      <c r="CB56" s="29">
        <v>515.69065555778946</v>
      </c>
      <c r="CC56" s="29">
        <v>516.2973649722976</v>
      </c>
      <c r="CD56" s="29">
        <v>516.90480977391019</v>
      </c>
      <c r="CE56" s="29">
        <v>517.52002618857182</v>
      </c>
      <c r="CF56" s="29">
        <v>518.16042625454509</v>
      </c>
      <c r="CG56" s="29">
        <v>518.84821725651295</v>
      </c>
      <c r="CH56" s="29">
        <v>519.61499158039931</v>
      </c>
      <c r="CI56" s="29">
        <v>520.48565627690698</v>
      </c>
      <c r="CJ56" s="29">
        <v>521.47648058220045</v>
      </c>
      <c r="CK56" s="29">
        <v>522.60000784036674</v>
      </c>
      <c r="CL56" s="29">
        <v>523.87054164882352</v>
      </c>
      <c r="CM56" s="29">
        <v>525.28155009172133</v>
      </c>
      <c r="CN56" s="29">
        <v>526.81776987309252</v>
      </c>
      <c r="CO56" s="29">
        <v>528.47042830013766</v>
      </c>
      <c r="CP56" s="29">
        <v>530.23307083248426</v>
      </c>
      <c r="CQ56" s="29">
        <v>532.1009061391959</v>
      </c>
      <c r="CR56" s="29">
        <v>534.02700807273868</v>
      </c>
      <c r="CS56" s="29">
        <v>535.9520461972395</v>
      </c>
      <c r="CT56" s="29">
        <v>537.85348837641436</v>
      </c>
      <c r="CU56" s="29">
        <v>539.70811036203816</v>
      </c>
      <c r="CV56" s="29">
        <v>541.4992597429773</v>
      </c>
      <c r="CW56" s="29">
        <v>543.20547681560708</v>
      </c>
      <c r="CX56" s="29">
        <v>544.80475421201049</v>
      </c>
    </row>
    <row r="57" spans="1:102" s="24" customFormat="1" ht="34.35" customHeight="1" x14ac:dyDescent="0.2">
      <c r="A57" s="30" t="s">
        <v>147</v>
      </c>
      <c r="B57" s="29">
        <v>564.93103612074447</v>
      </c>
      <c r="C57" s="29">
        <v>559.57070992902584</v>
      </c>
      <c r="D57" s="29">
        <v>555.64494128317244</v>
      </c>
      <c r="E57" s="29">
        <v>553.62702045685364</v>
      </c>
      <c r="F57" s="29">
        <v>548.827010801803</v>
      </c>
      <c r="G57" s="29">
        <v>535.89226584893629</v>
      </c>
      <c r="H57" s="29">
        <v>528.04957515523051</v>
      </c>
      <c r="I57" s="29">
        <v>530.90837281447216</v>
      </c>
      <c r="J57" s="29">
        <v>534.64171311751466</v>
      </c>
      <c r="K57" s="29">
        <v>538.70560001412809</v>
      </c>
      <c r="L57" s="29">
        <v>542.47749004623779</v>
      </c>
      <c r="M57" s="29">
        <v>546.38727827996433</v>
      </c>
      <c r="N57" s="29">
        <v>550.57385491351033</v>
      </c>
      <c r="O57" s="29">
        <v>554.48196437781507</v>
      </c>
      <c r="P57" s="29">
        <v>558.55569168639295</v>
      </c>
      <c r="Q57" s="29">
        <v>562.37920606618411</v>
      </c>
      <c r="R57" s="29">
        <v>566.43173726722421</v>
      </c>
      <c r="S57" s="29">
        <v>570.41107527555982</v>
      </c>
      <c r="T57" s="29">
        <v>573.23640633145396</v>
      </c>
      <c r="U57" s="29">
        <v>574.7856237192475</v>
      </c>
      <c r="V57" s="29">
        <v>575.8376525400331</v>
      </c>
      <c r="W57" s="29">
        <v>576.33571341252241</v>
      </c>
      <c r="X57" s="29">
        <v>572.40672619895804</v>
      </c>
      <c r="Y57" s="29">
        <v>560.19887523117893</v>
      </c>
      <c r="Z57" s="29">
        <v>551.83182139236692</v>
      </c>
      <c r="AA57" s="29">
        <v>554.0873679171317</v>
      </c>
      <c r="AB57" s="29">
        <v>557.47125437650595</v>
      </c>
      <c r="AC57" s="29">
        <v>560.78114077058581</v>
      </c>
      <c r="AD57" s="29">
        <v>563.774002893687</v>
      </c>
      <c r="AE57" s="29">
        <v>566.88677980008367</v>
      </c>
      <c r="AF57" s="29">
        <v>569.94960830033824</v>
      </c>
      <c r="AG57" s="29">
        <v>573.88363521711733</v>
      </c>
      <c r="AH57" s="29">
        <v>577.9128346505438</v>
      </c>
      <c r="AI57" s="29">
        <v>582.15339614724701</v>
      </c>
      <c r="AJ57" s="29">
        <v>587.14634068148257</v>
      </c>
      <c r="AK57" s="29">
        <v>591.84916728466442</v>
      </c>
      <c r="AL57" s="29">
        <v>596.8513024620637</v>
      </c>
      <c r="AM57" s="29">
        <v>602.16471839947349</v>
      </c>
      <c r="AN57" s="29">
        <v>607.31430184479188</v>
      </c>
      <c r="AO57" s="29">
        <v>611.84969328463103</v>
      </c>
      <c r="AP57" s="29">
        <v>616.65653143098086</v>
      </c>
      <c r="AQ57" s="29">
        <v>621.00422661772836</v>
      </c>
      <c r="AR57" s="29">
        <v>625.30649343596588</v>
      </c>
      <c r="AS57" s="29">
        <v>630.44652293577087</v>
      </c>
      <c r="AT57" s="29">
        <v>635.26594840378334</v>
      </c>
      <c r="AU57" s="29">
        <v>640.27699521140619</v>
      </c>
      <c r="AV57" s="29">
        <v>644.66918448129161</v>
      </c>
      <c r="AW57" s="29">
        <v>648.56625350136596</v>
      </c>
      <c r="AX57" s="29">
        <v>652.41732897604732</v>
      </c>
      <c r="AY57" s="29">
        <v>656.52684777384206</v>
      </c>
      <c r="AZ57" s="29">
        <v>660.95830734399499</v>
      </c>
      <c r="BA57" s="29">
        <v>665.12134867416069</v>
      </c>
      <c r="BB57" s="29">
        <v>669.11146289261671</v>
      </c>
      <c r="BC57" s="29">
        <v>673.47268722238141</v>
      </c>
      <c r="BD57" s="29">
        <v>678.94641686290129</v>
      </c>
      <c r="BE57" s="29">
        <v>684.10556153516814</v>
      </c>
      <c r="BF57" s="29">
        <v>689.51963839451662</v>
      </c>
      <c r="BG57" s="29">
        <v>695.40099518877912</v>
      </c>
      <c r="BH57" s="29">
        <v>701.3097399998926</v>
      </c>
      <c r="BI57" s="29">
        <v>706.43631229285074</v>
      </c>
      <c r="BJ57" s="29">
        <v>710.83448452768118</v>
      </c>
      <c r="BK57" s="29">
        <v>715.12948816750247</v>
      </c>
      <c r="BL57" s="29">
        <v>719.75271782176605</v>
      </c>
      <c r="BM57" s="29">
        <v>723.49882453301575</v>
      </c>
      <c r="BN57" s="29">
        <v>726.56149734837027</v>
      </c>
      <c r="BO57" s="29">
        <v>729.30699396447744</v>
      </c>
      <c r="BP57" s="29">
        <v>731.50518493417758</v>
      </c>
      <c r="BQ57" s="29">
        <v>732.81052845916292</v>
      </c>
      <c r="BR57" s="29">
        <v>734.4093609347384</v>
      </c>
      <c r="BS57" s="29">
        <v>734.47133119871285</v>
      </c>
      <c r="BT57" s="29">
        <v>734.48831001434985</v>
      </c>
      <c r="BU57" s="29">
        <v>734.68337263380522</v>
      </c>
      <c r="BV57" s="29">
        <v>734.99720583113549</v>
      </c>
      <c r="BW57" s="29">
        <v>735.3680958598145</v>
      </c>
      <c r="BX57" s="29">
        <v>735.74812024776315</v>
      </c>
      <c r="BY57" s="29">
        <v>736.11882279693464</v>
      </c>
      <c r="BZ57" s="29">
        <v>736.48068681833024</v>
      </c>
      <c r="CA57" s="29">
        <v>736.83499374254393</v>
      </c>
      <c r="CB57" s="29">
        <v>737.18540614301264</v>
      </c>
      <c r="CC57" s="29">
        <v>737.55125827722213</v>
      </c>
      <c r="CD57" s="29">
        <v>737.9616755291288</v>
      </c>
      <c r="CE57" s="29">
        <v>738.42713053038744</v>
      </c>
      <c r="CF57" s="29">
        <v>738.96887484752085</v>
      </c>
      <c r="CG57" s="29">
        <v>739.61156445865038</v>
      </c>
      <c r="CH57" s="29">
        <v>740.38901256135341</v>
      </c>
      <c r="CI57" s="29">
        <v>741.32591211055114</v>
      </c>
      <c r="CJ57" s="29">
        <v>742.43469235764564</v>
      </c>
      <c r="CK57" s="29">
        <v>743.72275739973782</v>
      </c>
      <c r="CL57" s="29">
        <v>745.19890253362394</v>
      </c>
      <c r="CM57" s="29">
        <v>746.84774990724713</v>
      </c>
      <c r="CN57" s="29">
        <v>748.64422778862956</v>
      </c>
      <c r="CO57" s="29">
        <v>750.56956652709755</v>
      </c>
      <c r="CP57" s="29">
        <v>752.6095607845981</v>
      </c>
      <c r="CQ57" s="29">
        <v>754.75198981318943</v>
      </c>
      <c r="CR57" s="29">
        <v>756.93795091787592</v>
      </c>
      <c r="CS57" s="29">
        <v>759.09511285778353</v>
      </c>
      <c r="CT57" s="29">
        <v>761.19468371710968</v>
      </c>
      <c r="CU57" s="29">
        <v>763.20866917395028</v>
      </c>
      <c r="CV57" s="29">
        <v>765.11740186806628</v>
      </c>
      <c r="CW57" s="29">
        <v>766.89750880903557</v>
      </c>
      <c r="CX57" s="29">
        <v>768.52579152961187</v>
      </c>
    </row>
  </sheetData>
  <pageMargins left="0.7" right="0.7" top="0.75" bottom="0.75" header="0.3" footer="0.3"/>
  <pageSetup paperSize="9" orientation="portrait" horizontalDpi="300" verticalDpi="0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C985-1745-4A3E-9D14-750DE133D2F0}">
  <dimension ref="A1:CY83"/>
  <sheetViews>
    <sheetView showGridLines="0" zoomScale="85" zoomScaleNormal="85" workbookViewId="0">
      <pane xSplit="2" topLeftCell="Y1" activePane="topRight" state="frozen"/>
      <selection pane="topRight"/>
    </sheetView>
  </sheetViews>
  <sheetFormatPr defaultColWidth="0" defaultRowHeight="14.25" zeroHeight="1" x14ac:dyDescent="0.2"/>
  <cols>
    <col min="1" max="1" width="11.77734375" style="36" customWidth="1"/>
    <col min="2" max="2" width="12.33203125" style="36" customWidth="1"/>
    <col min="3" max="27" width="8.6640625" style="36" customWidth="1"/>
    <col min="28" max="102" width="8.6640625" style="31" customWidth="1"/>
    <col min="103" max="103" width="7.109375" style="31" hidden="1" customWidth="1"/>
    <col min="104" max="16384" width="7.109375" style="31" hidden="1"/>
  </cols>
  <sheetData>
    <row r="1" spans="1:103" ht="15" x14ac:dyDescent="0.25">
      <c r="A1" s="35" t="s">
        <v>181</v>
      </c>
      <c r="L1" s="37"/>
      <c r="V1" s="37"/>
    </row>
    <row r="2" spans="1:103" ht="15" x14ac:dyDescent="0.25">
      <c r="A2" s="38" t="s">
        <v>1</v>
      </c>
      <c r="B2" s="39"/>
      <c r="C2" s="40">
        <v>2012</v>
      </c>
      <c r="D2" s="40"/>
      <c r="E2" s="40">
        <v>2012</v>
      </c>
      <c r="F2" s="39"/>
      <c r="G2" s="39"/>
      <c r="H2" s="39"/>
      <c r="I2" s="39"/>
      <c r="J2" s="41"/>
      <c r="K2" s="41"/>
      <c r="L2" s="41" t="s">
        <v>182</v>
      </c>
      <c r="M2" s="42"/>
      <c r="N2" s="42"/>
      <c r="O2" s="39"/>
      <c r="P2" s="39"/>
      <c r="Q2" s="39"/>
      <c r="R2" s="35"/>
      <c r="S2" s="39"/>
      <c r="T2" s="39"/>
      <c r="U2" s="39"/>
      <c r="V2" s="43"/>
      <c r="W2" s="39"/>
      <c r="X2" s="42"/>
      <c r="Y2" s="39"/>
      <c r="Z2" s="39"/>
      <c r="AA2" s="39"/>
    </row>
    <row r="3" spans="1:103" ht="15" x14ac:dyDescent="0.25">
      <c r="A3" s="35" t="s">
        <v>183</v>
      </c>
      <c r="B3" s="35"/>
      <c r="C3" s="40"/>
      <c r="D3" s="39"/>
      <c r="E3" s="39"/>
      <c r="F3" s="39"/>
      <c r="G3" s="39"/>
      <c r="H3" s="39"/>
      <c r="I3" s="42"/>
      <c r="J3" s="39"/>
      <c r="K3" s="39"/>
      <c r="L3" s="44" t="s">
        <v>2</v>
      </c>
      <c r="M3" s="39"/>
      <c r="N3" s="39"/>
      <c r="O3" s="39"/>
      <c r="P3" s="39"/>
      <c r="Q3" s="39"/>
      <c r="R3" s="39"/>
      <c r="S3" s="39"/>
      <c r="T3" s="39"/>
      <c r="U3" s="39"/>
      <c r="V3" s="43"/>
      <c r="W3" s="39"/>
      <c r="X3" s="39"/>
      <c r="Y3" s="39"/>
      <c r="Z3" s="39"/>
      <c r="AA3" s="39"/>
    </row>
    <row r="4" spans="1:103" ht="15" x14ac:dyDescent="0.25">
      <c r="A4" s="45"/>
      <c r="B4" s="46"/>
      <c r="C4" s="35" t="s">
        <v>184</v>
      </c>
      <c r="D4" s="46"/>
      <c r="E4" s="46"/>
      <c r="F4" s="46"/>
      <c r="G4" s="46"/>
      <c r="H4" s="46"/>
      <c r="I4" s="47"/>
      <c r="J4" s="46"/>
      <c r="K4" s="46"/>
      <c r="M4" s="39"/>
      <c r="S4" s="48"/>
      <c r="W4" s="39"/>
    </row>
    <row r="5" spans="1:103" ht="14.45" customHeight="1" thickBot="1" x14ac:dyDescent="0.3">
      <c r="A5" s="49"/>
      <c r="B5" s="50"/>
      <c r="C5" s="51" t="s">
        <v>185</v>
      </c>
      <c r="D5" s="49"/>
      <c r="E5" s="50"/>
      <c r="F5" s="50"/>
      <c r="G5" s="50"/>
      <c r="H5" s="50"/>
      <c r="I5" s="50"/>
      <c r="J5" s="50"/>
      <c r="K5" s="50"/>
      <c r="L5" s="52"/>
      <c r="M5" s="53"/>
      <c r="N5" s="53"/>
      <c r="O5" s="52"/>
      <c r="P5" s="52"/>
      <c r="Q5" s="52"/>
      <c r="R5" s="52"/>
      <c r="S5" s="52"/>
      <c r="T5" s="52"/>
      <c r="U5" s="52"/>
      <c r="V5" s="52"/>
      <c r="W5" s="53"/>
      <c r="X5" s="53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</row>
    <row r="6" spans="1:103" ht="23.25" customHeight="1" x14ac:dyDescent="0.2">
      <c r="C6" s="54" t="s">
        <v>170</v>
      </c>
      <c r="D6" s="54" t="s">
        <v>128</v>
      </c>
      <c r="E6" s="54" t="s">
        <v>8</v>
      </c>
      <c r="F6" s="54" t="s">
        <v>9</v>
      </c>
      <c r="G6" s="54" t="s">
        <v>10</v>
      </c>
      <c r="H6" s="54" t="s">
        <v>11</v>
      </c>
      <c r="I6" s="54" t="s">
        <v>12</v>
      </c>
      <c r="J6" s="54" t="s">
        <v>13</v>
      </c>
      <c r="K6" s="54" t="s">
        <v>14</v>
      </c>
      <c r="L6" s="54" t="s">
        <v>15</v>
      </c>
      <c r="M6" s="54" t="s">
        <v>16</v>
      </c>
      <c r="N6" s="54" t="s">
        <v>17</v>
      </c>
      <c r="O6" s="54" t="s">
        <v>18</v>
      </c>
      <c r="P6" s="54" t="s">
        <v>19</v>
      </c>
      <c r="Q6" s="54" t="s">
        <v>20</v>
      </c>
      <c r="R6" s="54" t="s">
        <v>21</v>
      </c>
      <c r="S6" s="54" t="s">
        <v>22</v>
      </c>
      <c r="T6" s="54" t="s">
        <v>23</v>
      </c>
      <c r="U6" s="54" t="s">
        <v>24</v>
      </c>
      <c r="V6" s="54" t="s">
        <v>25</v>
      </c>
      <c r="W6" s="54" t="s">
        <v>26</v>
      </c>
      <c r="X6" s="54" t="s">
        <v>27</v>
      </c>
      <c r="Y6" s="54" t="s">
        <v>28</v>
      </c>
      <c r="Z6" s="54" t="s">
        <v>29</v>
      </c>
      <c r="AA6" s="54" t="s">
        <v>30</v>
      </c>
      <c r="AB6" s="54" t="s">
        <v>31</v>
      </c>
      <c r="AC6" s="54" t="s">
        <v>32</v>
      </c>
      <c r="AD6" s="54" t="s">
        <v>33</v>
      </c>
      <c r="AE6" s="54" t="s">
        <v>34</v>
      </c>
      <c r="AF6" s="54" t="s">
        <v>35</v>
      </c>
      <c r="AG6" s="54" t="s">
        <v>36</v>
      </c>
      <c r="AH6" s="54" t="s">
        <v>37</v>
      </c>
      <c r="AI6" s="54" t="s">
        <v>38</v>
      </c>
      <c r="AJ6" s="54" t="s">
        <v>39</v>
      </c>
      <c r="AK6" s="54" t="s">
        <v>40</v>
      </c>
      <c r="AL6" s="54" t="s">
        <v>41</v>
      </c>
      <c r="AM6" s="54" t="s">
        <v>42</v>
      </c>
      <c r="AN6" s="54" t="s">
        <v>43</v>
      </c>
      <c r="AO6" s="54" t="s">
        <v>44</v>
      </c>
      <c r="AP6" s="54" t="s">
        <v>45</v>
      </c>
      <c r="AQ6" s="54" t="s">
        <v>46</v>
      </c>
      <c r="AR6" s="54" t="s">
        <v>47</v>
      </c>
      <c r="AS6" s="54" t="s">
        <v>48</v>
      </c>
      <c r="AT6" s="54" t="s">
        <v>49</v>
      </c>
      <c r="AU6" s="54" t="s">
        <v>50</v>
      </c>
      <c r="AV6" s="54" t="s">
        <v>51</v>
      </c>
      <c r="AW6" s="54" t="s">
        <v>52</v>
      </c>
      <c r="AX6" s="54" t="s">
        <v>53</v>
      </c>
      <c r="AY6" s="54" t="s">
        <v>54</v>
      </c>
      <c r="AZ6" s="54" t="s">
        <v>55</v>
      </c>
      <c r="BA6" s="54" t="s">
        <v>56</v>
      </c>
      <c r="BB6" s="54" t="s">
        <v>57</v>
      </c>
      <c r="BC6" s="54" t="s">
        <v>58</v>
      </c>
      <c r="BD6" s="54" t="s">
        <v>59</v>
      </c>
      <c r="BE6" s="54" t="s">
        <v>60</v>
      </c>
      <c r="BF6" s="54" t="s">
        <v>61</v>
      </c>
      <c r="BG6" s="54" t="s">
        <v>62</v>
      </c>
      <c r="BH6" s="54" t="s">
        <v>63</v>
      </c>
      <c r="BI6" s="54" t="s">
        <v>64</v>
      </c>
      <c r="BJ6" s="54" t="s">
        <v>65</v>
      </c>
      <c r="BK6" s="54" t="s">
        <v>66</v>
      </c>
      <c r="BL6" s="54" t="s">
        <v>67</v>
      </c>
      <c r="BM6" s="54" t="s">
        <v>68</v>
      </c>
      <c r="BN6" s="54" t="s">
        <v>69</v>
      </c>
      <c r="BO6" s="54" t="s">
        <v>70</v>
      </c>
      <c r="BP6" s="54" t="s">
        <v>71</v>
      </c>
      <c r="BQ6" s="54" t="s">
        <v>72</v>
      </c>
      <c r="BR6" s="54" t="s">
        <v>73</v>
      </c>
      <c r="BS6" s="54" t="s">
        <v>74</v>
      </c>
      <c r="BT6" s="54" t="s">
        <v>75</v>
      </c>
      <c r="BU6" s="54" t="s">
        <v>76</v>
      </c>
      <c r="BV6" s="54" t="s">
        <v>77</v>
      </c>
      <c r="BW6" s="54" t="s">
        <v>78</v>
      </c>
      <c r="BX6" s="54" t="s">
        <v>79</v>
      </c>
      <c r="BY6" s="54" t="s">
        <v>80</v>
      </c>
      <c r="BZ6" s="54" t="s">
        <v>81</v>
      </c>
      <c r="CA6" s="54" t="s">
        <v>82</v>
      </c>
      <c r="CB6" s="54" t="s">
        <v>83</v>
      </c>
      <c r="CC6" s="54" t="s">
        <v>84</v>
      </c>
      <c r="CD6" s="54" t="s">
        <v>85</v>
      </c>
      <c r="CE6" s="54" t="s">
        <v>86</v>
      </c>
      <c r="CF6" s="54" t="s">
        <v>87</v>
      </c>
      <c r="CG6" s="54" t="s">
        <v>88</v>
      </c>
      <c r="CH6" s="54" t="s">
        <v>89</v>
      </c>
      <c r="CI6" s="54" t="s">
        <v>90</v>
      </c>
      <c r="CJ6" s="54" t="s">
        <v>91</v>
      </c>
      <c r="CK6" s="54" t="s">
        <v>92</v>
      </c>
      <c r="CL6" s="54" t="s">
        <v>93</v>
      </c>
      <c r="CM6" s="54" t="s">
        <v>94</v>
      </c>
      <c r="CN6" s="54" t="s">
        <v>95</v>
      </c>
      <c r="CO6" s="54" t="s">
        <v>96</v>
      </c>
      <c r="CP6" s="54" t="s">
        <v>97</v>
      </c>
      <c r="CQ6" s="54" t="s">
        <v>98</v>
      </c>
      <c r="CR6" s="54" t="s">
        <v>99</v>
      </c>
      <c r="CS6" s="54" t="s">
        <v>100</v>
      </c>
      <c r="CT6" s="54" t="s">
        <v>101</v>
      </c>
      <c r="CU6" s="54" t="s">
        <v>102</v>
      </c>
      <c r="CV6" s="54" t="s">
        <v>103</v>
      </c>
      <c r="CW6" s="54" t="s">
        <v>104</v>
      </c>
      <c r="CX6" s="54" t="s">
        <v>105</v>
      </c>
    </row>
    <row r="7" spans="1:103" x14ac:dyDescent="0.2">
      <c r="C7" s="54" t="s">
        <v>186</v>
      </c>
      <c r="D7" s="54" t="s">
        <v>187</v>
      </c>
      <c r="E7" s="54" t="s">
        <v>188</v>
      </c>
      <c r="F7" s="54" t="s">
        <v>189</v>
      </c>
      <c r="G7" s="54" t="s">
        <v>190</v>
      </c>
      <c r="H7" s="54" t="s">
        <v>191</v>
      </c>
      <c r="I7" s="54" t="s">
        <v>192</v>
      </c>
      <c r="J7" s="54" t="s">
        <v>193</v>
      </c>
      <c r="K7" s="54" t="s">
        <v>194</v>
      </c>
      <c r="L7" s="54" t="s">
        <v>195</v>
      </c>
      <c r="M7" s="54" t="s">
        <v>196</v>
      </c>
      <c r="N7" s="54" t="s">
        <v>197</v>
      </c>
      <c r="O7" s="54" t="s">
        <v>198</v>
      </c>
      <c r="P7" s="54" t="s">
        <v>199</v>
      </c>
      <c r="Q7" s="54" t="s">
        <v>200</v>
      </c>
      <c r="R7" s="54" t="s">
        <v>201</v>
      </c>
      <c r="S7" s="54" t="s">
        <v>202</v>
      </c>
      <c r="T7" s="54" t="s">
        <v>203</v>
      </c>
      <c r="U7" s="54" t="s">
        <v>204</v>
      </c>
      <c r="V7" s="54" t="s">
        <v>205</v>
      </c>
      <c r="W7" s="54" t="s">
        <v>206</v>
      </c>
      <c r="X7" s="54" t="s">
        <v>207</v>
      </c>
      <c r="Y7" s="54" t="s">
        <v>208</v>
      </c>
      <c r="Z7" s="54" t="s">
        <v>209</v>
      </c>
      <c r="AA7" s="54" t="s">
        <v>210</v>
      </c>
      <c r="AB7" s="54" t="s">
        <v>211</v>
      </c>
      <c r="AC7" s="54" t="s">
        <v>212</v>
      </c>
      <c r="AD7" s="54" t="s">
        <v>213</v>
      </c>
      <c r="AE7" s="54" t="s">
        <v>214</v>
      </c>
      <c r="AF7" s="54" t="s">
        <v>215</v>
      </c>
      <c r="AG7" s="54" t="s">
        <v>216</v>
      </c>
      <c r="AH7" s="54" t="s">
        <v>217</v>
      </c>
      <c r="AI7" s="54" t="s">
        <v>218</v>
      </c>
      <c r="AJ7" s="54" t="s">
        <v>219</v>
      </c>
      <c r="AK7" s="54" t="s">
        <v>220</v>
      </c>
      <c r="AL7" s="54" t="s">
        <v>221</v>
      </c>
      <c r="AM7" s="54" t="s">
        <v>222</v>
      </c>
      <c r="AN7" s="54" t="s">
        <v>223</v>
      </c>
      <c r="AO7" s="54" t="s">
        <v>224</v>
      </c>
      <c r="AP7" s="54" t="s">
        <v>225</v>
      </c>
      <c r="AQ7" s="54" t="s">
        <v>226</v>
      </c>
      <c r="AR7" s="54" t="s">
        <v>227</v>
      </c>
      <c r="AS7" s="54" t="s">
        <v>228</v>
      </c>
      <c r="AT7" s="54" t="s">
        <v>229</v>
      </c>
      <c r="AU7" s="54" t="s">
        <v>230</v>
      </c>
      <c r="AV7" s="54" t="s">
        <v>231</v>
      </c>
      <c r="AW7" s="54" t="s">
        <v>232</v>
      </c>
      <c r="AX7" s="54" t="s">
        <v>233</v>
      </c>
      <c r="AY7" s="54" t="s">
        <v>234</v>
      </c>
      <c r="AZ7" s="54" t="s">
        <v>235</v>
      </c>
      <c r="BA7" s="54" t="s">
        <v>236</v>
      </c>
      <c r="BB7" s="54" t="s">
        <v>237</v>
      </c>
      <c r="BC7" s="54" t="s">
        <v>238</v>
      </c>
      <c r="BD7" s="54" t="s">
        <v>239</v>
      </c>
      <c r="BE7" s="54" t="s">
        <v>240</v>
      </c>
      <c r="BF7" s="54" t="s">
        <v>241</v>
      </c>
      <c r="BG7" s="54" t="s">
        <v>242</v>
      </c>
      <c r="BH7" s="54" t="s">
        <v>243</v>
      </c>
      <c r="BI7" s="54" t="s">
        <v>244</v>
      </c>
      <c r="BJ7" s="54" t="s">
        <v>245</v>
      </c>
      <c r="BK7" s="54" t="s">
        <v>246</v>
      </c>
      <c r="BL7" s="54" t="s">
        <v>247</v>
      </c>
      <c r="BM7" s="54" t="s">
        <v>248</v>
      </c>
      <c r="BN7" s="54" t="s">
        <v>249</v>
      </c>
      <c r="BO7" s="54" t="s">
        <v>250</v>
      </c>
      <c r="BP7" s="54" t="s">
        <v>251</v>
      </c>
      <c r="BQ7" s="54" t="s">
        <v>252</v>
      </c>
      <c r="BR7" s="54" t="s">
        <v>253</v>
      </c>
      <c r="BS7" s="54" t="s">
        <v>254</v>
      </c>
      <c r="BT7" s="54" t="s">
        <v>255</v>
      </c>
      <c r="BU7" s="54" t="s">
        <v>256</v>
      </c>
      <c r="BV7" s="54" t="s">
        <v>257</v>
      </c>
      <c r="BW7" s="54" t="s">
        <v>258</v>
      </c>
      <c r="BX7" s="54" t="s">
        <v>259</v>
      </c>
      <c r="BY7" s="54" t="s">
        <v>260</v>
      </c>
      <c r="BZ7" s="54" t="s">
        <v>261</v>
      </c>
      <c r="CA7" s="54" t="s">
        <v>262</v>
      </c>
      <c r="CB7" s="54" t="s">
        <v>263</v>
      </c>
      <c r="CC7" s="54" t="s">
        <v>264</v>
      </c>
      <c r="CD7" s="54" t="s">
        <v>265</v>
      </c>
      <c r="CE7" s="54" t="s">
        <v>266</v>
      </c>
      <c r="CF7" s="54" t="s">
        <v>267</v>
      </c>
      <c r="CG7" s="54" t="s">
        <v>268</v>
      </c>
      <c r="CH7" s="54" t="s">
        <v>269</v>
      </c>
      <c r="CI7" s="54" t="s">
        <v>270</v>
      </c>
      <c r="CJ7" s="54" t="s">
        <v>271</v>
      </c>
      <c r="CK7" s="54" t="s">
        <v>272</v>
      </c>
      <c r="CL7" s="54" t="s">
        <v>273</v>
      </c>
      <c r="CM7" s="54" t="s">
        <v>274</v>
      </c>
      <c r="CN7" s="54" t="s">
        <v>275</v>
      </c>
      <c r="CO7" s="54" t="s">
        <v>276</v>
      </c>
      <c r="CP7" s="54" t="s">
        <v>277</v>
      </c>
      <c r="CQ7" s="54" t="s">
        <v>278</v>
      </c>
      <c r="CR7" s="54" t="s">
        <v>279</v>
      </c>
      <c r="CS7" s="54" t="s">
        <v>280</v>
      </c>
      <c r="CT7" s="54" t="s">
        <v>281</v>
      </c>
      <c r="CU7" s="54" t="s">
        <v>282</v>
      </c>
      <c r="CV7" s="54" t="s">
        <v>283</v>
      </c>
      <c r="CW7" s="54" t="s">
        <v>284</v>
      </c>
      <c r="CX7" s="54" t="s">
        <v>285</v>
      </c>
    </row>
    <row r="8" spans="1:103" x14ac:dyDescent="0.2">
      <c r="C8" s="55" t="s">
        <v>286</v>
      </c>
      <c r="D8" s="55" t="s">
        <v>286</v>
      </c>
      <c r="E8" s="55" t="s">
        <v>286</v>
      </c>
      <c r="F8" s="55" t="s">
        <v>286</v>
      </c>
      <c r="G8" s="55" t="s">
        <v>286</v>
      </c>
      <c r="H8" s="55" t="s">
        <v>286</v>
      </c>
      <c r="I8" s="55" t="s">
        <v>286</v>
      </c>
      <c r="J8" s="55" t="s">
        <v>286</v>
      </c>
      <c r="K8" s="55" t="s">
        <v>286</v>
      </c>
      <c r="L8" s="55" t="s">
        <v>286</v>
      </c>
      <c r="M8" s="55" t="s">
        <v>286</v>
      </c>
      <c r="N8" s="55" t="s">
        <v>286</v>
      </c>
      <c r="O8" s="55" t="s">
        <v>286</v>
      </c>
      <c r="P8" s="55" t="s">
        <v>286</v>
      </c>
      <c r="Q8" s="55" t="s">
        <v>286</v>
      </c>
      <c r="R8" s="55" t="s">
        <v>286</v>
      </c>
      <c r="S8" s="55" t="s">
        <v>286</v>
      </c>
      <c r="T8" s="55" t="s">
        <v>286</v>
      </c>
      <c r="U8" s="55" t="s">
        <v>286</v>
      </c>
      <c r="V8" s="55" t="s">
        <v>286</v>
      </c>
      <c r="W8" s="55" t="s">
        <v>286</v>
      </c>
      <c r="X8" s="55" t="s">
        <v>286</v>
      </c>
      <c r="Y8" s="55" t="s">
        <v>286</v>
      </c>
      <c r="Z8" s="55" t="s">
        <v>286</v>
      </c>
      <c r="AA8" s="55" t="s">
        <v>286</v>
      </c>
      <c r="AB8" s="55" t="s">
        <v>286</v>
      </c>
      <c r="AC8" s="55" t="s">
        <v>286</v>
      </c>
      <c r="AD8" s="55" t="s">
        <v>286</v>
      </c>
      <c r="AE8" s="55" t="s">
        <v>286</v>
      </c>
      <c r="AF8" s="55" t="s">
        <v>286</v>
      </c>
      <c r="AG8" s="55" t="s">
        <v>286</v>
      </c>
      <c r="AH8" s="55" t="s">
        <v>286</v>
      </c>
      <c r="AI8" s="55" t="s">
        <v>286</v>
      </c>
      <c r="AJ8" s="55" t="s">
        <v>286</v>
      </c>
      <c r="AK8" s="55" t="s">
        <v>286</v>
      </c>
      <c r="AL8" s="55" t="s">
        <v>286</v>
      </c>
      <c r="AM8" s="55" t="s">
        <v>286</v>
      </c>
      <c r="AN8" s="55" t="s">
        <v>286</v>
      </c>
      <c r="AO8" s="55" t="s">
        <v>286</v>
      </c>
      <c r="AP8" s="55" t="s">
        <v>286</v>
      </c>
      <c r="AQ8" s="55" t="s">
        <v>286</v>
      </c>
      <c r="AR8" s="55" t="s">
        <v>286</v>
      </c>
      <c r="AS8" s="55" t="s">
        <v>286</v>
      </c>
      <c r="AT8" s="55" t="s">
        <v>286</v>
      </c>
      <c r="AU8" s="55" t="s">
        <v>286</v>
      </c>
      <c r="AV8" s="55" t="s">
        <v>286</v>
      </c>
      <c r="AW8" s="55" t="s">
        <v>286</v>
      </c>
      <c r="AX8" s="55" t="s">
        <v>286</v>
      </c>
      <c r="AY8" s="55" t="s">
        <v>286</v>
      </c>
      <c r="AZ8" s="55" t="s">
        <v>286</v>
      </c>
      <c r="BA8" s="55" t="s">
        <v>286</v>
      </c>
      <c r="BB8" s="55" t="s">
        <v>286</v>
      </c>
      <c r="BC8" s="55" t="s">
        <v>286</v>
      </c>
      <c r="BD8" s="55" t="s">
        <v>286</v>
      </c>
      <c r="BE8" s="55" t="s">
        <v>286</v>
      </c>
      <c r="BF8" s="55" t="s">
        <v>286</v>
      </c>
      <c r="BG8" s="55" t="s">
        <v>286</v>
      </c>
      <c r="BH8" s="55" t="s">
        <v>286</v>
      </c>
      <c r="BI8" s="55" t="s">
        <v>286</v>
      </c>
      <c r="BJ8" s="55" t="s">
        <v>286</v>
      </c>
      <c r="BK8" s="55" t="s">
        <v>286</v>
      </c>
      <c r="BL8" s="55" t="s">
        <v>286</v>
      </c>
      <c r="BM8" s="55" t="s">
        <v>286</v>
      </c>
      <c r="BN8" s="55" t="s">
        <v>286</v>
      </c>
      <c r="BO8" s="55" t="s">
        <v>286</v>
      </c>
      <c r="BP8" s="55" t="s">
        <v>286</v>
      </c>
      <c r="BQ8" s="55" t="s">
        <v>286</v>
      </c>
      <c r="BR8" s="55" t="s">
        <v>286</v>
      </c>
      <c r="BS8" s="55" t="s">
        <v>286</v>
      </c>
      <c r="BT8" s="55" t="s">
        <v>286</v>
      </c>
      <c r="BU8" s="55" t="s">
        <v>286</v>
      </c>
      <c r="BV8" s="55" t="s">
        <v>286</v>
      </c>
      <c r="BW8" s="55" t="s">
        <v>286</v>
      </c>
      <c r="BX8" s="55" t="s">
        <v>286</v>
      </c>
      <c r="BY8" s="55" t="s">
        <v>286</v>
      </c>
      <c r="BZ8" s="55" t="s">
        <v>286</v>
      </c>
      <c r="CA8" s="55" t="s">
        <v>286</v>
      </c>
      <c r="CB8" s="55" t="s">
        <v>286</v>
      </c>
      <c r="CC8" s="55" t="s">
        <v>286</v>
      </c>
      <c r="CD8" s="55" t="s">
        <v>286</v>
      </c>
      <c r="CE8" s="55" t="s">
        <v>286</v>
      </c>
      <c r="CF8" s="55" t="s">
        <v>286</v>
      </c>
      <c r="CG8" s="55" t="s">
        <v>286</v>
      </c>
      <c r="CH8" s="55" t="s">
        <v>286</v>
      </c>
      <c r="CI8" s="55" t="s">
        <v>286</v>
      </c>
      <c r="CJ8" s="55" t="s">
        <v>286</v>
      </c>
      <c r="CK8" s="55" t="s">
        <v>286</v>
      </c>
      <c r="CL8" s="55" t="s">
        <v>286</v>
      </c>
      <c r="CM8" s="55" t="s">
        <v>286</v>
      </c>
      <c r="CN8" s="55" t="s">
        <v>286</v>
      </c>
      <c r="CO8" s="55" t="s">
        <v>286</v>
      </c>
      <c r="CP8" s="55" t="s">
        <v>286</v>
      </c>
      <c r="CQ8" s="55" t="s">
        <v>286</v>
      </c>
      <c r="CR8" s="55" t="s">
        <v>286</v>
      </c>
      <c r="CS8" s="55" t="s">
        <v>286</v>
      </c>
      <c r="CT8" s="55" t="s">
        <v>286</v>
      </c>
      <c r="CU8" s="55" t="s">
        <v>286</v>
      </c>
      <c r="CV8" s="55" t="s">
        <v>286</v>
      </c>
      <c r="CW8" s="55" t="s">
        <v>286</v>
      </c>
      <c r="CX8" s="55" t="s">
        <v>286</v>
      </c>
    </row>
    <row r="9" spans="1:103" x14ac:dyDescent="0.2">
      <c r="A9" s="56" t="s">
        <v>108</v>
      </c>
      <c r="C9" s="10"/>
      <c r="D9" s="10">
        <v>67679.186000000002</v>
      </c>
      <c r="E9" s="10">
        <v>68350.236000000004</v>
      </c>
      <c r="F9" s="10">
        <v>69025.202999999994</v>
      </c>
      <c r="G9" s="10">
        <v>69630.376000000004</v>
      </c>
      <c r="H9" s="10">
        <v>70160.187000000005</v>
      </c>
      <c r="I9" s="10">
        <v>70612.832999999999</v>
      </c>
      <c r="J9" s="10">
        <v>70985.959000000003</v>
      </c>
      <c r="K9" s="10">
        <v>71350.150999999998</v>
      </c>
      <c r="L9" s="10">
        <v>71705.282000000007</v>
      </c>
      <c r="M9" s="10">
        <v>72051.457999999999</v>
      </c>
      <c r="N9" s="10">
        <v>72388.987999999998</v>
      </c>
      <c r="O9" s="10">
        <v>72717.937000000005</v>
      </c>
      <c r="P9" s="10">
        <v>73038.608999999997</v>
      </c>
      <c r="Q9" s="10">
        <v>73351.615000000005</v>
      </c>
      <c r="R9" s="10">
        <v>73658.794999999998</v>
      </c>
      <c r="S9" s="10">
        <v>73962.122000000003</v>
      </c>
      <c r="T9" s="10">
        <v>74262.407999999996</v>
      </c>
      <c r="U9" s="10">
        <v>74560.210999999996</v>
      </c>
      <c r="V9" s="10">
        <v>74855.850000000006</v>
      </c>
      <c r="W9" s="10">
        <v>75148.910999999993</v>
      </c>
      <c r="X9" s="10">
        <v>75438.895000000004</v>
      </c>
      <c r="Y9" s="10">
        <v>75725.756999999998</v>
      </c>
      <c r="Z9" s="10">
        <v>76009.334000000003</v>
      </c>
      <c r="AA9" s="10">
        <v>76288.178</v>
      </c>
      <c r="AB9" s="10">
        <v>76560.630999999994</v>
      </c>
      <c r="AC9" s="10">
        <v>76826.213000000003</v>
      </c>
      <c r="AD9" s="10">
        <v>77084.490999999995</v>
      </c>
      <c r="AE9" s="10">
        <v>77334.960999999996</v>
      </c>
      <c r="AF9" s="10">
        <v>77577.467000000004</v>
      </c>
      <c r="AG9" s="10">
        <v>77812.180999999997</v>
      </c>
      <c r="AH9" s="10">
        <v>78039.347999999998</v>
      </c>
      <c r="AI9" s="10">
        <v>78259.293999999994</v>
      </c>
      <c r="AJ9" s="10">
        <v>78472.657000000007</v>
      </c>
      <c r="AK9" s="10">
        <v>78680.452999999994</v>
      </c>
      <c r="AL9" s="10">
        <v>78883.740999999995</v>
      </c>
      <c r="AM9" s="10">
        <v>79083.702000000005</v>
      </c>
      <c r="AN9" s="10">
        <v>79281.149999999994</v>
      </c>
      <c r="AO9" s="10">
        <v>79477.08</v>
      </c>
      <c r="AP9" s="10">
        <v>79672.490999999995</v>
      </c>
      <c r="AQ9" s="10">
        <v>79867.987999999998</v>
      </c>
      <c r="AR9" s="10">
        <v>80064.118000000002</v>
      </c>
      <c r="AS9" s="10">
        <v>80261.16</v>
      </c>
      <c r="AT9" s="10">
        <v>80459.377999999997</v>
      </c>
      <c r="AU9" s="10">
        <v>80659.070999999996</v>
      </c>
      <c r="AV9" s="10">
        <v>80859.998000000007</v>
      </c>
      <c r="AW9" s="10">
        <v>81061.771999999997</v>
      </c>
      <c r="AX9" s="10">
        <v>81263.926999999996</v>
      </c>
      <c r="AY9" s="10">
        <v>81465.839000000007</v>
      </c>
      <c r="AZ9" s="10">
        <v>81666.879000000001</v>
      </c>
      <c r="BA9" s="10">
        <v>81866.259000000005</v>
      </c>
      <c r="BB9" s="10">
        <v>82063.118000000002</v>
      </c>
      <c r="BC9" s="10">
        <v>82256.657000000007</v>
      </c>
      <c r="BD9" s="10">
        <v>82446.073999999993</v>
      </c>
      <c r="BE9" s="10">
        <v>82630.720000000001</v>
      </c>
      <c r="BF9" s="10">
        <v>82809.952999999994</v>
      </c>
      <c r="BG9" s="10">
        <v>82983.358999999997</v>
      </c>
      <c r="BH9" s="10">
        <v>83150.611000000004</v>
      </c>
      <c r="BI9" s="10">
        <v>83311.56</v>
      </c>
      <c r="BJ9" s="10">
        <v>83466.167000000001</v>
      </c>
      <c r="BK9" s="10">
        <v>83614.66</v>
      </c>
      <c r="BL9" s="10">
        <v>83757.210000000006</v>
      </c>
      <c r="BM9" s="10">
        <v>83894.173999999999</v>
      </c>
      <c r="BN9" s="10">
        <v>84026.02</v>
      </c>
      <c r="BO9" s="10">
        <v>84153.25</v>
      </c>
      <c r="BP9" s="10">
        <v>84276.362999999998</v>
      </c>
      <c r="BQ9" s="10">
        <v>84395.966</v>
      </c>
      <c r="BR9" s="10">
        <v>84512.626000000004</v>
      </c>
      <c r="BS9" s="10">
        <v>84626.9</v>
      </c>
      <c r="BT9" s="10">
        <v>84739.311000000002</v>
      </c>
      <c r="BU9" s="10">
        <v>84850.328999999998</v>
      </c>
      <c r="BV9" s="10">
        <v>84960.38</v>
      </c>
      <c r="BW9" s="10">
        <v>85069.8</v>
      </c>
      <c r="BX9" s="10">
        <v>85178.832999999999</v>
      </c>
      <c r="BY9" s="10">
        <v>85287.642999999996</v>
      </c>
      <c r="BZ9" s="10">
        <v>85396.319000000003</v>
      </c>
      <c r="CA9" s="10">
        <v>85504.892999999996</v>
      </c>
      <c r="CB9" s="10">
        <v>85613.406000000003</v>
      </c>
      <c r="CC9" s="10">
        <v>85721.828999999998</v>
      </c>
      <c r="CD9" s="10">
        <v>85830.176000000007</v>
      </c>
      <c r="CE9" s="10">
        <v>85938.383000000002</v>
      </c>
      <c r="CF9" s="10">
        <v>86046.517000000007</v>
      </c>
      <c r="CG9" s="10">
        <v>86154.55</v>
      </c>
      <c r="CH9" s="10">
        <v>86262.576000000001</v>
      </c>
      <c r="CI9" s="10">
        <v>86370.717000000004</v>
      </c>
      <c r="CJ9" s="10">
        <v>86479.182000000001</v>
      </c>
      <c r="CK9" s="10">
        <v>86588.172999999995</v>
      </c>
      <c r="CL9" s="10">
        <v>86697.933999999994</v>
      </c>
      <c r="CM9" s="10">
        <v>86808.739000000001</v>
      </c>
      <c r="CN9" s="10">
        <v>86920.815000000002</v>
      </c>
      <c r="CO9" s="10">
        <v>87034.425000000003</v>
      </c>
      <c r="CP9" s="10">
        <v>87149.735000000001</v>
      </c>
      <c r="CQ9" s="10">
        <v>87266.877999999997</v>
      </c>
      <c r="CR9" s="10">
        <v>87385.864000000001</v>
      </c>
      <c r="CS9" s="10">
        <v>87506.676999999996</v>
      </c>
      <c r="CT9" s="10">
        <v>87629.108999999997</v>
      </c>
      <c r="CU9" s="10">
        <v>87752.872000000003</v>
      </c>
      <c r="CV9" s="10">
        <v>87877.604000000007</v>
      </c>
      <c r="CW9" s="10">
        <v>88002.873000000007</v>
      </c>
      <c r="CX9" s="10">
        <v>88128.266000000003</v>
      </c>
    </row>
    <row r="10" spans="1:103" x14ac:dyDescent="0.2">
      <c r="A10" s="56" t="s">
        <v>287</v>
      </c>
      <c r="C10" s="10"/>
      <c r="D10" s="10">
        <v>665.53899999999999</v>
      </c>
      <c r="E10" s="10">
        <v>713.92</v>
      </c>
      <c r="F10" s="10">
        <v>723.17600000000004</v>
      </c>
      <c r="G10" s="10">
        <v>727.44899999999996</v>
      </c>
      <c r="H10" s="10">
        <v>730</v>
      </c>
      <c r="I10" s="10">
        <v>730.91600000000005</v>
      </c>
      <c r="J10" s="10">
        <v>731.01499999999999</v>
      </c>
      <c r="K10" s="10">
        <v>731.12</v>
      </c>
      <c r="L10" s="10">
        <v>731.346</v>
      </c>
      <c r="M10" s="10">
        <v>731.85</v>
      </c>
      <c r="N10" s="10">
        <v>732.327</v>
      </c>
      <c r="O10" s="10">
        <v>732.81500000000005</v>
      </c>
      <c r="P10" s="10">
        <v>733.65599999999995</v>
      </c>
      <c r="Q10" s="10">
        <v>735.89499999999998</v>
      </c>
      <c r="R10" s="10">
        <v>739.71400000000006</v>
      </c>
      <c r="S10" s="10">
        <v>743.84400000000005</v>
      </c>
      <c r="T10" s="10">
        <v>747.98500000000001</v>
      </c>
      <c r="U10" s="10">
        <v>752.00300000000004</v>
      </c>
      <c r="V10" s="10">
        <v>755.09900000000005</v>
      </c>
      <c r="W10" s="10">
        <v>757.245</v>
      </c>
      <c r="X10" s="10">
        <v>759.05200000000002</v>
      </c>
      <c r="Y10" s="10">
        <v>760.38099999999997</v>
      </c>
      <c r="Z10" s="10">
        <v>760.13099999999997</v>
      </c>
      <c r="AA10" s="10">
        <v>758.23</v>
      </c>
      <c r="AB10" s="10">
        <v>755.98</v>
      </c>
      <c r="AC10" s="10">
        <v>753.41899999999998</v>
      </c>
      <c r="AD10" s="10">
        <v>750.52099999999996</v>
      </c>
      <c r="AE10" s="10">
        <v>747.53800000000001</v>
      </c>
      <c r="AF10" s="10">
        <v>744.72</v>
      </c>
      <c r="AG10" s="10">
        <v>742.12400000000002</v>
      </c>
      <c r="AH10" s="10">
        <v>739.65099999999995</v>
      </c>
      <c r="AI10" s="10">
        <v>737.50699999999995</v>
      </c>
      <c r="AJ10" s="10">
        <v>735.98500000000001</v>
      </c>
      <c r="AK10" s="10">
        <v>735.06399999999996</v>
      </c>
      <c r="AL10" s="10">
        <v>734.702</v>
      </c>
      <c r="AM10" s="10">
        <v>734.63400000000001</v>
      </c>
      <c r="AN10" s="10">
        <v>734.92499999999995</v>
      </c>
      <c r="AO10" s="10">
        <v>735.7</v>
      </c>
      <c r="AP10" s="10">
        <v>736.61699999999996</v>
      </c>
      <c r="AQ10" s="10">
        <v>737.76599999999996</v>
      </c>
      <c r="AR10" s="10">
        <v>738.95399999999995</v>
      </c>
      <c r="AS10" s="10">
        <v>740.34299999999996</v>
      </c>
      <c r="AT10" s="10">
        <v>742.05499999999995</v>
      </c>
      <c r="AU10" s="10">
        <v>743.73199999999997</v>
      </c>
      <c r="AV10" s="10">
        <v>745.30799999999999</v>
      </c>
      <c r="AW10" s="10">
        <v>746.83199999999999</v>
      </c>
      <c r="AX10" s="10">
        <v>748.26300000000003</v>
      </c>
      <c r="AY10" s="10">
        <v>749.65</v>
      </c>
      <c r="AZ10" s="10">
        <v>750.97199999999998</v>
      </c>
      <c r="BA10" s="10">
        <v>752.13199999999995</v>
      </c>
      <c r="BB10" s="10">
        <v>753.14</v>
      </c>
      <c r="BC10" s="10">
        <v>753.98800000000006</v>
      </c>
      <c r="BD10" s="10">
        <v>754.62599999999998</v>
      </c>
      <c r="BE10" s="10">
        <v>755.048</v>
      </c>
      <c r="BF10" s="10">
        <v>755.23500000000001</v>
      </c>
      <c r="BG10" s="10">
        <v>755.21500000000003</v>
      </c>
      <c r="BH10" s="10">
        <v>754.97699999999998</v>
      </c>
      <c r="BI10" s="10">
        <v>754.54600000000005</v>
      </c>
      <c r="BJ10" s="10">
        <v>753.952</v>
      </c>
      <c r="BK10" s="10">
        <v>753.22400000000005</v>
      </c>
      <c r="BL10" s="10">
        <v>752.423</v>
      </c>
      <c r="BM10" s="10">
        <v>751.58799999999997</v>
      </c>
      <c r="BN10" s="10">
        <v>750.77300000000002</v>
      </c>
      <c r="BO10" s="10">
        <v>750.01300000000003</v>
      </c>
      <c r="BP10" s="10">
        <v>749.33699999999999</v>
      </c>
      <c r="BQ10" s="10">
        <v>748.78300000000002</v>
      </c>
      <c r="BR10" s="10">
        <v>748.37699999999995</v>
      </c>
      <c r="BS10" s="10">
        <v>748.13300000000004</v>
      </c>
      <c r="BT10" s="10">
        <v>748.06600000000003</v>
      </c>
      <c r="BU10" s="10">
        <v>748.17200000000003</v>
      </c>
      <c r="BV10" s="10">
        <v>748.43700000000001</v>
      </c>
      <c r="BW10" s="10">
        <v>748.84400000000005</v>
      </c>
      <c r="BX10" s="10">
        <v>749.38900000000001</v>
      </c>
      <c r="BY10" s="10">
        <v>750.04399999999998</v>
      </c>
      <c r="BZ10" s="10">
        <v>750.79200000000003</v>
      </c>
      <c r="CA10" s="10">
        <v>751.60199999999998</v>
      </c>
      <c r="CB10" s="10">
        <v>752.43799999999999</v>
      </c>
      <c r="CC10" s="10">
        <v>753.29899999999998</v>
      </c>
      <c r="CD10" s="10">
        <v>754.154</v>
      </c>
      <c r="CE10" s="10">
        <v>754.98</v>
      </c>
      <c r="CF10" s="10">
        <v>755.75900000000001</v>
      </c>
      <c r="CG10" s="10">
        <v>756.47500000000002</v>
      </c>
      <c r="CH10" s="10">
        <v>757.10900000000004</v>
      </c>
      <c r="CI10" s="10">
        <v>757.67</v>
      </c>
      <c r="CJ10" s="10">
        <v>758.14200000000005</v>
      </c>
      <c r="CK10" s="10">
        <v>758.51300000000003</v>
      </c>
      <c r="CL10" s="10">
        <v>758.78099999999995</v>
      </c>
      <c r="CM10" s="10">
        <v>758.95600000000002</v>
      </c>
      <c r="CN10" s="10">
        <v>759.04300000000001</v>
      </c>
      <c r="CO10" s="10">
        <v>759.04700000000003</v>
      </c>
      <c r="CP10" s="10">
        <v>758.98699999999997</v>
      </c>
      <c r="CQ10" s="10">
        <v>758.87199999999996</v>
      </c>
      <c r="CR10" s="10">
        <v>758.71600000000001</v>
      </c>
      <c r="CS10" s="10">
        <v>758.52599999999995</v>
      </c>
      <c r="CT10" s="10">
        <v>758.322</v>
      </c>
      <c r="CU10" s="10">
        <v>758.13099999999997</v>
      </c>
      <c r="CV10" s="10">
        <v>757.95799999999997</v>
      </c>
      <c r="CW10" s="10">
        <v>757.80899999999997</v>
      </c>
      <c r="CX10" s="10">
        <v>757.71100000000001</v>
      </c>
    </row>
    <row r="11" spans="1:103" x14ac:dyDescent="0.2">
      <c r="A11" s="56" t="s">
        <v>288</v>
      </c>
      <c r="C11" s="10"/>
      <c r="D11" s="10">
        <v>664.62300000000005</v>
      </c>
      <c r="E11" s="10">
        <v>637.93299999999999</v>
      </c>
      <c r="F11" s="10">
        <v>646.447</v>
      </c>
      <c r="G11" s="10">
        <v>655.09400000000005</v>
      </c>
      <c r="H11" s="10">
        <v>663.85199999999998</v>
      </c>
      <c r="I11" s="10">
        <v>672.77200000000005</v>
      </c>
      <c r="J11" s="10">
        <v>681.82</v>
      </c>
      <c r="K11" s="10">
        <v>690.97799999999995</v>
      </c>
      <c r="L11" s="10">
        <v>700.18</v>
      </c>
      <c r="M11" s="10">
        <v>709.33399999999995</v>
      </c>
      <c r="N11" s="10">
        <v>718.37599999999998</v>
      </c>
      <c r="O11" s="10">
        <v>727.17499999999995</v>
      </c>
      <c r="P11" s="10">
        <v>735.65099999999995</v>
      </c>
      <c r="Q11" s="10">
        <v>743.73400000000004</v>
      </c>
      <c r="R11" s="10">
        <v>751.38900000000001</v>
      </c>
      <c r="S11" s="10">
        <v>758.54899999999998</v>
      </c>
      <c r="T11" s="10">
        <v>765.19399999999996</v>
      </c>
      <c r="U11" s="10">
        <v>771.36400000000003</v>
      </c>
      <c r="V11" s="10">
        <v>777.04499999999996</v>
      </c>
      <c r="W11" s="10">
        <v>782.27700000000004</v>
      </c>
      <c r="X11" s="10">
        <v>787.19799999999998</v>
      </c>
      <c r="Y11" s="10">
        <v>791.83100000000002</v>
      </c>
      <c r="Z11" s="10">
        <v>796.30600000000004</v>
      </c>
      <c r="AA11" s="10">
        <v>800.79600000000005</v>
      </c>
      <c r="AB11" s="10">
        <v>805.41099999999994</v>
      </c>
      <c r="AC11" s="10">
        <v>810.16800000000001</v>
      </c>
      <c r="AD11" s="10">
        <v>815.04700000000003</v>
      </c>
      <c r="AE11" s="10">
        <v>820.03099999999995</v>
      </c>
      <c r="AF11" s="10">
        <v>825.01300000000003</v>
      </c>
      <c r="AG11" s="10">
        <v>829.94399999999996</v>
      </c>
      <c r="AH11" s="10">
        <v>834.69299999999998</v>
      </c>
      <c r="AI11" s="10">
        <v>839.14</v>
      </c>
      <c r="AJ11" s="10">
        <v>843.197</v>
      </c>
      <c r="AK11" s="10">
        <v>846.76199999999994</v>
      </c>
      <c r="AL11" s="10">
        <v>849.76300000000003</v>
      </c>
      <c r="AM11" s="10">
        <v>852.17399999999998</v>
      </c>
      <c r="AN11" s="10">
        <v>854.00199999999995</v>
      </c>
      <c r="AO11" s="10">
        <v>855.30700000000002</v>
      </c>
      <c r="AP11" s="10">
        <v>856.13300000000004</v>
      </c>
      <c r="AQ11" s="10">
        <v>856.63800000000003</v>
      </c>
      <c r="AR11" s="10">
        <v>856.928</v>
      </c>
      <c r="AS11" s="10">
        <v>857.13400000000001</v>
      </c>
      <c r="AT11" s="10">
        <v>857.375</v>
      </c>
      <c r="AU11" s="10">
        <v>857.81</v>
      </c>
      <c r="AV11" s="10">
        <v>858.52700000000004</v>
      </c>
      <c r="AW11" s="10">
        <v>859.68200000000002</v>
      </c>
      <c r="AX11" s="10">
        <v>861.34199999999998</v>
      </c>
      <c r="AY11" s="10">
        <v>863.61800000000005</v>
      </c>
      <c r="AZ11" s="10">
        <v>866.61</v>
      </c>
      <c r="BA11" s="10">
        <v>870.279</v>
      </c>
      <c r="BB11" s="10">
        <v>874.60500000000002</v>
      </c>
      <c r="BC11" s="10">
        <v>879.55899999999997</v>
      </c>
      <c r="BD11" s="10">
        <v>884.98800000000006</v>
      </c>
      <c r="BE11" s="10">
        <v>890.79600000000005</v>
      </c>
      <c r="BF11" s="10">
        <v>896.83799999999997</v>
      </c>
      <c r="BG11" s="10">
        <v>902.96400000000006</v>
      </c>
      <c r="BH11" s="10">
        <v>909.02</v>
      </c>
      <c r="BI11" s="10">
        <v>914.92</v>
      </c>
      <c r="BJ11" s="10">
        <v>920.46600000000001</v>
      </c>
      <c r="BK11" s="10">
        <v>925.67399999999998</v>
      </c>
      <c r="BL11" s="10">
        <v>930.45299999999997</v>
      </c>
      <c r="BM11" s="10">
        <v>934.74800000000005</v>
      </c>
      <c r="BN11" s="10">
        <v>938.55600000000004</v>
      </c>
      <c r="BO11" s="10">
        <v>941.89700000000005</v>
      </c>
      <c r="BP11" s="10">
        <v>944.73900000000003</v>
      </c>
      <c r="BQ11" s="10">
        <v>947.13099999999997</v>
      </c>
      <c r="BR11" s="10">
        <v>949.10900000000004</v>
      </c>
      <c r="BS11" s="10">
        <v>950.73199999999997</v>
      </c>
      <c r="BT11" s="10">
        <v>952.04600000000005</v>
      </c>
      <c r="BU11" s="10">
        <v>953.13699999999994</v>
      </c>
      <c r="BV11" s="10">
        <v>954.01400000000001</v>
      </c>
      <c r="BW11" s="10">
        <v>954.822</v>
      </c>
      <c r="BX11" s="10">
        <v>955.59199999999998</v>
      </c>
      <c r="BY11" s="10">
        <v>956.38</v>
      </c>
      <c r="BZ11" s="10">
        <v>957.20600000000002</v>
      </c>
      <c r="CA11" s="10">
        <v>958.07399999999996</v>
      </c>
      <c r="CB11" s="10">
        <v>959.01</v>
      </c>
      <c r="CC11" s="10">
        <v>959.96199999999999</v>
      </c>
      <c r="CD11" s="10">
        <v>960.93700000000001</v>
      </c>
      <c r="CE11" s="10">
        <v>961.86500000000001</v>
      </c>
      <c r="CF11" s="10">
        <v>962.73</v>
      </c>
      <c r="CG11" s="10">
        <v>963.44500000000005</v>
      </c>
      <c r="CH11" s="10">
        <v>963.96400000000006</v>
      </c>
      <c r="CI11" s="10">
        <v>964.20699999999999</v>
      </c>
      <c r="CJ11" s="10">
        <v>964.14800000000002</v>
      </c>
      <c r="CK11" s="10">
        <v>963.74</v>
      </c>
      <c r="CL11" s="10">
        <v>962.98599999999999</v>
      </c>
      <c r="CM11" s="10">
        <v>961.87099999999998</v>
      </c>
      <c r="CN11" s="10">
        <v>960.45500000000004</v>
      </c>
      <c r="CO11" s="10">
        <v>958.755</v>
      </c>
      <c r="CP11" s="10">
        <v>956.85900000000004</v>
      </c>
      <c r="CQ11" s="10">
        <v>954.87199999999996</v>
      </c>
      <c r="CR11" s="10">
        <v>952.90099999999995</v>
      </c>
      <c r="CS11" s="10">
        <v>951.09299999999996</v>
      </c>
      <c r="CT11" s="10">
        <v>949.56899999999996</v>
      </c>
      <c r="CU11" s="10">
        <v>948.42399999999998</v>
      </c>
      <c r="CV11" s="10">
        <v>947.68299999999999</v>
      </c>
      <c r="CW11" s="10">
        <v>947.42499999999995</v>
      </c>
      <c r="CX11" s="10">
        <v>956.20799999999997</v>
      </c>
    </row>
    <row r="12" spans="1:103" x14ac:dyDescent="0.2">
      <c r="C12" s="55"/>
      <c r="D12" s="55" t="s">
        <v>286</v>
      </c>
      <c r="E12" s="55" t="s">
        <v>286</v>
      </c>
      <c r="F12" s="55" t="s">
        <v>286</v>
      </c>
      <c r="G12" s="55" t="s">
        <v>286</v>
      </c>
      <c r="H12" s="55" t="s">
        <v>286</v>
      </c>
      <c r="I12" s="55" t="s">
        <v>286</v>
      </c>
      <c r="J12" s="55" t="s">
        <v>286</v>
      </c>
      <c r="K12" s="55" t="s">
        <v>286</v>
      </c>
      <c r="L12" s="55" t="s">
        <v>286</v>
      </c>
      <c r="M12" s="55" t="s">
        <v>286</v>
      </c>
      <c r="N12" s="55" t="s">
        <v>286</v>
      </c>
      <c r="O12" s="55" t="s">
        <v>286</v>
      </c>
      <c r="P12" s="55" t="s">
        <v>286</v>
      </c>
      <c r="Q12" s="55" t="s">
        <v>286</v>
      </c>
      <c r="R12" s="55" t="s">
        <v>286</v>
      </c>
      <c r="S12" s="55" t="s">
        <v>286</v>
      </c>
      <c r="T12" s="55" t="s">
        <v>286</v>
      </c>
      <c r="U12" s="55" t="s">
        <v>286</v>
      </c>
      <c r="V12" s="55" t="s">
        <v>286</v>
      </c>
      <c r="W12" s="55" t="s">
        <v>286</v>
      </c>
      <c r="X12" s="55" t="s">
        <v>286</v>
      </c>
      <c r="Y12" s="55" t="s">
        <v>286</v>
      </c>
      <c r="Z12" s="55" t="s">
        <v>286</v>
      </c>
      <c r="AA12" s="57" t="s">
        <v>286</v>
      </c>
      <c r="AB12" s="55" t="s">
        <v>286</v>
      </c>
      <c r="AC12" s="55" t="s">
        <v>286</v>
      </c>
      <c r="AD12" s="55" t="s">
        <v>286</v>
      </c>
      <c r="AE12" s="55" t="s">
        <v>286</v>
      </c>
      <c r="AF12" s="55" t="s">
        <v>286</v>
      </c>
      <c r="AG12" s="55" t="s">
        <v>286</v>
      </c>
      <c r="AH12" s="55" t="s">
        <v>286</v>
      </c>
      <c r="AI12" s="55" t="s">
        <v>286</v>
      </c>
      <c r="AJ12" s="55" t="s">
        <v>286</v>
      </c>
      <c r="AK12" s="55" t="s">
        <v>286</v>
      </c>
      <c r="AL12" s="55" t="s">
        <v>286</v>
      </c>
      <c r="AM12" s="55" t="s">
        <v>286</v>
      </c>
      <c r="AN12" s="55" t="s">
        <v>286</v>
      </c>
      <c r="AO12" s="55" t="s">
        <v>286</v>
      </c>
      <c r="AP12" s="55" t="s">
        <v>286</v>
      </c>
      <c r="AQ12" s="55" t="s">
        <v>286</v>
      </c>
      <c r="AR12" s="55" t="s">
        <v>286</v>
      </c>
      <c r="AS12" s="55" t="s">
        <v>286</v>
      </c>
      <c r="AT12" s="55" t="s">
        <v>286</v>
      </c>
      <c r="AU12" s="55" t="s">
        <v>286</v>
      </c>
      <c r="AV12" s="55" t="s">
        <v>286</v>
      </c>
      <c r="AW12" s="55" t="s">
        <v>286</v>
      </c>
      <c r="AX12" s="55" t="s">
        <v>286</v>
      </c>
      <c r="AY12" s="55" t="s">
        <v>286</v>
      </c>
      <c r="AZ12" s="57" t="s">
        <v>286</v>
      </c>
      <c r="BA12" s="55" t="s">
        <v>286</v>
      </c>
      <c r="BB12" s="55" t="s">
        <v>286</v>
      </c>
      <c r="BC12" s="55" t="s">
        <v>286</v>
      </c>
      <c r="BD12" s="55" t="s">
        <v>286</v>
      </c>
      <c r="BE12" s="55" t="s">
        <v>286</v>
      </c>
      <c r="BF12" s="55" t="s">
        <v>286</v>
      </c>
      <c r="BG12" s="55" t="s">
        <v>286</v>
      </c>
      <c r="BH12" s="55" t="s">
        <v>286</v>
      </c>
      <c r="BI12" s="55" t="s">
        <v>286</v>
      </c>
      <c r="BJ12" s="55" t="s">
        <v>286</v>
      </c>
      <c r="BK12" s="55" t="s">
        <v>286</v>
      </c>
      <c r="BL12" s="55" t="s">
        <v>286</v>
      </c>
      <c r="BM12" s="55" t="s">
        <v>286</v>
      </c>
      <c r="BN12" s="55" t="s">
        <v>286</v>
      </c>
      <c r="BO12" s="55" t="s">
        <v>286</v>
      </c>
      <c r="BP12" s="55" t="s">
        <v>286</v>
      </c>
      <c r="BQ12" s="55" t="s">
        <v>286</v>
      </c>
      <c r="BR12" s="55" t="s">
        <v>286</v>
      </c>
      <c r="BS12" s="55" t="s">
        <v>286</v>
      </c>
      <c r="BT12" s="55" t="s">
        <v>286</v>
      </c>
      <c r="BU12" s="55" t="s">
        <v>286</v>
      </c>
      <c r="BV12" s="55" t="s">
        <v>286</v>
      </c>
      <c r="BW12" s="55" t="s">
        <v>286</v>
      </c>
      <c r="BX12" s="55" t="s">
        <v>286</v>
      </c>
      <c r="BY12" s="57" t="s">
        <v>286</v>
      </c>
      <c r="BZ12" s="55" t="s">
        <v>286</v>
      </c>
      <c r="CA12" s="55" t="s">
        <v>286</v>
      </c>
      <c r="CB12" s="55" t="s">
        <v>286</v>
      </c>
      <c r="CC12" s="55" t="s">
        <v>286</v>
      </c>
      <c r="CD12" s="55" t="s">
        <v>286</v>
      </c>
      <c r="CE12" s="55" t="s">
        <v>286</v>
      </c>
      <c r="CF12" s="55" t="s">
        <v>286</v>
      </c>
      <c r="CG12" s="55" t="s">
        <v>286</v>
      </c>
      <c r="CH12" s="55" t="s">
        <v>286</v>
      </c>
      <c r="CI12" s="55" t="s">
        <v>286</v>
      </c>
      <c r="CJ12" s="55" t="s">
        <v>286</v>
      </c>
      <c r="CK12" s="55" t="s">
        <v>286</v>
      </c>
      <c r="CL12" s="55" t="s">
        <v>286</v>
      </c>
      <c r="CM12" s="55" t="s">
        <v>286</v>
      </c>
      <c r="CN12" s="55" t="s">
        <v>286</v>
      </c>
      <c r="CO12" s="55" t="s">
        <v>286</v>
      </c>
      <c r="CP12" s="55" t="s">
        <v>286</v>
      </c>
      <c r="CQ12" s="55" t="s">
        <v>286</v>
      </c>
      <c r="CR12" s="55" t="s">
        <v>286</v>
      </c>
      <c r="CS12" s="55" t="s">
        <v>286</v>
      </c>
      <c r="CT12" s="55" t="s">
        <v>286</v>
      </c>
      <c r="CU12" s="55" t="s">
        <v>286</v>
      </c>
      <c r="CV12" s="55" t="s">
        <v>286</v>
      </c>
      <c r="CW12" s="55" t="s">
        <v>286</v>
      </c>
      <c r="CX12" s="57" t="s">
        <v>286</v>
      </c>
    </row>
    <row r="13" spans="1:103" x14ac:dyDescent="0.2">
      <c r="A13" s="56" t="s">
        <v>289</v>
      </c>
      <c r="C13" s="10"/>
      <c r="D13" s="10">
        <v>0.91600000000000004</v>
      </c>
      <c r="E13" s="10">
        <v>75.986999999999995</v>
      </c>
      <c r="F13" s="10">
        <v>76.728999999999999</v>
      </c>
      <c r="G13" s="10">
        <v>72.355000000000004</v>
      </c>
      <c r="H13" s="10">
        <v>66.147999999999996</v>
      </c>
      <c r="I13" s="10">
        <v>58.143999999999998</v>
      </c>
      <c r="J13" s="10">
        <v>49.195</v>
      </c>
      <c r="K13" s="10">
        <v>40.142000000000003</v>
      </c>
      <c r="L13" s="10">
        <v>31.166</v>
      </c>
      <c r="M13" s="10">
        <v>22.515999999999998</v>
      </c>
      <c r="N13" s="10">
        <v>13.951000000000001</v>
      </c>
      <c r="O13" s="10">
        <v>5.64</v>
      </c>
      <c r="P13" s="10">
        <v>-1.9950000000000001</v>
      </c>
      <c r="Q13" s="10">
        <v>-7.8390000000000004</v>
      </c>
      <c r="R13" s="10">
        <v>-11.675000000000001</v>
      </c>
      <c r="S13" s="10">
        <v>-14.705</v>
      </c>
      <c r="T13" s="10">
        <v>-17.209</v>
      </c>
      <c r="U13" s="10">
        <v>-19.361000000000001</v>
      </c>
      <c r="V13" s="10">
        <v>-21.946000000000002</v>
      </c>
      <c r="W13" s="10">
        <v>-25.032</v>
      </c>
      <c r="X13" s="10">
        <v>-28.146000000000001</v>
      </c>
      <c r="Y13" s="10">
        <v>-31.45</v>
      </c>
      <c r="Z13" s="10">
        <v>-36.174999999999997</v>
      </c>
      <c r="AA13" s="10">
        <v>-42.566000000000003</v>
      </c>
      <c r="AB13" s="10">
        <v>-49.430999999999997</v>
      </c>
      <c r="AC13" s="10">
        <v>-56.749000000000002</v>
      </c>
      <c r="AD13" s="10">
        <v>-64.525999999999996</v>
      </c>
      <c r="AE13" s="10">
        <v>-72.492999999999995</v>
      </c>
      <c r="AF13" s="10">
        <v>-80.293000000000006</v>
      </c>
      <c r="AG13" s="10">
        <v>-87.82</v>
      </c>
      <c r="AH13" s="10">
        <v>-95.042000000000002</v>
      </c>
      <c r="AI13" s="10">
        <v>-101.633</v>
      </c>
      <c r="AJ13" s="10">
        <v>-107.212</v>
      </c>
      <c r="AK13" s="10">
        <v>-111.69799999999999</v>
      </c>
      <c r="AL13" s="10">
        <v>-115.06100000000001</v>
      </c>
      <c r="AM13" s="10">
        <v>-117.54</v>
      </c>
      <c r="AN13" s="10">
        <v>-119.077</v>
      </c>
      <c r="AO13" s="10">
        <v>-119.607</v>
      </c>
      <c r="AP13" s="10">
        <v>-119.51600000000001</v>
      </c>
      <c r="AQ13" s="10">
        <v>-118.872</v>
      </c>
      <c r="AR13" s="10">
        <v>-117.974</v>
      </c>
      <c r="AS13" s="10">
        <v>-116.791</v>
      </c>
      <c r="AT13" s="10">
        <v>-115.32</v>
      </c>
      <c r="AU13" s="10">
        <v>-114.078</v>
      </c>
      <c r="AV13" s="10">
        <v>-113.21899999999999</v>
      </c>
      <c r="AW13" s="10">
        <v>-112.85</v>
      </c>
      <c r="AX13" s="10">
        <v>-113.07899999999999</v>
      </c>
      <c r="AY13" s="10">
        <v>-113.968</v>
      </c>
      <c r="AZ13" s="10">
        <v>-115.63800000000001</v>
      </c>
      <c r="BA13" s="10">
        <v>-118.14700000000001</v>
      </c>
      <c r="BB13" s="10">
        <v>-121.465</v>
      </c>
      <c r="BC13" s="10">
        <v>-125.571</v>
      </c>
      <c r="BD13" s="10">
        <v>-130.36199999999999</v>
      </c>
      <c r="BE13" s="10">
        <v>-135.74799999999999</v>
      </c>
      <c r="BF13" s="10">
        <v>-141.60300000000001</v>
      </c>
      <c r="BG13" s="10">
        <v>-147.749</v>
      </c>
      <c r="BH13" s="10">
        <v>-154.04300000000001</v>
      </c>
      <c r="BI13" s="10">
        <v>-160.374</v>
      </c>
      <c r="BJ13" s="10">
        <v>-166.51400000000001</v>
      </c>
      <c r="BK13" s="10">
        <v>-172.45</v>
      </c>
      <c r="BL13" s="10">
        <v>-178.03</v>
      </c>
      <c r="BM13" s="10">
        <v>-183.16</v>
      </c>
      <c r="BN13" s="10">
        <v>-187.78299999999999</v>
      </c>
      <c r="BO13" s="10">
        <v>-191.88399999999999</v>
      </c>
      <c r="BP13" s="10">
        <v>-195.40199999999999</v>
      </c>
      <c r="BQ13" s="10">
        <v>-198.34800000000001</v>
      </c>
      <c r="BR13" s="10">
        <v>-200.732</v>
      </c>
      <c r="BS13" s="10">
        <v>-202.59899999999999</v>
      </c>
      <c r="BT13" s="10">
        <v>-203.98</v>
      </c>
      <c r="BU13" s="10">
        <v>-204.965</v>
      </c>
      <c r="BV13" s="10">
        <v>-205.577</v>
      </c>
      <c r="BW13" s="10">
        <v>-205.97800000000001</v>
      </c>
      <c r="BX13" s="10">
        <v>-206.203</v>
      </c>
      <c r="BY13" s="10">
        <v>-206.33600000000001</v>
      </c>
      <c r="BZ13" s="10">
        <v>-206.41399999999999</v>
      </c>
      <c r="CA13" s="10">
        <v>-206.47200000000001</v>
      </c>
      <c r="CB13" s="10">
        <v>-206.572</v>
      </c>
      <c r="CC13" s="10">
        <v>-206.66300000000001</v>
      </c>
      <c r="CD13" s="10">
        <v>-206.78299999999999</v>
      </c>
      <c r="CE13" s="10">
        <v>-206.88499999999999</v>
      </c>
      <c r="CF13" s="10">
        <v>-206.971</v>
      </c>
      <c r="CG13" s="10">
        <v>-206.97</v>
      </c>
      <c r="CH13" s="10">
        <v>-206.85499999999999</v>
      </c>
      <c r="CI13" s="10">
        <v>-206.53700000000001</v>
      </c>
      <c r="CJ13" s="10">
        <v>-206.006</v>
      </c>
      <c r="CK13" s="10">
        <v>-205.227</v>
      </c>
      <c r="CL13" s="10">
        <v>-204.20500000000001</v>
      </c>
      <c r="CM13" s="10">
        <v>-202.91499999999999</v>
      </c>
      <c r="CN13" s="10">
        <v>-201.41200000000001</v>
      </c>
      <c r="CO13" s="10">
        <v>-199.708</v>
      </c>
      <c r="CP13" s="10">
        <v>-197.87200000000001</v>
      </c>
      <c r="CQ13" s="10">
        <v>-196</v>
      </c>
      <c r="CR13" s="10">
        <v>-194.185</v>
      </c>
      <c r="CS13" s="10">
        <v>-192.56700000000001</v>
      </c>
      <c r="CT13" s="10">
        <v>-191.24700000000001</v>
      </c>
      <c r="CU13" s="10">
        <v>-190.29300000000001</v>
      </c>
      <c r="CV13" s="10">
        <v>-189.72499999999999</v>
      </c>
      <c r="CW13" s="10">
        <v>-189.61600000000001</v>
      </c>
      <c r="CX13" s="10">
        <v>-198.49700000000001</v>
      </c>
    </row>
    <row r="14" spans="1:103" x14ac:dyDescent="0.2">
      <c r="A14" s="56"/>
      <c r="C14" s="55"/>
      <c r="D14" s="55" t="s">
        <v>286</v>
      </c>
      <c r="E14" s="55" t="s">
        <v>286</v>
      </c>
      <c r="F14" s="55" t="s">
        <v>286</v>
      </c>
      <c r="G14" s="55" t="s">
        <v>286</v>
      </c>
      <c r="H14" s="55" t="s">
        <v>286</v>
      </c>
      <c r="I14" s="55" t="s">
        <v>286</v>
      </c>
      <c r="J14" s="55" t="s">
        <v>286</v>
      </c>
      <c r="K14" s="55" t="s">
        <v>286</v>
      </c>
      <c r="L14" s="55" t="s">
        <v>286</v>
      </c>
      <c r="M14" s="55" t="s">
        <v>286</v>
      </c>
      <c r="N14" s="55" t="s">
        <v>286</v>
      </c>
      <c r="O14" s="55" t="s">
        <v>286</v>
      </c>
      <c r="P14" s="55" t="s">
        <v>286</v>
      </c>
      <c r="Q14" s="55" t="s">
        <v>286</v>
      </c>
      <c r="R14" s="55" t="s">
        <v>286</v>
      </c>
      <c r="S14" s="55" t="s">
        <v>286</v>
      </c>
      <c r="T14" s="55" t="s">
        <v>286</v>
      </c>
      <c r="U14" s="55" t="s">
        <v>286</v>
      </c>
      <c r="V14" s="55" t="s">
        <v>286</v>
      </c>
      <c r="W14" s="55" t="s">
        <v>286</v>
      </c>
      <c r="X14" s="55" t="s">
        <v>286</v>
      </c>
      <c r="Y14" s="55" t="s">
        <v>286</v>
      </c>
      <c r="Z14" s="55" t="s">
        <v>286</v>
      </c>
      <c r="AA14" s="57" t="s">
        <v>286</v>
      </c>
      <c r="AB14" s="55" t="s">
        <v>286</v>
      </c>
      <c r="AC14" s="55" t="s">
        <v>286</v>
      </c>
      <c r="AD14" s="55" t="s">
        <v>286</v>
      </c>
      <c r="AE14" s="55" t="s">
        <v>286</v>
      </c>
      <c r="AF14" s="55" t="s">
        <v>286</v>
      </c>
      <c r="AG14" s="55" t="s">
        <v>286</v>
      </c>
      <c r="AH14" s="55" t="s">
        <v>286</v>
      </c>
      <c r="AI14" s="55" t="s">
        <v>286</v>
      </c>
      <c r="AJ14" s="55" t="s">
        <v>286</v>
      </c>
      <c r="AK14" s="55" t="s">
        <v>286</v>
      </c>
      <c r="AL14" s="55" t="s">
        <v>286</v>
      </c>
      <c r="AM14" s="55" t="s">
        <v>286</v>
      </c>
      <c r="AN14" s="55" t="s">
        <v>286</v>
      </c>
      <c r="AO14" s="55" t="s">
        <v>286</v>
      </c>
      <c r="AP14" s="55" t="s">
        <v>286</v>
      </c>
      <c r="AQ14" s="55" t="s">
        <v>286</v>
      </c>
      <c r="AR14" s="55" t="s">
        <v>286</v>
      </c>
      <c r="AS14" s="55" t="s">
        <v>286</v>
      </c>
      <c r="AT14" s="55" t="s">
        <v>286</v>
      </c>
      <c r="AU14" s="55" t="s">
        <v>286</v>
      </c>
      <c r="AV14" s="55" t="s">
        <v>286</v>
      </c>
      <c r="AW14" s="55" t="s">
        <v>286</v>
      </c>
      <c r="AX14" s="55" t="s">
        <v>286</v>
      </c>
      <c r="AY14" s="55" t="s">
        <v>286</v>
      </c>
      <c r="AZ14" s="57" t="s">
        <v>286</v>
      </c>
      <c r="BA14" s="55" t="s">
        <v>286</v>
      </c>
      <c r="BB14" s="55" t="s">
        <v>286</v>
      </c>
      <c r="BC14" s="55" t="s">
        <v>286</v>
      </c>
      <c r="BD14" s="55" t="s">
        <v>286</v>
      </c>
      <c r="BE14" s="55" t="s">
        <v>286</v>
      </c>
      <c r="BF14" s="55" t="s">
        <v>286</v>
      </c>
      <c r="BG14" s="55" t="s">
        <v>286</v>
      </c>
      <c r="BH14" s="55" t="s">
        <v>286</v>
      </c>
      <c r="BI14" s="55" t="s">
        <v>286</v>
      </c>
      <c r="BJ14" s="55" t="s">
        <v>286</v>
      </c>
      <c r="BK14" s="55" t="s">
        <v>286</v>
      </c>
      <c r="BL14" s="55" t="s">
        <v>286</v>
      </c>
      <c r="BM14" s="55" t="s">
        <v>286</v>
      </c>
      <c r="BN14" s="55" t="s">
        <v>286</v>
      </c>
      <c r="BO14" s="55" t="s">
        <v>286</v>
      </c>
      <c r="BP14" s="55" t="s">
        <v>286</v>
      </c>
      <c r="BQ14" s="55" t="s">
        <v>286</v>
      </c>
      <c r="BR14" s="55" t="s">
        <v>286</v>
      </c>
      <c r="BS14" s="55" t="s">
        <v>286</v>
      </c>
      <c r="BT14" s="55" t="s">
        <v>286</v>
      </c>
      <c r="BU14" s="55" t="s">
        <v>286</v>
      </c>
      <c r="BV14" s="55" t="s">
        <v>286</v>
      </c>
      <c r="BW14" s="55" t="s">
        <v>286</v>
      </c>
      <c r="BX14" s="55" t="s">
        <v>286</v>
      </c>
      <c r="BY14" s="57" t="s">
        <v>286</v>
      </c>
      <c r="BZ14" s="55" t="s">
        <v>286</v>
      </c>
      <c r="CA14" s="55" t="s">
        <v>286</v>
      </c>
      <c r="CB14" s="55" t="s">
        <v>286</v>
      </c>
      <c r="CC14" s="55" t="s">
        <v>286</v>
      </c>
      <c r="CD14" s="55" t="s">
        <v>286</v>
      </c>
      <c r="CE14" s="55" t="s">
        <v>286</v>
      </c>
      <c r="CF14" s="55" t="s">
        <v>286</v>
      </c>
      <c r="CG14" s="55" t="s">
        <v>286</v>
      </c>
      <c r="CH14" s="55" t="s">
        <v>286</v>
      </c>
      <c r="CI14" s="55" t="s">
        <v>286</v>
      </c>
      <c r="CJ14" s="55" t="s">
        <v>286</v>
      </c>
      <c r="CK14" s="55" t="s">
        <v>286</v>
      </c>
      <c r="CL14" s="55" t="s">
        <v>286</v>
      </c>
      <c r="CM14" s="55" t="s">
        <v>286</v>
      </c>
      <c r="CN14" s="55" t="s">
        <v>286</v>
      </c>
      <c r="CO14" s="55" t="s">
        <v>286</v>
      </c>
      <c r="CP14" s="55" t="s">
        <v>286</v>
      </c>
      <c r="CQ14" s="55" t="s">
        <v>286</v>
      </c>
      <c r="CR14" s="55" t="s">
        <v>286</v>
      </c>
      <c r="CS14" s="55" t="s">
        <v>286</v>
      </c>
      <c r="CT14" s="55" t="s">
        <v>286</v>
      </c>
      <c r="CU14" s="55" t="s">
        <v>286</v>
      </c>
      <c r="CV14" s="55" t="s">
        <v>286</v>
      </c>
      <c r="CW14" s="55" t="s">
        <v>286</v>
      </c>
      <c r="CX14" s="57" t="s">
        <v>286</v>
      </c>
    </row>
    <row r="15" spans="1:103" x14ac:dyDescent="0.2">
      <c r="A15" s="56" t="s">
        <v>290</v>
      </c>
      <c r="C15" s="10"/>
      <c r="D15" s="10">
        <v>1175.0840000000001</v>
      </c>
      <c r="E15" s="10">
        <v>1105.3630000000001</v>
      </c>
      <c r="F15" s="10">
        <v>1036.3489999999999</v>
      </c>
      <c r="G15" s="10">
        <v>966.36500000000001</v>
      </c>
      <c r="H15" s="10">
        <v>897.38099999999997</v>
      </c>
      <c r="I15" s="10">
        <v>827.40599999999995</v>
      </c>
      <c r="J15" s="10">
        <v>827.40599999999995</v>
      </c>
      <c r="K15" s="10">
        <v>827.40599999999995</v>
      </c>
      <c r="L15" s="10">
        <v>827.40599999999995</v>
      </c>
      <c r="M15" s="10">
        <v>827.40599999999995</v>
      </c>
      <c r="N15" s="10">
        <v>827.40599999999995</v>
      </c>
      <c r="O15" s="10">
        <v>827.40599999999995</v>
      </c>
      <c r="P15" s="10">
        <v>827.40599999999995</v>
      </c>
      <c r="Q15" s="10">
        <v>827.40599999999995</v>
      </c>
      <c r="R15" s="10">
        <v>827.40599999999995</v>
      </c>
      <c r="S15" s="10">
        <v>827.40599999999995</v>
      </c>
      <c r="T15" s="10">
        <v>827.40599999999995</v>
      </c>
      <c r="U15" s="10">
        <v>827.40599999999995</v>
      </c>
      <c r="V15" s="10">
        <v>827.40599999999995</v>
      </c>
      <c r="W15" s="10">
        <v>827.40599999999995</v>
      </c>
      <c r="X15" s="10">
        <v>827.40599999999995</v>
      </c>
      <c r="Y15" s="10">
        <v>827.40599999999995</v>
      </c>
      <c r="Z15" s="10">
        <v>827.40599999999995</v>
      </c>
      <c r="AA15" s="10">
        <v>827.40599999999995</v>
      </c>
      <c r="AB15" s="10">
        <v>827.40599999999995</v>
      </c>
      <c r="AC15" s="10">
        <v>827.40599999999995</v>
      </c>
      <c r="AD15" s="10">
        <v>827.40599999999995</v>
      </c>
      <c r="AE15" s="10">
        <v>827.40599999999995</v>
      </c>
      <c r="AF15" s="10">
        <v>827.40599999999995</v>
      </c>
      <c r="AG15" s="10">
        <v>827.40599999999995</v>
      </c>
      <c r="AH15" s="10">
        <v>827.40599999999995</v>
      </c>
      <c r="AI15" s="10">
        <v>827.40599999999995</v>
      </c>
      <c r="AJ15" s="10">
        <v>827.40599999999995</v>
      </c>
      <c r="AK15" s="10">
        <v>827.40599999999995</v>
      </c>
      <c r="AL15" s="10">
        <v>827.40599999999995</v>
      </c>
      <c r="AM15" s="10">
        <v>827.40599999999995</v>
      </c>
      <c r="AN15" s="10">
        <v>827.40599999999995</v>
      </c>
      <c r="AO15" s="10">
        <v>827.40599999999995</v>
      </c>
      <c r="AP15" s="10">
        <v>827.40599999999995</v>
      </c>
      <c r="AQ15" s="10">
        <v>827.40599999999995</v>
      </c>
      <c r="AR15" s="10">
        <v>827.40599999999995</v>
      </c>
      <c r="AS15" s="10">
        <v>827.40599999999995</v>
      </c>
      <c r="AT15" s="10">
        <v>827.40599999999995</v>
      </c>
      <c r="AU15" s="10">
        <v>827.40599999999995</v>
      </c>
      <c r="AV15" s="10">
        <v>827.40599999999995</v>
      </c>
      <c r="AW15" s="10">
        <v>827.40599999999995</v>
      </c>
      <c r="AX15" s="10">
        <v>827.40599999999995</v>
      </c>
      <c r="AY15" s="10">
        <v>827.40599999999995</v>
      </c>
      <c r="AZ15" s="10">
        <v>827.40599999999995</v>
      </c>
      <c r="BA15" s="10">
        <v>827.40599999999995</v>
      </c>
      <c r="BB15" s="10">
        <v>827.40599999999995</v>
      </c>
      <c r="BC15" s="10">
        <v>827.40599999999995</v>
      </c>
      <c r="BD15" s="10">
        <v>827.40599999999995</v>
      </c>
      <c r="BE15" s="10">
        <v>827.40599999999995</v>
      </c>
      <c r="BF15" s="10">
        <v>827.40599999999995</v>
      </c>
      <c r="BG15" s="10">
        <v>827.40599999999995</v>
      </c>
      <c r="BH15" s="10">
        <v>827.40599999999995</v>
      </c>
      <c r="BI15" s="10">
        <v>827.40599999999995</v>
      </c>
      <c r="BJ15" s="10">
        <v>827.40599999999995</v>
      </c>
      <c r="BK15" s="10">
        <v>827.40599999999995</v>
      </c>
      <c r="BL15" s="10">
        <v>827.40599999999995</v>
      </c>
      <c r="BM15" s="10">
        <v>827.40599999999995</v>
      </c>
      <c r="BN15" s="10">
        <v>827.40599999999995</v>
      </c>
      <c r="BO15" s="10">
        <v>827.40599999999995</v>
      </c>
      <c r="BP15" s="10">
        <v>827.40599999999995</v>
      </c>
      <c r="BQ15" s="10">
        <v>827.40599999999995</v>
      </c>
      <c r="BR15" s="10">
        <v>827.40599999999995</v>
      </c>
      <c r="BS15" s="10">
        <v>827.40599999999995</v>
      </c>
      <c r="BT15" s="10">
        <v>827.40599999999995</v>
      </c>
      <c r="BU15" s="10">
        <v>827.40599999999995</v>
      </c>
      <c r="BV15" s="10">
        <v>827.40599999999995</v>
      </c>
      <c r="BW15" s="10">
        <v>827.40599999999995</v>
      </c>
      <c r="BX15" s="10">
        <v>827.40599999999995</v>
      </c>
      <c r="BY15" s="10">
        <v>827.40599999999995</v>
      </c>
      <c r="BZ15" s="10">
        <v>827.40599999999995</v>
      </c>
      <c r="CA15" s="10">
        <v>827.40599999999995</v>
      </c>
      <c r="CB15" s="10">
        <v>827.40599999999995</v>
      </c>
      <c r="CC15" s="10">
        <v>827.40599999999995</v>
      </c>
      <c r="CD15" s="10">
        <v>827.40599999999995</v>
      </c>
      <c r="CE15" s="10">
        <v>827.40599999999995</v>
      </c>
      <c r="CF15" s="10">
        <v>827.40599999999995</v>
      </c>
      <c r="CG15" s="10">
        <v>827.40599999999995</v>
      </c>
      <c r="CH15" s="10">
        <v>827.40599999999995</v>
      </c>
      <c r="CI15" s="10">
        <v>827.40599999999995</v>
      </c>
      <c r="CJ15" s="10">
        <v>827.40599999999995</v>
      </c>
      <c r="CK15" s="10">
        <v>827.40599999999995</v>
      </c>
      <c r="CL15" s="10">
        <v>827.40599999999995</v>
      </c>
      <c r="CM15" s="10">
        <v>827.40599999999995</v>
      </c>
      <c r="CN15" s="10">
        <v>827.40599999999995</v>
      </c>
      <c r="CO15" s="10">
        <v>827.40599999999995</v>
      </c>
      <c r="CP15" s="10">
        <v>827.40599999999995</v>
      </c>
      <c r="CQ15" s="10">
        <v>827.40599999999995</v>
      </c>
      <c r="CR15" s="10">
        <v>827.40599999999995</v>
      </c>
      <c r="CS15" s="10">
        <v>827.40599999999995</v>
      </c>
      <c r="CT15" s="10">
        <v>827.40599999999995</v>
      </c>
      <c r="CU15" s="10">
        <v>827.40599999999995</v>
      </c>
      <c r="CV15" s="10">
        <v>827.40599999999995</v>
      </c>
      <c r="CW15" s="10">
        <v>827.40599999999995</v>
      </c>
      <c r="CX15" s="10">
        <v>827.40599999999995</v>
      </c>
    </row>
    <row r="16" spans="1:103" x14ac:dyDescent="0.2">
      <c r="A16" s="56" t="s">
        <v>291</v>
      </c>
      <c r="C16" s="10"/>
      <c r="D16" s="10" t="s">
        <v>292</v>
      </c>
      <c r="E16" s="10" t="s">
        <v>292</v>
      </c>
      <c r="F16" s="10" t="s">
        <v>292</v>
      </c>
      <c r="G16" s="10" t="s">
        <v>292</v>
      </c>
      <c r="H16" s="10" t="s">
        <v>292</v>
      </c>
      <c r="I16" s="10" t="s">
        <v>292</v>
      </c>
      <c r="J16" s="10" t="s">
        <v>292</v>
      </c>
      <c r="K16" s="10" t="s">
        <v>292</v>
      </c>
      <c r="L16" s="10" t="s">
        <v>292</v>
      </c>
      <c r="M16" s="10" t="s">
        <v>292</v>
      </c>
      <c r="N16" s="10" t="s">
        <v>292</v>
      </c>
      <c r="O16" s="10" t="s">
        <v>292</v>
      </c>
      <c r="P16" s="10" t="s">
        <v>292</v>
      </c>
      <c r="Q16" s="10" t="s">
        <v>292</v>
      </c>
      <c r="R16" s="10" t="s">
        <v>292</v>
      </c>
      <c r="S16" s="10" t="s">
        <v>292</v>
      </c>
      <c r="T16" s="10" t="s">
        <v>292</v>
      </c>
      <c r="U16" s="10" t="s">
        <v>292</v>
      </c>
      <c r="V16" s="10" t="s">
        <v>292</v>
      </c>
      <c r="W16" s="10" t="s">
        <v>292</v>
      </c>
      <c r="X16" s="10" t="s">
        <v>292</v>
      </c>
      <c r="Y16" s="10" t="s">
        <v>292</v>
      </c>
      <c r="Z16" s="10" t="s">
        <v>292</v>
      </c>
      <c r="AA16" s="10" t="s">
        <v>292</v>
      </c>
      <c r="AB16" s="10" t="s">
        <v>292</v>
      </c>
      <c r="AC16" s="10" t="s">
        <v>292</v>
      </c>
      <c r="AD16" s="10" t="s">
        <v>292</v>
      </c>
      <c r="AE16" s="10" t="s">
        <v>292</v>
      </c>
      <c r="AF16" s="10" t="s">
        <v>292</v>
      </c>
      <c r="AG16" s="10" t="s">
        <v>292</v>
      </c>
      <c r="AH16" s="10" t="s">
        <v>292</v>
      </c>
      <c r="AI16" s="10" t="s">
        <v>292</v>
      </c>
      <c r="AJ16" s="10" t="s">
        <v>292</v>
      </c>
      <c r="AK16" s="10" t="s">
        <v>292</v>
      </c>
      <c r="AL16" s="10" t="s">
        <v>292</v>
      </c>
      <c r="AM16" s="10" t="s">
        <v>292</v>
      </c>
      <c r="AN16" s="10" t="s">
        <v>292</v>
      </c>
      <c r="AO16" s="10" t="s">
        <v>292</v>
      </c>
      <c r="AP16" s="10" t="s">
        <v>292</v>
      </c>
      <c r="AQ16" s="10" t="s">
        <v>292</v>
      </c>
      <c r="AR16" s="10" t="s">
        <v>292</v>
      </c>
      <c r="AS16" s="10" t="s">
        <v>292</v>
      </c>
      <c r="AT16" s="10" t="s">
        <v>292</v>
      </c>
      <c r="AU16" s="10" t="s">
        <v>292</v>
      </c>
      <c r="AV16" s="10" t="s">
        <v>292</v>
      </c>
      <c r="AW16" s="10" t="s">
        <v>292</v>
      </c>
      <c r="AX16" s="10" t="s">
        <v>292</v>
      </c>
      <c r="AY16" s="10" t="s">
        <v>292</v>
      </c>
      <c r="AZ16" s="10" t="s">
        <v>292</v>
      </c>
      <c r="BA16" s="10" t="s">
        <v>292</v>
      </c>
      <c r="BB16" s="10" t="s">
        <v>292</v>
      </c>
      <c r="BC16" s="10" t="s">
        <v>292</v>
      </c>
      <c r="BD16" s="10" t="s">
        <v>292</v>
      </c>
      <c r="BE16" s="10" t="s">
        <v>292</v>
      </c>
      <c r="BF16" s="10" t="s">
        <v>292</v>
      </c>
      <c r="BG16" s="10" t="s">
        <v>292</v>
      </c>
      <c r="BH16" s="10" t="s">
        <v>292</v>
      </c>
      <c r="BI16" s="10" t="s">
        <v>292</v>
      </c>
      <c r="BJ16" s="10" t="s">
        <v>292</v>
      </c>
      <c r="BK16" s="10" t="s">
        <v>292</v>
      </c>
      <c r="BL16" s="10" t="s">
        <v>292</v>
      </c>
      <c r="BM16" s="10" t="s">
        <v>292</v>
      </c>
      <c r="BN16" s="10" t="s">
        <v>292</v>
      </c>
      <c r="BO16" s="10" t="s">
        <v>292</v>
      </c>
      <c r="BP16" s="10" t="s">
        <v>292</v>
      </c>
      <c r="BQ16" s="10" t="s">
        <v>292</v>
      </c>
      <c r="BR16" s="10" t="s">
        <v>292</v>
      </c>
      <c r="BS16" s="10" t="s">
        <v>292</v>
      </c>
      <c r="BT16" s="10" t="s">
        <v>292</v>
      </c>
      <c r="BU16" s="10" t="s">
        <v>292</v>
      </c>
      <c r="BV16" s="10" t="s">
        <v>292</v>
      </c>
      <c r="BW16" s="10" t="s">
        <v>292</v>
      </c>
      <c r="BX16" s="10" t="s">
        <v>292</v>
      </c>
      <c r="BY16" s="10" t="s">
        <v>292</v>
      </c>
      <c r="BZ16" s="10" t="s">
        <v>292</v>
      </c>
      <c r="CA16" s="10" t="s">
        <v>292</v>
      </c>
      <c r="CB16" s="10" t="s">
        <v>292</v>
      </c>
      <c r="CC16" s="10" t="s">
        <v>292</v>
      </c>
      <c r="CD16" s="10" t="s">
        <v>292</v>
      </c>
      <c r="CE16" s="10" t="s">
        <v>292</v>
      </c>
      <c r="CF16" s="10" t="s">
        <v>292</v>
      </c>
      <c r="CG16" s="10" t="s">
        <v>292</v>
      </c>
      <c r="CH16" s="10" t="s">
        <v>292</v>
      </c>
      <c r="CI16" s="10" t="s">
        <v>292</v>
      </c>
      <c r="CJ16" s="10" t="s">
        <v>292</v>
      </c>
      <c r="CK16" s="10" t="s">
        <v>292</v>
      </c>
      <c r="CL16" s="10" t="s">
        <v>292</v>
      </c>
      <c r="CM16" s="10" t="s">
        <v>292</v>
      </c>
      <c r="CN16" s="10" t="s">
        <v>292</v>
      </c>
      <c r="CO16" s="10" t="s">
        <v>292</v>
      </c>
      <c r="CP16" s="10" t="s">
        <v>292</v>
      </c>
      <c r="CQ16" s="10" t="s">
        <v>292</v>
      </c>
      <c r="CR16" s="10" t="s">
        <v>292</v>
      </c>
      <c r="CS16" s="10" t="s">
        <v>292</v>
      </c>
      <c r="CT16" s="10" t="s">
        <v>292</v>
      </c>
      <c r="CU16" s="10" t="s">
        <v>292</v>
      </c>
      <c r="CV16" s="10" t="s">
        <v>292</v>
      </c>
      <c r="CW16" s="10" t="s">
        <v>292</v>
      </c>
      <c r="CX16" s="10" t="s">
        <v>292</v>
      </c>
      <c r="CY16" s="31" t="s">
        <v>292</v>
      </c>
    </row>
    <row r="17" spans="1:103" x14ac:dyDescent="0.2">
      <c r="A17" s="56" t="s">
        <v>293</v>
      </c>
      <c r="C17" s="10"/>
      <c r="D17" s="10">
        <v>504.95600000000002</v>
      </c>
      <c r="E17" s="10">
        <v>506.38900000000001</v>
      </c>
      <c r="F17" s="10">
        <v>507.88799999999998</v>
      </c>
      <c r="G17" s="10">
        <v>508.90800000000002</v>
      </c>
      <c r="H17" s="10">
        <v>510.90499999999997</v>
      </c>
      <c r="I17" s="10">
        <v>512.40099999999995</v>
      </c>
      <c r="J17" s="10">
        <v>512.40099999999995</v>
      </c>
      <c r="K17" s="10">
        <v>512.40099999999995</v>
      </c>
      <c r="L17" s="10">
        <v>512.40099999999995</v>
      </c>
      <c r="M17" s="10">
        <v>512.40099999999995</v>
      </c>
      <c r="N17" s="10">
        <v>512.40099999999995</v>
      </c>
      <c r="O17" s="10">
        <v>512.40099999999995</v>
      </c>
      <c r="P17" s="10">
        <v>512.40099999999995</v>
      </c>
      <c r="Q17" s="10">
        <v>512.40099999999995</v>
      </c>
      <c r="R17" s="10">
        <v>512.40099999999995</v>
      </c>
      <c r="S17" s="10">
        <v>512.40099999999995</v>
      </c>
      <c r="T17" s="10">
        <v>512.40099999999995</v>
      </c>
      <c r="U17" s="10">
        <v>512.40099999999995</v>
      </c>
      <c r="V17" s="10">
        <v>512.40099999999995</v>
      </c>
      <c r="W17" s="10">
        <v>512.40099999999995</v>
      </c>
      <c r="X17" s="10">
        <v>512.40099999999995</v>
      </c>
      <c r="Y17" s="10">
        <v>512.40099999999995</v>
      </c>
      <c r="Z17" s="10">
        <v>512.40099999999995</v>
      </c>
      <c r="AA17" s="10">
        <v>512.40099999999995</v>
      </c>
      <c r="AB17" s="10">
        <v>512.40099999999995</v>
      </c>
      <c r="AC17" s="10">
        <v>512.40099999999995</v>
      </c>
      <c r="AD17" s="10">
        <v>512.40099999999995</v>
      </c>
      <c r="AE17" s="10">
        <v>512.40099999999995</v>
      </c>
      <c r="AF17" s="10">
        <v>512.40099999999995</v>
      </c>
      <c r="AG17" s="10">
        <v>512.40099999999995</v>
      </c>
      <c r="AH17" s="10">
        <v>512.40099999999995</v>
      </c>
      <c r="AI17" s="10">
        <v>512.40099999999995</v>
      </c>
      <c r="AJ17" s="10">
        <v>512.40099999999995</v>
      </c>
      <c r="AK17" s="10">
        <v>512.40099999999995</v>
      </c>
      <c r="AL17" s="10">
        <v>512.40099999999995</v>
      </c>
      <c r="AM17" s="10">
        <v>512.40099999999995</v>
      </c>
      <c r="AN17" s="10">
        <v>512.40099999999995</v>
      </c>
      <c r="AO17" s="10">
        <v>512.40099999999995</v>
      </c>
      <c r="AP17" s="10">
        <v>512.40099999999995</v>
      </c>
      <c r="AQ17" s="10">
        <v>512.40099999999995</v>
      </c>
      <c r="AR17" s="10">
        <v>512.40099999999995</v>
      </c>
      <c r="AS17" s="10">
        <v>512.40099999999995</v>
      </c>
      <c r="AT17" s="10">
        <v>512.40099999999995</v>
      </c>
      <c r="AU17" s="10">
        <v>512.40099999999995</v>
      </c>
      <c r="AV17" s="10">
        <v>512.40099999999995</v>
      </c>
      <c r="AW17" s="10">
        <v>512.40099999999995</v>
      </c>
      <c r="AX17" s="10">
        <v>512.40099999999995</v>
      </c>
      <c r="AY17" s="10">
        <v>512.40099999999995</v>
      </c>
      <c r="AZ17" s="10">
        <v>512.40099999999995</v>
      </c>
      <c r="BA17" s="10">
        <v>512.40099999999995</v>
      </c>
      <c r="BB17" s="10">
        <v>512.40099999999995</v>
      </c>
      <c r="BC17" s="10">
        <v>512.40099999999995</v>
      </c>
      <c r="BD17" s="10">
        <v>512.40099999999995</v>
      </c>
      <c r="BE17" s="10">
        <v>512.40099999999995</v>
      </c>
      <c r="BF17" s="10">
        <v>512.40099999999995</v>
      </c>
      <c r="BG17" s="10">
        <v>512.40099999999995</v>
      </c>
      <c r="BH17" s="10">
        <v>512.40099999999995</v>
      </c>
      <c r="BI17" s="10">
        <v>512.40099999999995</v>
      </c>
      <c r="BJ17" s="10">
        <v>512.40099999999995</v>
      </c>
      <c r="BK17" s="10">
        <v>512.40099999999995</v>
      </c>
      <c r="BL17" s="10">
        <v>512.40099999999995</v>
      </c>
      <c r="BM17" s="10">
        <v>512.40099999999995</v>
      </c>
      <c r="BN17" s="10">
        <v>512.40099999999995</v>
      </c>
      <c r="BO17" s="10">
        <v>512.40099999999995</v>
      </c>
      <c r="BP17" s="10">
        <v>512.40099999999995</v>
      </c>
      <c r="BQ17" s="10">
        <v>512.40099999999995</v>
      </c>
      <c r="BR17" s="10">
        <v>512.40099999999995</v>
      </c>
      <c r="BS17" s="10">
        <v>512.40099999999995</v>
      </c>
      <c r="BT17" s="10">
        <v>512.40099999999995</v>
      </c>
      <c r="BU17" s="10">
        <v>512.40099999999995</v>
      </c>
      <c r="BV17" s="10">
        <v>512.40099999999995</v>
      </c>
      <c r="BW17" s="10">
        <v>512.40099999999995</v>
      </c>
      <c r="BX17" s="10">
        <v>512.40099999999995</v>
      </c>
      <c r="BY17" s="10">
        <v>512.40099999999995</v>
      </c>
      <c r="BZ17" s="10">
        <v>512.40099999999995</v>
      </c>
      <c r="CA17" s="10">
        <v>512.40099999999995</v>
      </c>
      <c r="CB17" s="10">
        <v>512.40099999999995</v>
      </c>
      <c r="CC17" s="10">
        <v>512.40099999999995</v>
      </c>
      <c r="CD17" s="10">
        <v>512.40099999999995</v>
      </c>
      <c r="CE17" s="10">
        <v>512.40099999999995</v>
      </c>
      <c r="CF17" s="10">
        <v>512.40099999999995</v>
      </c>
      <c r="CG17" s="10">
        <v>512.40099999999995</v>
      </c>
      <c r="CH17" s="10">
        <v>512.40099999999995</v>
      </c>
      <c r="CI17" s="10">
        <v>512.40099999999995</v>
      </c>
      <c r="CJ17" s="10">
        <v>512.40099999999995</v>
      </c>
      <c r="CK17" s="10">
        <v>512.40099999999995</v>
      </c>
      <c r="CL17" s="10">
        <v>512.40099999999995</v>
      </c>
      <c r="CM17" s="10">
        <v>512.40099999999995</v>
      </c>
      <c r="CN17" s="10">
        <v>512.40099999999995</v>
      </c>
      <c r="CO17" s="10">
        <v>512.40099999999995</v>
      </c>
      <c r="CP17" s="10">
        <v>512.40099999999995</v>
      </c>
      <c r="CQ17" s="10">
        <v>512.40099999999995</v>
      </c>
      <c r="CR17" s="10">
        <v>512.40099999999995</v>
      </c>
      <c r="CS17" s="10">
        <v>512.40099999999995</v>
      </c>
      <c r="CT17" s="10">
        <v>512.40099999999995</v>
      </c>
      <c r="CU17" s="10">
        <v>512.40099999999995</v>
      </c>
      <c r="CV17" s="10">
        <v>512.40099999999995</v>
      </c>
      <c r="CW17" s="10">
        <v>512.40099999999995</v>
      </c>
      <c r="CX17" s="10">
        <v>512.40099999999995</v>
      </c>
    </row>
    <row r="18" spans="1:103" x14ac:dyDescent="0.2">
      <c r="A18" s="56" t="s">
        <v>294</v>
      </c>
      <c r="C18" s="10"/>
      <c r="D18" s="10" t="s">
        <v>292</v>
      </c>
      <c r="E18" s="10" t="s">
        <v>292</v>
      </c>
      <c r="F18" s="10" t="s">
        <v>292</v>
      </c>
      <c r="G18" s="10" t="s">
        <v>292</v>
      </c>
      <c r="H18" s="10" t="s">
        <v>292</v>
      </c>
      <c r="I18" s="10" t="s">
        <v>292</v>
      </c>
      <c r="J18" s="10" t="s">
        <v>292</v>
      </c>
      <c r="K18" s="10" t="s">
        <v>292</v>
      </c>
      <c r="L18" s="10" t="s">
        <v>292</v>
      </c>
      <c r="M18" s="10" t="s">
        <v>292</v>
      </c>
      <c r="N18" s="10" t="s">
        <v>292</v>
      </c>
      <c r="O18" s="10" t="s">
        <v>292</v>
      </c>
      <c r="P18" s="10" t="s">
        <v>292</v>
      </c>
      <c r="Q18" s="10" t="s">
        <v>292</v>
      </c>
      <c r="R18" s="10" t="s">
        <v>292</v>
      </c>
      <c r="S18" s="10" t="s">
        <v>292</v>
      </c>
      <c r="T18" s="10" t="s">
        <v>292</v>
      </c>
      <c r="U18" s="10" t="s">
        <v>292</v>
      </c>
      <c r="V18" s="10" t="s">
        <v>292</v>
      </c>
      <c r="W18" s="10" t="s">
        <v>292</v>
      </c>
      <c r="X18" s="10" t="s">
        <v>292</v>
      </c>
      <c r="Y18" s="10" t="s">
        <v>292</v>
      </c>
      <c r="Z18" s="10" t="s">
        <v>292</v>
      </c>
      <c r="AA18" s="10" t="s">
        <v>292</v>
      </c>
      <c r="AB18" s="10" t="s">
        <v>292</v>
      </c>
      <c r="AC18" s="10" t="s">
        <v>292</v>
      </c>
      <c r="AD18" s="10" t="s">
        <v>292</v>
      </c>
      <c r="AE18" s="10" t="s">
        <v>292</v>
      </c>
      <c r="AF18" s="10" t="s">
        <v>292</v>
      </c>
      <c r="AG18" s="10" t="s">
        <v>292</v>
      </c>
      <c r="AH18" s="10" t="s">
        <v>292</v>
      </c>
      <c r="AI18" s="10" t="s">
        <v>292</v>
      </c>
      <c r="AJ18" s="10" t="s">
        <v>292</v>
      </c>
      <c r="AK18" s="10" t="s">
        <v>292</v>
      </c>
      <c r="AL18" s="10" t="s">
        <v>292</v>
      </c>
      <c r="AM18" s="10" t="s">
        <v>292</v>
      </c>
      <c r="AN18" s="10" t="s">
        <v>292</v>
      </c>
      <c r="AO18" s="10" t="s">
        <v>292</v>
      </c>
      <c r="AP18" s="10" t="s">
        <v>292</v>
      </c>
      <c r="AQ18" s="10" t="s">
        <v>292</v>
      </c>
      <c r="AR18" s="10" t="s">
        <v>292</v>
      </c>
      <c r="AS18" s="10" t="s">
        <v>292</v>
      </c>
      <c r="AT18" s="10" t="s">
        <v>292</v>
      </c>
      <c r="AU18" s="10" t="s">
        <v>292</v>
      </c>
      <c r="AV18" s="10" t="s">
        <v>292</v>
      </c>
      <c r="AW18" s="10" t="s">
        <v>292</v>
      </c>
      <c r="AX18" s="10" t="s">
        <v>292</v>
      </c>
      <c r="AY18" s="10" t="s">
        <v>292</v>
      </c>
      <c r="AZ18" s="10" t="s">
        <v>292</v>
      </c>
      <c r="BA18" s="10" t="s">
        <v>292</v>
      </c>
      <c r="BB18" s="10" t="s">
        <v>292</v>
      </c>
      <c r="BC18" s="10" t="s">
        <v>292</v>
      </c>
      <c r="BD18" s="10" t="s">
        <v>292</v>
      </c>
      <c r="BE18" s="10" t="s">
        <v>292</v>
      </c>
      <c r="BF18" s="10" t="s">
        <v>292</v>
      </c>
      <c r="BG18" s="10" t="s">
        <v>292</v>
      </c>
      <c r="BH18" s="10" t="s">
        <v>292</v>
      </c>
      <c r="BI18" s="10" t="s">
        <v>292</v>
      </c>
      <c r="BJ18" s="10" t="s">
        <v>292</v>
      </c>
      <c r="BK18" s="10" t="s">
        <v>292</v>
      </c>
      <c r="BL18" s="10" t="s">
        <v>292</v>
      </c>
      <c r="BM18" s="10" t="s">
        <v>292</v>
      </c>
      <c r="BN18" s="10" t="s">
        <v>292</v>
      </c>
      <c r="BO18" s="10" t="s">
        <v>292</v>
      </c>
      <c r="BP18" s="10" t="s">
        <v>292</v>
      </c>
      <c r="BQ18" s="10" t="s">
        <v>292</v>
      </c>
      <c r="BR18" s="10" t="s">
        <v>292</v>
      </c>
      <c r="BS18" s="10" t="s">
        <v>292</v>
      </c>
      <c r="BT18" s="10" t="s">
        <v>292</v>
      </c>
      <c r="BU18" s="10" t="s">
        <v>292</v>
      </c>
      <c r="BV18" s="10" t="s">
        <v>292</v>
      </c>
      <c r="BW18" s="10" t="s">
        <v>292</v>
      </c>
      <c r="BX18" s="10" t="s">
        <v>292</v>
      </c>
      <c r="BY18" s="10" t="s">
        <v>292</v>
      </c>
      <c r="BZ18" s="10" t="s">
        <v>292</v>
      </c>
      <c r="CA18" s="10" t="s">
        <v>292</v>
      </c>
      <c r="CB18" s="10" t="s">
        <v>292</v>
      </c>
      <c r="CC18" s="10" t="s">
        <v>292</v>
      </c>
      <c r="CD18" s="10" t="s">
        <v>292</v>
      </c>
      <c r="CE18" s="10" t="s">
        <v>292</v>
      </c>
      <c r="CF18" s="10" t="s">
        <v>292</v>
      </c>
      <c r="CG18" s="10" t="s">
        <v>292</v>
      </c>
      <c r="CH18" s="10" t="s">
        <v>292</v>
      </c>
      <c r="CI18" s="10" t="s">
        <v>292</v>
      </c>
      <c r="CJ18" s="10" t="s">
        <v>292</v>
      </c>
      <c r="CK18" s="10" t="s">
        <v>292</v>
      </c>
      <c r="CL18" s="10" t="s">
        <v>292</v>
      </c>
      <c r="CM18" s="10" t="s">
        <v>292</v>
      </c>
      <c r="CN18" s="10" t="s">
        <v>292</v>
      </c>
      <c r="CO18" s="10" t="s">
        <v>292</v>
      </c>
      <c r="CP18" s="10" t="s">
        <v>292</v>
      </c>
      <c r="CQ18" s="10" t="s">
        <v>292</v>
      </c>
      <c r="CR18" s="10" t="s">
        <v>292</v>
      </c>
      <c r="CS18" s="10" t="s">
        <v>292</v>
      </c>
      <c r="CT18" s="10" t="s">
        <v>292</v>
      </c>
      <c r="CU18" s="10" t="s">
        <v>292</v>
      </c>
      <c r="CV18" s="10" t="s">
        <v>292</v>
      </c>
      <c r="CW18" s="10" t="s">
        <v>292</v>
      </c>
      <c r="CX18" s="10" t="s">
        <v>292</v>
      </c>
      <c r="CY18" s="31" t="s">
        <v>292</v>
      </c>
    </row>
    <row r="19" spans="1:103" x14ac:dyDescent="0.2">
      <c r="A19" s="56" t="s">
        <v>295</v>
      </c>
      <c r="C19" s="10"/>
      <c r="D19" s="10">
        <v>670.12800000000004</v>
      </c>
      <c r="E19" s="10">
        <v>598.97400000000005</v>
      </c>
      <c r="F19" s="10">
        <v>528.46100000000001</v>
      </c>
      <c r="G19" s="10">
        <v>457.45699999999999</v>
      </c>
      <c r="H19" s="10">
        <v>386.476</v>
      </c>
      <c r="I19" s="10">
        <v>315.005</v>
      </c>
      <c r="J19" s="10">
        <v>315.005</v>
      </c>
      <c r="K19" s="10">
        <v>315.005</v>
      </c>
      <c r="L19" s="10">
        <v>315.005</v>
      </c>
      <c r="M19" s="10">
        <v>315.005</v>
      </c>
      <c r="N19" s="10">
        <v>315.005</v>
      </c>
      <c r="O19" s="10">
        <v>315.005</v>
      </c>
      <c r="P19" s="10">
        <v>315.005</v>
      </c>
      <c r="Q19" s="10">
        <v>315.005</v>
      </c>
      <c r="R19" s="10">
        <v>315.005</v>
      </c>
      <c r="S19" s="10">
        <v>315.005</v>
      </c>
      <c r="T19" s="10">
        <v>315.005</v>
      </c>
      <c r="U19" s="10">
        <v>315.005</v>
      </c>
      <c r="V19" s="10">
        <v>315.005</v>
      </c>
      <c r="W19" s="10">
        <v>315.005</v>
      </c>
      <c r="X19" s="10">
        <v>315.005</v>
      </c>
      <c r="Y19" s="10">
        <v>315.005</v>
      </c>
      <c r="Z19" s="10">
        <v>315.005</v>
      </c>
      <c r="AA19" s="10">
        <v>315.005</v>
      </c>
      <c r="AB19" s="10">
        <v>315.005</v>
      </c>
      <c r="AC19" s="10">
        <v>315.005</v>
      </c>
      <c r="AD19" s="10">
        <v>315.005</v>
      </c>
      <c r="AE19" s="10">
        <v>315.005</v>
      </c>
      <c r="AF19" s="10">
        <v>315.005</v>
      </c>
      <c r="AG19" s="10">
        <v>315.005</v>
      </c>
      <c r="AH19" s="10">
        <v>315.005</v>
      </c>
      <c r="AI19" s="10">
        <v>315.005</v>
      </c>
      <c r="AJ19" s="10">
        <v>315.005</v>
      </c>
      <c r="AK19" s="10">
        <v>315.005</v>
      </c>
      <c r="AL19" s="10">
        <v>315.005</v>
      </c>
      <c r="AM19" s="10">
        <v>315.005</v>
      </c>
      <c r="AN19" s="10">
        <v>315.005</v>
      </c>
      <c r="AO19" s="10">
        <v>315.005</v>
      </c>
      <c r="AP19" s="10">
        <v>315.005</v>
      </c>
      <c r="AQ19" s="10">
        <v>315.005</v>
      </c>
      <c r="AR19" s="10">
        <v>315.005</v>
      </c>
      <c r="AS19" s="10">
        <v>315.005</v>
      </c>
      <c r="AT19" s="10">
        <v>315.005</v>
      </c>
      <c r="AU19" s="10">
        <v>315.005</v>
      </c>
      <c r="AV19" s="10">
        <v>315.005</v>
      </c>
      <c r="AW19" s="10">
        <v>315.005</v>
      </c>
      <c r="AX19" s="10">
        <v>315.005</v>
      </c>
      <c r="AY19" s="10">
        <v>315.005</v>
      </c>
      <c r="AZ19" s="10">
        <v>315.005</v>
      </c>
      <c r="BA19" s="10">
        <v>315.005</v>
      </c>
      <c r="BB19" s="10">
        <v>315.005</v>
      </c>
      <c r="BC19" s="10">
        <v>315.005</v>
      </c>
      <c r="BD19" s="10">
        <v>315.005</v>
      </c>
      <c r="BE19" s="10">
        <v>315.005</v>
      </c>
      <c r="BF19" s="10">
        <v>315.005</v>
      </c>
      <c r="BG19" s="10">
        <v>315.005</v>
      </c>
      <c r="BH19" s="10">
        <v>315.005</v>
      </c>
      <c r="BI19" s="10">
        <v>315.005</v>
      </c>
      <c r="BJ19" s="10">
        <v>315.005</v>
      </c>
      <c r="BK19" s="10">
        <v>315.005</v>
      </c>
      <c r="BL19" s="10">
        <v>315.005</v>
      </c>
      <c r="BM19" s="10">
        <v>315.005</v>
      </c>
      <c r="BN19" s="10">
        <v>315.005</v>
      </c>
      <c r="BO19" s="10">
        <v>315.005</v>
      </c>
      <c r="BP19" s="10">
        <v>315.005</v>
      </c>
      <c r="BQ19" s="10">
        <v>315.005</v>
      </c>
      <c r="BR19" s="10">
        <v>315.005</v>
      </c>
      <c r="BS19" s="10">
        <v>315.005</v>
      </c>
      <c r="BT19" s="10">
        <v>315.005</v>
      </c>
      <c r="BU19" s="10">
        <v>315.005</v>
      </c>
      <c r="BV19" s="10">
        <v>315.005</v>
      </c>
      <c r="BW19" s="10">
        <v>315.005</v>
      </c>
      <c r="BX19" s="10">
        <v>315.005</v>
      </c>
      <c r="BY19" s="10">
        <v>315.005</v>
      </c>
      <c r="BZ19" s="10">
        <v>315.005</v>
      </c>
      <c r="CA19" s="10">
        <v>315.005</v>
      </c>
      <c r="CB19" s="10">
        <v>315.005</v>
      </c>
      <c r="CC19" s="10">
        <v>315.005</v>
      </c>
      <c r="CD19" s="10">
        <v>315.005</v>
      </c>
      <c r="CE19" s="10">
        <v>315.005</v>
      </c>
      <c r="CF19" s="10">
        <v>315.005</v>
      </c>
      <c r="CG19" s="10">
        <v>315.005</v>
      </c>
      <c r="CH19" s="10">
        <v>315.005</v>
      </c>
      <c r="CI19" s="10">
        <v>315.005</v>
      </c>
      <c r="CJ19" s="10">
        <v>315.005</v>
      </c>
      <c r="CK19" s="10">
        <v>315.005</v>
      </c>
      <c r="CL19" s="10">
        <v>315.005</v>
      </c>
      <c r="CM19" s="10">
        <v>315.005</v>
      </c>
      <c r="CN19" s="10">
        <v>315.005</v>
      </c>
      <c r="CO19" s="10">
        <v>315.005</v>
      </c>
      <c r="CP19" s="10">
        <v>315.005</v>
      </c>
      <c r="CQ19" s="10">
        <v>315.005</v>
      </c>
      <c r="CR19" s="10">
        <v>315.005</v>
      </c>
      <c r="CS19" s="10">
        <v>315.005</v>
      </c>
      <c r="CT19" s="10">
        <v>315.005</v>
      </c>
      <c r="CU19" s="10">
        <v>315.005</v>
      </c>
      <c r="CV19" s="10">
        <v>315.005</v>
      </c>
      <c r="CW19" s="10">
        <v>315.005</v>
      </c>
      <c r="CX19" s="10">
        <v>315.005</v>
      </c>
    </row>
    <row r="20" spans="1:103" x14ac:dyDescent="0.2">
      <c r="A20" s="56" t="s">
        <v>296</v>
      </c>
      <c r="C20" s="10"/>
      <c r="D20" s="10" t="s">
        <v>292</v>
      </c>
      <c r="E20" s="10" t="s">
        <v>292</v>
      </c>
      <c r="F20" s="10" t="s">
        <v>292</v>
      </c>
      <c r="G20" s="10" t="s">
        <v>292</v>
      </c>
      <c r="H20" s="10" t="s">
        <v>292</v>
      </c>
      <c r="I20" s="10" t="s">
        <v>292</v>
      </c>
      <c r="J20" s="10" t="s">
        <v>292</v>
      </c>
      <c r="K20" s="10" t="s">
        <v>292</v>
      </c>
      <c r="L20" s="10" t="s">
        <v>292</v>
      </c>
      <c r="M20" s="10" t="s">
        <v>292</v>
      </c>
      <c r="N20" s="10" t="s">
        <v>292</v>
      </c>
      <c r="O20" s="10" t="s">
        <v>292</v>
      </c>
      <c r="P20" s="10" t="s">
        <v>292</v>
      </c>
      <c r="Q20" s="10" t="s">
        <v>292</v>
      </c>
      <c r="R20" s="10" t="s">
        <v>292</v>
      </c>
      <c r="S20" s="10" t="s">
        <v>292</v>
      </c>
      <c r="T20" s="10" t="s">
        <v>292</v>
      </c>
      <c r="U20" s="10" t="s">
        <v>292</v>
      </c>
      <c r="V20" s="10" t="s">
        <v>292</v>
      </c>
      <c r="W20" s="10" t="s">
        <v>292</v>
      </c>
      <c r="X20" s="10" t="s">
        <v>292</v>
      </c>
      <c r="Y20" s="10" t="s">
        <v>292</v>
      </c>
      <c r="Z20" s="10" t="s">
        <v>292</v>
      </c>
      <c r="AA20" s="10" t="s">
        <v>292</v>
      </c>
      <c r="AB20" s="10" t="s">
        <v>292</v>
      </c>
      <c r="AC20" s="10" t="s">
        <v>292</v>
      </c>
      <c r="AD20" s="10" t="s">
        <v>292</v>
      </c>
      <c r="AE20" s="10" t="s">
        <v>292</v>
      </c>
      <c r="AF20" s="10" t="s">
        <v>292</v>
      </c>
      <c r="AG20" s="10" t="s">
        <v>292</v>
      </c>
      <c r="AH20" s="10" t="s">
        <v>292</v>
      </c>
      <c r="AI20" s="10" t="s">
        <v>292</v>
      </c>
      <c r="AJ20" s="10" t="s">
        <v>292</v>
      </c>
      <c r="AK20" s="10" t="s">
        <v>292</v>
      </c>
      <c r="AL20" s="10" t="s">
        <v>292</v>
      </c>
      <c r="AM20" s="10" t="s">
        <v>292</v>
      </c>
      <c r="AN20" s="10" t="s">
        <v>292</v>
      </c>
      <c r="AO20" s="10" t="s">
        <v>292</v>
      </c>
      <c r="AP20" s="10" t="s">
        <v>292</v>
      </c>
      <c r="AQ20" s="10" t="s">
        <v>292</v>
      </c>
      <c r="AR20" s="10" t="s">
        <v>292</v>
      </c>
      <c r="AS20" s="10" t="s">
        <v>292</v>
      </c>
      <c r="AT20" s="10" t="s">
        <v>292</v>
      </c>
      <c r="AU20" s="10" t="s">
        <v>292</v>
      </c>
      <c r="AV20" s="10" t="s">
        <v>292</v>
      </c>
      <c r="AW20" s="10" t="s">
        <v>292</v>
      </c>
      <c r="AX20" s="10" t="s">
        <v>292</v>
      </c>
      <c r="AY20" s="10" t="s">
        <v>292</v>
      </c>
      <c r="AZ20" s="10" t="s">
        <v>292</v>
      </c>
      <c r="BA20" s="10" t="s">
        <v>292</v>
      </c>
      <c r="BB20" s="10" t="s">
        <v>292</v>
      </c>
      <c r="BC20" s="10" t="s">
        <v>292</v>
      </c>
      <c r="BD20" s="10" t="s">
        <v>292</v>
      </c>
      <c r="BE20" s="10" t="s">
        <v>292</v>
      </c>
      <c r="BF20" s="10" t="s">
        <v>292</v>
      </c>
      <c r="BG20" s="10" t="s">
        <v>292</v>
      </c>
      <c r="BH20" s="10" t="s">
        <v>292</v>
      </c>
      <c r="BI20" s="10" t="s">
        <v>292</v>
      </c>
      <c r="BJ20" s="10" t="s">
        <v>292</v>
      </c>
      <c r="BK20" s="10" t="s">
        <v>292</v>
      </c>
      <c r="BL20" s="10" t="s">
        <v>292</v>
      </c>
      <c r="BM20" s="10" t="s">
        <v>292</v>
      </c>
      <c r="BN20" s="10" t="s">
        <v>292</v>
      </c>
      <c r="BO20" s="10" t="s">
        <v>292</v>
      </c>
      <c r="BP20" s="10" t="s">
        <v>292</v>
      </c>
      <c r="BQ20" s="10" t="s">
        <v>292</v>
      </c>
      <c r="BR20" s="10" t="s">
        <v>292</v>
      </c>
      <c r="BS20" s="10" t="s">
        <v>292</v>
      </c>
      <c r="BT20" s="10" t="s">
        <v>292</v>
      </c>
      <c r="BU20" s="10" t="s">
        <v>292</v>
      </c>
      <c r="BV20" s="10" t="s">
        <v>292</v>
      </c>
      <c r="BW20" s="10" t="s">
        <v>292</v>
      </c>
      <c r="BX20" s="10" t="s">
        <v>292</v>
      </c>
      <c r="BY20" s="10" t="s">
        <v>292</v>
      </c>
      <c r="BZ20" s="10" t="s">
        <v>292</v>
      </c>
      <c r="CA20" s="10" t="s">
        <v>292</v>
      </c>
      <c r="CB20" s="10" t="s">
        <v>292</v>
      </c>
      <c r="CC20" s="10" t="s">
        <v>292</v>
      </c>
      <c r="CD20" s="10" t="s">
        <v>292</v>
      </c>
      <c r="CE20" s="10" t="s">
        <v>292</v>
      </c>
      <c r="CF20" s="10" t="s">
        <v>292</v>
      </c>
      <c r="CG20" s="10" t="s">
        <v>292</v>
      </c>
      <c r="CH20" s="10" t="s">
        <v>292</v>
      </c>
      <c r="CI20" s="10" t="s">
        <v>292</v>
      </c>
      <c r="CJ20" s="10" t="s">
        <v>292</v>
      </c>
      <c r="CK20" s="10" t="s">
        <v>292</v>
      </c>
      <c r="CL20" s="10" t="s">
        <v>292</v>
      </c>
      <c r="CM20" s="10" t="s">
        <v>292</v>
      </c>
      <c r="CN20" s="10" t="s">
        <v>292</v>
      </c>
      <c r="CO20" s="10" t="s">
        <v>292</v>
      </c>
      <c r="CP20" s="10" t="s">
        <v>292</v>
      </c>
      <c r="CQ20" s="10" t="s">
        <v>292</v>
      </c>
      <c r="CR20" s="10" t="s">
        <v>292</v>
      </c>
      <c r="CS20" s="10" t="s">
        <v>292</v>
      </c>
      <c r="CT20" s="10" t="s">
        <v>292</v>
      </c>
      <c r="CU20" s="10" t="s">
        <v>292</v>
      </c>
      <c r="CV20" s="10" t="s">
        <v>292</v>
      </c>
      <c r="CW20" s="10" t="s">
        <v>292</v>
      </c>
      <c r="CX20" s="10" t="s">
        <v>292</v>
      </c>
      <c r="CY20" s="31" t="s">
        <v>292</v>
      </c>
    </row>
    <row r="21" spans="1:103" x14ac:dyDescent="0.2">
      <c r="A21" s="56"/>
      <c r="C21" s="55"/>
      <c r="D21" s="55" t="s">
        <v>286</v>
      </c>
      <c r="E21" s="55" t="s">
        <v>286</v>
      </c>
      <c r="F21" s="55" t="s">
        <v>286</v>
      </c>
      <c r="G21" s="55" t="s">
        <v>286</v>
      </c>
      <c r="H21" s="55" t="s">
        <v>286</v>
      </c>
      <c r="I21" s="55" t="s">
        <v>286</v>
      </c>
      <c r="J21" s="55" t="s">
        <v>286</v>
      </c>
      <c r="K21" s="55" t="s">
        <v>286</v>
      </c>
      <c r="L21" s="55" t="s">
        <v>286</v>
      </c>
      <c r="M21" s="55" t="s">
        <v>286</v>
      </c>
      <c r="N21" s="55" t="s">
        <v>286</v>
      </c>
      <c r="O21" s="55" t="s">
        <v>286</v>
      </c>
      <c r="P21" s="55" t="s">
        <v>286</v>
      </c>
      <c r="Q21" s="55" t="s">
        <v>286</v>
      </c>
      <c r="R21" s="55" t="s">
        <v>286</v>
      </c>
      <c r="S21" s="55" t="s">
        <v>286</v>
      </c>
      <c r="T21" s="55" t="s">
        <v>286</v>
      </c>
      <c r="U21" s="55" t="s">
        <v>286</v>
      </c>
      <c r="V21" s="55" t="s">
        <v>286</v>
      </c>
      <c r="W21" s="55" t="s">
        <v>286</v>
      </c>
      <c r="X21" s="55" t="s">
        <v>286</v>
      </c>
      <c r="Y21" s="55" t="s">
        <v>286</v>
      </c>
      <c r="Z21" s="55" t="s">
        <v>286</v>
      </c>
      <c r="AA21" s="57" t="s">
        <v>286</v>
      </c>
      <c r="AB21" s="55" t="s">
        <v>286</v>
      </c>
      <c r="AC21" s="55" t="s">
        <v>286</v>
      </c>
      <c r="AD21" s="55" t="s">
        <v>286</v>
      </c>
      <c r="AE21" s="55" t="s">
        <v>286</v>
      </c>
      <c r="AF21" s="55" t="s">
        <v>286</v>
      </c>
      <c r="AG21" s="55" t="s">
        <v>286</v>
      </c>
      <c r="AH21" s="55" t="s">
        <v>286</v>
      </c>
      <c r="AI21" s="55" t="s">
        <v>286</v>
      </c>
      <c r="AJ21" s="55" t="s">
        <v>286</v>
      </c>
      <c r="AK21" s="55" t="s">
        <v>286</v>
      </c>
      <c r="AL21" s="55" t="s">
        <v>286</v>
      </c>
      <c r="AM21" s="55" t="s">
        <v>286</v>
      </c>
      <c r="AN21" s="55" t="s">
        <v>286</v>
      </c>
      <c r="AO21" s="55" t="s">
        <v>286</v>
      </c>
      <c r="AP21" s="55" t="s">
        <v>286</v>
      </c>
      <c r="AQ21" s="55" t="s">
        <v>286</v>
      </c>
      <c r="AR21" s="55" t="s">
        <v>286</v>
      </c>
      <c r="AS21" s="55" t="s">
        <v>286</v>
      </c>
      <c r="AT21" s="55" t="s">
        <v>286</v>
      </c>
      <c r="AU21" s="55" t="s">
        <v>286</v>
      </c>
      <c r="AV21" s="55" t="s">
        <v>286</v>
      </c>
      <c r="AW21" s="55" t="s">
        <v>286</v>
      </c>
      <c r="AX21" s="55" t="s">
        <v>286</v>
      </c>
      <c r="AY21" s="55" t="s">
        <v>286</v>
      </c>
      <c r="AZ21" s="57" t="s">
        <v>286</v>
      </c>
      <c r="BA21" s="55" t="s">
        <v>286</v>
      </c>
      <c r="BB21" s="55" t="s">
        <v>286</v>
      </c>
      <c r="BC21" s="55" t="s">
        <v>286</v>
      </c>
      <c r="BD21" s="55" t="s">
        <v>286</v>
      </c>
      <c r="BE21" s="55" t="s">
        <v>286</v>
      </c>
      <c r="BF21" s="55" t="s">
        <v>286</v>
      </c>
      <c r="BG21" s="55" t="s">
        <v>286</v>
      </c>
      <c r="BH21" s="55" t="s">
        <v>286</v>
      </c>
      <c r="BI21" s="55" t="s">
        <v>286</v>
      </c>
      <c r="BJ21" s="55" t="s">
        <v>286</v>
      </c>
      <c r="BK21" s="55" t="s">
        <v>286</v>
      </c>
      <c r="BL21" s="55" t="s">
        <v>286</v>
      </c>
      <c r="BM21" s="55" t="s">
        <v>286</v>
      </c>
      <c r="BN21" s="55" t="s">
        <v>286</v>
      </c>
      <c r="BO21" s="55" t="s">
        <v>286</v>
      </c>
      <c r="BP21" s="55" t="s">
        <v>286</v>
      </c>
      <c r="BQ21" s="55" t="s">
        <v>286</v>
      </c>
      <c r="BR21" s="55" t="s">
        <v>286</v>
      </c>
      <c r="BS21" s="55" t="s">
        <v>286</v>
      </c>
      <c r="BT21" s="55" t="s">
        <v>286</v>
      </c>
      <c r="BU21" s="55" t="s">
        <v>286</v>
      </c>
      <c r="BV21" s="55" t="s">
        <v>286</v>
      </c>
      <c r="BW21" s="55" t="s">
        <v>286</v>
      </c>
      <c r="BX21" s="55" t="s">
        <v>286</v>
      </c>
      <c r="BY21" s="57" t="s">
        <v>286</v>
      </c>
      <c r="BZ21" s="55" t="s">
        <v>286</v>
      </c>
      <c r="CA21" s="55" t="s">
        <v>286</v>
      </c>
      <c r="CB21" s="55" t="s">
        <v>286</v>
      </c>
      <c r="CC21" s="55" t="s">
        <v>286</v>
      </c>
      <c r="CD21" s="55" t="s">
        <v>286</v>
      </c>
      <c r="CE21" s="55" t="s">
        <v>286</v>
      </c>
      <c r="CF21" s="55" t="s">
        <v>286</v>
      </c>
      <c r="CG21" s="55" t="s">
        <v>286</v>
      </c>
      <c r="CH21" s="55" t="s">
        <v>286</v>
      </c>
      <c r="CI21" s="55" t="s">
        <v>286</v>
      </c>
      <c r="CJ21" s="55" t="s">
        <v>286</v>
      </c>
      <c r="CK21" s="55" t="s">
        <v>286</v>
      </c>
      <c r="CL21" s="55" t="s">
        <v>286</v>
      </c>
      <c r="CM21" s="55" t="s">
        <v>286</v>
      </c>
      <c r="CN21" s="55" t="s">
        <v>286</v>
      </c>
      <c r="CO21" s="55" t="s">
        <v>286</v>
      </c>
      <c r="CP21" s="55" t="s">
        <v>286</v>
      </c>
      <c r="CQ21" s="55" t="s">
        <v>286</v>
      </c>
      <c r="CR21" s="55" t="s">
        <v>286</v>
      </c>
      <c r="CS21" s="55" t="s">
        <v>286</v>
      </c>
      <c r="CT21" s="55" t="s">
        <v>286</v>
      </c>
      <c r="CU21" s="55" t="s">
        <v>286</v>
      </c>
      <c r="CV21" s="55" t="s">
        <v>286</v>
      </c>
      <c r="CW21" s="55" t="s">
        <v>286</v>
      </c>
      <c r="CX21" s="57" t="s">
        <v>286</v>
      </c>
    </row>
    <row r="22" spans="1:103" x14ac:dyDescent="0.2">
      <c r="A22" s="56" t="s">
        <v>297</v>
      </c>
      <c r="C22" s="10"/>
      <c r="D22" s="10">
        <v>670.12800000000004</v>
      </c>
      <c r="E22" s="10">
        <v>598.97400000000005</v>
      </c>
      <c r="F22" s="10">
        <v>528.46100000000001</v>
      </c>
      <c r="G22" s="10">
        <v>457.45699999999999</v>
      </c>
      <c r="H22" s="10">
        <v>386.476</v>
      </c>
      <c r="I22" s="10">
        <v>315.005</v>
      </c>
      <c r="J22" s="10">
        <v>315.005</v>
      </c>
      <c r="K22" s="10">
        <v>315.005</v>
      </c>
      <c r="L22" s="10">
        <v>315.005</v>
      </c>
      <c r="M22" s="10">
        <v>315.005</v>
      </c>
      <c r="N22" s="10">
        <v>315.005</v>
      </c>
      <c r="O22" s="10">
        <v>315.005</v>
      </c>
      <c r="P22" s="10">
        <v>315.005</v>
      </c>
      <c r="Q22" s="10">
        <v>315.005</v>
      </c>
      <c r="R22" s="10">
        <v>315.005</v>
      </c>
      <c r="S22" s="10">
        <v>315.005</v>
      </c>
      <c r="T22" s="10">
        <v>315.005</v>
      </c>
      <c r="U22" s="10">
        <v>315.005</v>
      </c>
      <c r="V22" s="10">
        <v>315.005</v>
      </c>
      <c r="W22" s="10">
        <v>315.005</v>
      </c>
      <c r="X22" s="10">
        <v>315.005</v>
      </c>
      <c r="Y22" s="10">
        <v>315.005</v>
      </c>
      <c r="Z22" s="10">
        <v>315.005</v>
      </c>
      <c r="AA22" s="10">
        <v>315.005</v>
      </c>
      <c r="AB22" s="10">
        <v>315.005</v>
      </c>
      <c r="AC22" s="10">
        <v>315.005</v>
      </c>
      <c r="AD22" s="10">
        <v>315.005</v>
      </c>
      <c r="AE22" s="10">
        <v>315.005</v>
      </c>
      <c r="AF22" s="10">
        <v>315.005</v>
      </c>
      <c r="AG22" s="10">
        <v>315.005</v>
      </c>
      <c r="AH22" s="10">
        <v>315.005</v>
      </c>
      <c r="AI22" s="10">
        <v>315.005</v>
      </c>
      <c r="AJ22" s="10">
        <v>315.005</v>
      </c>
      <c r="AK22" s="10">
        <v>315.005</v>
      </c>
      <c r="AL22" s="10">
        <v>315.005</v>
      </c>
      <c r="AM22" s="10">
        <v>315.005</v>
      </c>
      <c r="AN22" s="10">
        <v>315.005</v>
      </c>
      <c r="AO22" s="10">
        <v>315.005</v>
      </c>
      <c r="AP22" s="10">
        <v>315.005</v>
      </c>
      <c r="AQ22" s="10">
        <v>315.005</v>
      </c>
      <c r="AR22" s="10">
        <v>315.005</v>
      </c>
      <c r="AS22" s="10">
        <v>315.005</v>
      </c>
      <c r="AT22" s="10">
        <v>315.005</v>
      </c>
      <c r="AU22" s="10">
        <v>315.005</v>
      </c>
      <c r="AV22" s="10">
        <v>315.005</v>
      </c>
      <c r="AW22" s="10">
        <v>315.005</v>
      </c>
      <c r="AX22" s="10">
        <v>315.005</v>
      </c>
      <c r="AY22" s="10">
        <v>315.005</v>
      </c>
      <c r="AZ22" s="10">
        <v>315.005</v>
      </c>
      <c r="BA22" s="10">
        <v>315.005</v>
      </c>
      <c r="BB22" s="10">
        <v>315.005</v>
      </c>
      <c r="BC22" s="10">
        <v>315.005</v>
      </c>
      <c r="BD22" s="10">
        <v>315.005</v>
      </c>
      <c r="BE22" s="10">
        <v>315.005</v>
      </c>
      <c r="BF22" s="10">
        <v>315.005</v>
      </c>
      <c r="BG22" s="10">
        <v>315.005</v>
      </c>
      <c r="BH22" s="10">
        <v>315.005</v>
      </c>
      <c r="BI22" s="10">
        <v>315.005</v>
      </c>
      <c r="BJ22" s="10">
        <v>315.005</v>
      </c>
      <c r="BK22" s="10">
        <v>315.005</v>
      </c>
      <c r="BL22" s="10">
        <v>315.005</v>
      </c>
      <c r="BM22" s="10">
        <v>315.005</v>
      </c>
      <c r="BN22" s="10">
        <v>315.005</v>
      </c>
      <c r="BO22" s="10">
        <v>315.005</v>
      </c>
      <c r="BP22" s="10">
        <v>315.005</v>
      </c>
      <c r="BQ22" s="10">
        <v>315.005</v>
      </c>
      <c r="BR22" s="10">
        <v>315.005</v>
      </c>
      <c r="BS22" s="10">
        <v>315.005</v>
      </c>
      <c r="BT22" s="10">
        <v>315.005</v>
      </c>
      <c r="BU22" s="10">
        <v>315.005</v>
      </c>
      <c r="BV22" s="10">
        <v>315.005</v>
      </c>
      <c r="BW22" s="10">
        <v>315.005</v>
      </c>
      <c r="BX22" s="10">
        <v>315.005</v>
      </c>
      <c r="BY22" s="10">
        <v>315.005</v>
      </c>
      <c r="BZ22" s="10">
        <v>315.005</v>
      </c>
      <c r="CA22" s="10">
        <v>315.005</v>
      </c>
      <c r="CB22" s="10">
        <v>315.005</v>
      </c>
      <c r="CC22" s="10">
        <v>315.005</v>
      </c>
      <c r="CD22" s="10">
        <v>315.005</v>
      </c>
      <c r="CE22" s="10">
        <v>315.005</v>
      </c>
      <c r="CF22" s="10">
        <v>315.005</v>
      </c>
      <c r="CG22" s="10">
        <v>315.005</v>
      </c>
      <c r="CH22" s="10">
        <v>315.005</v>
      </c>
      <c r="CI22" s="10">
        <v>315.005</v>
      </c>
      <c r="CJ22" s="10">
        <v>315.005</v>
      </c>
      <c r="CK22" s="10">
        <v>315.005</v>
      </c>
      <c r="CL22" s="10">
        <v>315.005</v>
      </c>
      <c r="CM22" s="10">
        <v>315.005</v>
      </c>
      <c r="CN22" s="10">
        <v>315.005</v>
      </c>
      <c r="CO22" s="10">
        <v>315.005</v>
      </c>
      <c r="CP22" s="10">
        <v>315.005</v>
      </c>
      <c r="CQ22" s="10">
        <v>315.005</v>
      </c>
      <c r="CR22" s="10">
        <v>315.005</v>
      </c>
      <c r="CS22" s="10">
        <v>315.005</v>
      </c>
      <c r="CT22" s="10">
        <v>315.005</v>
      </c>
      <c r="CU22" s="10">
        <v>315.005</v>
      </c>
      <c r="CV22" s="10">
        <v>315.005</v>
      </c>
      <c r="CW22" s="10">
        <v>315.005</v>
      </c>
      <c r="CX22" s="10">
        <v>315.005</v>
      </c>
    </row>
    <row r="23" spans="1:103" x14ac:dyDescent="0.2">
      <c r="A23" s="55"/>
      <c r="B23" s="55"/>
      <c r="C23" s="55"/>
      <c r="D23" s="55" t="s">
        <v>286</v>
      </c>
      <c r="E23" s="55" t="s">
        <v>286</v>
      </c>
      <c r="F23" s="55" t="s">
        <v>286</v>
      </c>
      <c r="G23" s="55" t="s">
        <v>286</v>
      </c>
      <c r="H23" s="55" t="s">
        <v>286</v>
      </c>
      <c r="I23" s="55" t="s">
        <v>286</v>
      </c>
      <c r="J23" s="55" t="s">
        <v>286</v>
      </c>
      <c r="K23" s="55" t="s">
        <v>286</v>
      </c>
      <c r="L23" s="55" t="s">
        <v>286</v>
      </c>
      <c r="M23" s="55" t="s">
        <v>286</v>
      </c>
      <c r="N23" s="55" t="s">
        <v>286</v>
      </c>
      <c r="O23" s="55" t="s">
        <v>286</v>
      </c>
      <c r="P23" s="55" t="s">
        <v>286</v>
      </c>
      <c r="Q23" s="55" t="s">
        <v>286</v>
      </c>
      <c r="R23" s="55" t="s">
        <v>286</v>
      </c>
      <c r="S23" s="55" t="s">
        <v>286</v>
      </c>
      <c r="T23" s="55" t="s">
        <v>286</v>
      </c>
      <c r="U23" s="55" t="s">
        <v>286</v>
      </c>
      <c r="V23" s="55" t="s">
        <v>286</v>
      </c>
      <c r="W23" s="55" t="s">
        <v>286</v>
      </c>
      <c r="X23" s="55" t="s">
        <v>286</v>
      </c>
      <c r="Y23" s="55" t="s">
        <v>286</v>
      </c>
      <c r="Z23" s="55" t="s">
        <v>286</v>
      </c>
      <c r="AA23" s="57" t="s">
        <v>286</v>
      </c>
      <c r="AB23" s="55" t="s">
        <v>286</v>
      </c>
      <c r="AC23" s="55" t="s">
        <v>286</v>
      </c>
      <c r="AD23" s="55" t="s">
        <v>286</v>
      </c>
      <c r="AE23" s="55" t="s">
        <v>286</v>
      </c>
      <c r="AF23" s="55" t="s">
        <v>286</v>
      </c>
      <c r="AG23" s="55" t="s">
        <v>286</v>
      </c>
      <c r="AH23" s="55" t="s">
        <v>286</v>
      </c>
      <c r="AI23" s="55" t="s">
        <v>286</v>
      </c>
      <c r="AJ23" s="55" t="s">
        <v>286</v>
      </c>
      <c r="AK23" s="55" t="s">
        <v>286</v>
      </c>
      <c r="AL23" s="55" t="s">
        <v>286</v>
      </c>
      <c r="AM23" s="55" t="s">
        <v>286</v>
      </c>
      <c r="AN23" s="55" t="s">
        <v>286</v>
      </c>
      <c r="AO23" s="55" t="s">
        <v>286</v>
      </c>
      <c r="AP23" s="55" t="s">
        <v>286</v>
      </c>
      <c r="AQ23" s="55" t="s">
        <v>286</v>
      </c>
      <c r="AR23" s="55" t="s">
        <v>286</v>
      </c>
      <c r="AS23" s="55" t="s">
        <v>286</v>
      </c>
      <c r="AT23" s="55" t="s">
        <v>286</v>
      </c>
      <c r="AU23" s="55" t="s">
        <v>286</v>
      </c>
      <c r="AV23" s="55" t="s">
        <v>286</v>
      </c>
      <c r="AW23" s="55" t="s">
        <v>286</v>
      </c>
      <c r="AX23" s="55" t="s">
        <v>286</v>
      </c>
      <c r="AY23" s="55" t="s">
        <v>286</v>
      </c>
      <c r="AZ23" s="57" t="s">
        <v>286</v>
      </c>
      <c r="BA23" s="55" t="s">
        <v>286</v>
      </c>
      <c r="BB23" s="55" t="s">
        <v>286</v>
      </c>
      <c r="BC23" s="55" t="s">
        <v>286</v>
      </c>
      <c r="BD23" s="55" t="s">
        <v>286</v>
      </c>
      <c r="BE23" s="55" t="s">
        <v>286</v>
      </c>
      <c r="BF23" s="55" t="s">
        <v>286</v>
      </c>
      <c r="BG23" s="55" t="s">
        <v>286</v>
      </c>
      <c r="BH23" s="55" t="s">
        <v>286</v>
      </c>
      <c r="BI23" s="55" t="s">
        <v>286</v>
      </c>
      <c r="BJ23" s="55" t="s">
        <v>286</v>
      </c>
      <c r="BK23" s="55" t="s">
        <v>286</v>
      </c>
      <c r="BL23" s="55" t="s">
        <v>286</v>
      </c>
      <c r="BM23" s="55" t="s">
        <v>286</v>
      </c>
      <c r="BN23" s="55" t="s">
        <v>286</v>
      </c>
      <c r="BO23" s="55" t="s">
        <v>286</v>
      </c>
      <c r="BP23" s="55" t="s">
        <v>286</v>
      </c>
      <c r="BQ23" s="55" t="s">
        <v>286</v>
      </c>
      <c r="BR23" s="55" t="s">
        <v>286</v>
      </c>
      <c r="BS23" s="55" t="s">
        <v>286</v>
      </c>
      <c r="BT23" s="55" t="s">
        <v>286</v>
      </c>
      <c r="BU23" s="55" t="s">
        <v>286</v>
      </c>
      <c r="BV23" s="55" t="s">
        <v>286</v>
      </c>
      <c r="BW23" s="55" t="s">
        <v>286</v>
      </c>
      <c r="BX23" s="55" t="s">
        <v>286</v>
      </c>
      <c r="BY23" s="57" t="s">
        <v>286</v>
      </c>
      <c r="BZ23" s="55" t="s">
        <v>286</v>
      </c>
      <c r="CA23" s="55" t="s">
        <v>286</v>
      </c>
      <c r="CB23" s="55" t="s">
        <v>286</v>
      </c>
      <c r="CC23" s="55" t="s">
        <v>286</v>
      </c>
      <c r="CD23" s="55" t="s">
        <v>286</v>
      </c>
      <c r="CE23" s="55" t="s">
        <v>286</v>
      </c>
      <c r="CF23" s="55" t="s">
        <v>286</v>
      </c>
      <c r="CG23" s="55" t="s">
        <v>286</v>
      </c>
      <c r="CH23" s="55" t="s">
        <v>286</v>
      </c>
      <c r="CI23" s="55" t="s">
        <v>286</v>
      </c>
      <c r="CJ23" s="55" t="s">
        <v>286</v>
      </c>
      <c r="CK23" s="55" t="s">
        <v>286</v>
      </c>
      <c r="CL23" s="55" t="s">
        <v>286</v>
      </c>
      <c r="CM23" s="55" t="s">
        <v>286</v>
      </c>
      <c r="CN23" s="55" t="s">
        <v>286</v>
      </c>
      <c r="CO23" s="55" t="s">
        <v>286</v>
      </c>
      <c r="CP23" s="55" t="s">
        <v>286</v>
      </c>
      <c r="CQ23" s="55" t="s">
        <v>286</v>
      </c>
      <c r="CR23" s="55" t="s">
        <v>286</v>
      </c>
      <c r="CS23" s="55" t="s">
        <v>286</v>
      </c>
      <c r="CT23" s="55" t="s">
        <v>286</v>
      </c>
      <c r="CU23" s="55" t="s">
        <v>286</v>
      </c>
      <c r="CV23" s="55" t="s">
        <v>286</v>
      </c>
      <c r="CW23" s="55" t="s">
        <v>286</v>
      </c>
      <c r="CX23" s="57" t="s">
        <v>286</v>
      </c>
    </row>
    <row r="24" spans="1:103" x14ac:dyDescent="0.2">
      <c r="A24" s="56" t="s">
        <v>298</v>
      </c>
      <c r="C24" s="10"/>
      <c r="D24" s="10">
        <v>671.0440000000001</v>
      </c>
      <c r="E24" s="10">
        <v>674.96100000000001</v>
      </c>
      <c r="F24" s="10">
        <v>605.19000000000005</v>
      </c>
      <c r="G24" s="10">
        <v>529.81200000000001</v>
      </c>
      <c r="H24" s="10">
        <v>452.62400000000002</v>
      </c>
      <c r="I24" s="10">
        <v>373.149</v>
      </c>
      <c r="J24" s="10">
        <v>364.2</v>
      </c>
      <c r="K24" s="10">
        <v>355.14699999999999</v>
      </c>
      <c r="L24" s="10">
        <v>346.17099999999999</v>
      </c>
      <c r="M24" s="10">
        <v>337.52100000000002</v>
      </c>
      <c r="N24" s="10">
        <v>328.95600000000002</v>
      </c>
      <c r="O24" s="10">
        <v>320.64499999999998</v>
      </c>
      <c r="P24" s="10">
        <v>313.01</v>
      </c>
      <c r="Q24" s="10">
        <v>307.166</v>
      </c>
      <c r="R24" s="10">
        <v>303.33</v>
      </c>
      <c r="S24" s="10">
        <v>300.3</v>
      </c>
      <c r="T24" s="10">
        <v>297.79599999999999</v>
      </c>
      <c r="U24" s="10">
        <v>295.64400000000001</v>
      </c>
      <c r="V24" s="10">
        <v>293.05900000000003</v>
      </c>
      <c r="W24" s="10">
        <v>289.97300000000001</v>
      </c>
      <c r="X24" s="10">
        <v>286.85899999999998</v>
      </c>
      <c r="Y24" s="10">
        <v>283.55500000000001</v>
      </c>
      <c r="Z24" s="10">
        <v>278.83</v>
      </c>
      <c r="AA24" s="10">
        <v>272.43900000000002</v>
      </c>
      <c r="AB24" s="10">
        <v>265.57400000000001</v>
      </c>
      <c r="AC24" s="10">
        <v>258.25599999999997</v>
      </c>
      <c r="AD24" s="10">
        <v>250.47900000000001</v>
      </c>
      <c r="AE24" s="10">
        <v>242.512</v>
      </c>
      <c r="AF24" s="10">
        <v>234.71199999999999</v>
      </c>
      <c r="AG24" s="10">
        <v>227.185</v>
      </c>
      <c r="AH24" s="10">
        <v>219.96299999999999</v>
      </c>
      <c r="AI24" s="10">
        <v>213.37200000000001</v>
      </c>
      <c r="AJ24" s="10">
        <v>207.79300000000001</v>
      </c>
      <c r="AK24" s="10">
        <v>203.30699999999999</v>
      </c>
      <c r="AL24" s="10">
        <v>199.94399999999999</v>
      </c>
      <c r="AM24" s="10">
        <v>197.465</v>
      </c>
      <c r="AN24" s="10">
        <v>195.928</v>
      </c>
      <c r="AO24" s="10">
        <v>195.398</v>
      </c>
      <c r="AP24" s="10">
        <v>195.489</v>
      </c>
      <c r="AQ24" s="10">
        <v>196.13300000000001</v>
      </c>
      <c r="AR24" s="10">
        <v>197.03100000000001</v>
      </c>
      <c r="AS24" s="10">
        <v>198.214</v>
      </c>
      <c r="AT24" s="10">
        <v>199.685</v>
      </c>
      <c r="AU24" s="10">
        <v>200.92699999999999</v>
      </c>
      <c r="AV24" s="10">
        <v>201.786</v>
      </c>
      <c r="AW24" s="10">
        <v>202.155</v>
      </c>
      <c r="AX24" s="10">
        <v>201.92599999999999</v>
      </c>
      <c r="AY24" s="10">
        <v>201.03700000000001</v>
      </c>
      <c r="AZ24" s="10">
        <v>199.36699999999999</v>
      </c>
      <c r="BA24" s="10">
        <v>196.858</v>
      </c>
      <c r="BB24" s="10">
        <v>193.54</v>
      </c>
      <c r="BC24" s="10">
        <v>189.434</v>
      </c>
      <c r="BD24" s="10">
        <v>184.643</v>
      </c>
      <c r="BE24" s="10">
        <v>179.25700000000001</v>
      </c>
      <c r="BF24" s="10">
        <v>173.40199999999999</v>
      </c>
      <c r="BG24" s="10">
        <v>167.256</v>
      </c>
      <c r="BH24" s="10">
        <v>160.96199999999999</v>
      </c>
      <c r="BI24" s="10">
        <v>154.631</v>
      </c>
      <c r="BJ24" s="10">
        <v>148.49100000000001</v>
      </c>
      <c r="BK24" s="10">
        <v>142.55500000000001</v>
      </c>
      <c r="BL24" s="10">
        <v>136.97499999999999</v>
      </c>
      <c r="BM24" s="10">
        <v>131.845</v>
      </c>
      <c r="BN24" s="10">
        <v>127.22199999999999</v>
      </c>
      <c r="BO24" s="10">
        <v>123.121</v>
      </c>
      <c r="BP24" s="10">
        <v>119.60299999999999</v>
      </c>
      <c r="BQ24" s="10">
        <v>116.657</v>
      </c>
      <c r="BR24" s="10">
        <v>114.273</v>
      </c>
      <c r="BS24" s="10">
        <v>112.40600000000001</v>
      </c>
      <c r="BT24" s="10">
        <v>111.02500000000001</v>
      </c>
      <c r="BU24" s="10">
        <v>110.04</v>
      </c>
      <c r="BV24" s="10">
        <v>109.428</v>
      </c>
      <c r="BW24" s="10">
        <v>109.027</v>
      </c>
      <c r="BX24" s="10">
        <v>108.80200000000001</v>
      </c>
      <c r="BY24" s="10">
        <v>108.669</v>
      </c>
      <c r="BZ24" s="10">
        <v>108.59099999999999</v>
      </c>
      <c r="CA24" s="10">
        <v>108.533</v>
      </c>
      <c r="CB24" s="10">
        <v>108.43300000000001</v>
      </c>
      <c r="CC24" s="10">
        <v>108.342</v>
      </c>
      <c r="CD24" s="10">
        <v>108.22199999999999</v>
      </c>
      <c r="CE24" s="10">
        <v>108.12</v>
      </c>
      <c r="CF24" s="10">
        <v>108.03400000000001</v>
      </c>
      <c r="CG24" s="10">
        <v>108.035</v>
      </c>
      <c r="CH24" s="10">
        <v>108.15</v>
      </c>
      <c r="CI24" s="10">
        <v>108.468</v>
      </c>
      <c r="CJ24" s="10">
        <v>108.999</v>
      </c>
      <c r="CK24" s="10">
        <v>109.77800000000001</v>
      </c>
      <c r="CL24" s="10">
        <v>110.8</v>
      </c>
      <c r="CM24" s="10">
        <v>112.09</v>
      </c>
      <c r="CN24" s="10">
        <v>113.593</v>
      </c>
      <c r="CO24" s="10">
        <v>115.297</v>
      </c>
      <c r="CP24" s="10">
        <v>117.133</v>
      </c>
      <c r="CQ24" s="10">
        <v>119.005</v>
      </c>
      <c r="CR24" s="10">
        <v>120.82</v>
      </c>
      <c r="CS24" s="10">
        <v>122.438</v>
      </c>
      <c r="CT24" s="10">
        <v>123.758</v>
      </c>
      <c r="CU24" s="10">
        <v>124.712</v>
      </c>
      <c r="CV24" s="10">
        <v>125.28</v>
      </c>
      <c r="CW24" s="10">
        <v>125.389</v>
      </c>
      <c r="CX24" s="10">
        <v>116.508</v>
      </c>
    </row>
    <row r="25" spans="1:103" x14ac:dyDescent="0.2">
      <c r="C25" s="55"/>
      <c r="D25" s="55" t="s">
        <v>286</v>
      </c>
      <c r="E25" s="55" t="s">
        <v>286</v>
      </c>
      <c r="F25" s="55" t="s">
        <v>286</v>
      </c>
      <c r="G25" s="55" t="s">
        <v>286</v>
      </c>
      <c r="H25" s="55" t="s">
        <v>286</v>
      </c>
      <c r="I25" s="55" t="s">
        <v>286</v>
      </c>
      <c r="J25" s="55" t="s">
        <v>286</v>
      </c>
      <c r="K25" s="55" t="s">
        <v>286</v>
      </c>
      <c r="L25" s="55" t="s">
        <v>286</v>
      </c>
      <c r="M25" s="55" t="s">
        <v>286</v>
      </c>
      <c r="N25" s="55" t="s">
        <v>286</v>
      </c>
      <c r="O25" s="55" t="s">
        <v>286</v>
      </c>
      <c r="P25" s="55" t="s">
        <v>286</v>
      </c>
      <c r="Q25" s="55" t="s">
        <v>286</v>
      </c>
      <c r="R25" s="55" t="s">
        <v>286</v>
      </c>
      <c r="S25" s="55" t="s">
        <v>286</v>
      </c>
      <c r="T25" s="55" t="s">
        <v>286</v>
      </c>
      <c r="U25" s="55" t="s">
        <v>286</v>
      </c>
      <c r="V25" s="55" t="s">
        <v>286</v>
      </c>
      <c r="W25" s="55" t="s">
        <v>286</v>
      </c>
      <c r="X25" s="55" t="s">
        <v>286</v>
      </c>
      <c r="Y25" s="55" t="s">
        <v>286</v>
      </c>
      <c r="Z25" s="55" t="s">
        <v>286</v>
      </c>
      <c r="AA25" s="57" t="s">
        <v>286</v>
      </c>
      <c r="AB25" s="55" t="s">
        <v>286</v>
      </c>
      <c r="AC25" s="55" t="s">
        <v>286</v>
      </c>
      <c r="AD25" s="55" t="s">
        <v>286</v>
      </c>
      <c r="AE25" s="55" t="s">
        <v>286</v>
      </c>
      <c r="AF25" s="55" t="s">
        <v>286</v>
      </c>
      <c r="AG25" s="55" t="s">
        <v>286</v>
      </c>
      <c r="AH25" s="55" t="s">
        <v>286</v>
      </c>
      <c r="AI25" s="55" t="s">
        <v>286</v>
      </c>
      <c r="AJ25" s="55" t="s">
        <v>286</v>
      </c>
      <c r="AK25" s="55" t="s">
        <v>286</v>
      </c>
      <c r="AL25" s="55" t="s">
        <v>286</v>
      </c>
      <c r="AM25" s="55" t="s">
        <v>286</v>
      </c>
      <c r="AN25" s="55" t="s">
        <v>286</v>
      </c>
      <c r="AO25" s="55" t="s">
        <v>286</v>
      </c>
      <c r="AP25" s="55" t="s">
        <v>286</v>
      </c>
      <c r="AQ25" s="55" t="s">
        <v>286</v>
      </c>
      <c r="AR25" s="55" t="s">
        <v>286</v>
      </c>
      <c r="AS25" s="55" t="s">
        <v>286</v>
      </c>
      <c r="AT25" s="55" t="s">
        <v>286</v>
      </c>
      <c r="AU25" s="55" t="s">
        <v>286</v>
      </c>
      <c r="AV25" s="55" t="s">
        <v>286</v>
      </c>
      <c r="AW25" s="55" t="s">
        <v>286</v>
      </c>
      <c r="AX25" s="55" t="s">
        <v>286</v>
      </c>
      <c r="AY25" s="55" t="s">
        <v>286</v>
      </c>
      <c r="AZ25" s="57" t="s">
        <v>286</v>
      </c>
      <c r="BA25" s="55" t="s">
        <v>286</v>
      </c>
      <c r="BB25" s="55" t="s">
        <v>286</v>
      </c>
      <c r="BC25" s="55" t="s">
        <v>286</v>
      </c>
      <c r="BD25" s="55" t="s">
        <v>286</v>
      </c>
      <c r="BE25" s="55" t="s">
        <v>286</v>
      </c>
      <c r="BF25" s="55" t="s">
        <v>286</v>
      </c>
      <c r="BG25" s="55" t="s">
        <v>286</v>
      </c>
      <c r="BH25" s="55" t="s">
        <v>286</v>
      </c>
      <c r="BI25" s="55" t="s">
        <v>286</v>
      </c>
      <c r="BJ25" s="55" t="s">
        <v>286</v>
      </c>
      <c r="BK25" s="55" t="s">
        <v>286</v>
      </c>
      <c r="BL25" s="55" t="s">
        <v>286</v>
      </c>
      <c r="BM25" s="55" t="s">
        <v>286</v>
      </c>
      <c r="BN25" s="55" t="s">
        <v>286</v>
      </c>
      <c r="BO25" s="55" t="s">
        <v>286</v>
      </c>
      <c r="BP25" s="55" t="s">
        <v>286</v>
      </c>
      <c r="BQ25" s="55" t="s">
        <v>286</v>
      </c>
      <c r="BR25" s="55" t="s">
        <v>286</v>
      </c>
      <c r="BS25" s="55" t="s">
        <v>286</v>
      </c>
      <c r="BT25" s="55" t="s">
        <v>286</v>
      </c>
      <c r="BU25" s="55" t="s">
        <v>286</v>
      </c>
      <c r="BV25" s="55" t="s">
        <v>286</v>
      </c>
      <c r="BW25" s="55" t="s">
        <v>286</v>
      </c>
      <c r="BX25" s="55" t="s">
        <v>286</v>
      </c>
      <c r="BY25" s="57" t="s">
        <v>286</v>
      </c>
      <c r="BZ25" s="55" t="s">
        <v>286</v>
      </c>
      <c r="CA25" s="55" t="s">
        <v>286</v>
      </c>
      <c r="CB25" s="55" t="s">
        <v>286</v>
      </c>
      <c r="CC25" s="55" t="s">
        <v>286</v>
      </c>
      <c r="CD25" s="55" t="s">
        <v>286</v>
      </c>
      <c r="CE25" s="55" t="s">
        <v>286</v>
      </c>
      <c r="CF25" s="55" t="s">
        <v>286</v>
      </c>
      <c r="CG25" s="55" t="s">
        <v>286</v>
      </c>
      <c r="CH25" s="55" t="s">
        <v>286</v>
      </c>
      <c r="CI25" s="55" t="s">
        <v>286</v>
      </c>
      <c r="CJ25" s="55" t="s">
        <v>286</v>
      </c>
      <c r="CK25" s="55" t="s">
        <v>286</v>
      </c>
      <c r="CL25" s="55" t="s">
        <v>286</v>
      </c>
      <c r="CM25" s="55" t="s">
        <v>286</v>
      </c>
      <c r="CN25" s="55" t="s">
        <v>286</v>
      </c>
      <c r="CO25" s="55" t="s">
        <v>286</v>
      </c>
      <c r="CP25" s="55" t="s">
        <v>286</v>
      </c>
      <c r="CQ25" s="55" t="s">
        <v>286</v>
      </c>
      <c r="CR25" s="55" t="s">
        <v>286</v>
      </c>
      <c r="CS25" s="55" t="s">
        <v>286</v>
      </c>
      <c r="CT25" s="55" t="s">
        <v>286</v>
      </c>
      <c r="CU25" s="55" t="s">
        <v>286</v>
      </c>
      <c r="CV25" s="55" t="s">
        <v>286</v>
      </c>
      <c r="CW25" s="55" t="s">
        <v>286</v>
      </c>
      <c r="CX25" s="57" t="s">
        <v>286</v>
      </c>
    </row>
    <row r="26" spans="1:103" x14ac:dyDescent="0.2">
      <c r="A26" s="56" t="s">
        <v>121</v>
      </c>
      <c r="C26" s="10"/>
      <c r="D26" s="10">
        <v>68350.236000000004</v>
      </c>
      <c r="E26" s="10">
        <v>69025.202999999994</v>
      </c>
      <c r="F26" s="10">
        <v>69630.376000000004</v>
      </c>
      <c r="G26" s="10">
        <v>70160.187000000005</v>
      </c>
      <c r="H26" s="10">
        <v>70612.832999999999</v>
      </c>
      <c r="I26" s="10">
        <v>70985.959000000003</v>
      </c>
      <c r="J26" s="10">
        <v>71350.150999999998</v>
      </c>
      <c r="K26" s="10">
        <v>71705.282000000007</v>
      </c>
      <c r="L26" s="10">
        <v>72051.457999999999</v>
      </c>
      <c r="M26" s="10">
        <v>72388.987999999998</v>
      </c>
      <c r="N26" s="10">
        <v>72717.937000000005</v>
      </c>
      <c r="O26" s="10">
        <v>73038.608999999997</v>
      </c>
      <c r="P26" s="10">
        <v>73351.615000000005</v>
      </c>
      <c r="Q26" s="10">
        <v>73658.794999999998</v>
      </c>
      <c r="R26" s="10">
        <v>73962.122000000003</v>
      </c>
      <c r="S26" s="10">
        <v>74262.407999999996</v>
      </c>
      <c r="T26" s="10">
        <v>74560.210999999996</v>
      </c>
      <c r="U26" s="10">
        <v>74855.850000000006</v>
      </c>
      <c r="V26" s="10">
        <v>75148.910999999993</v>
      </c>
      <c r="W26" s="10">
        <v>75438.895000000004</v>
      </c>
      <c r="X26" s="10">
        <v>75725.756999999998</v>
      </c>
      <c r="Y26" s="10">
        <v>76009.334000000003</v>
      </c>
      <c r="Z26" s="10">
        <v>76288.178</v>
      </c>
      <c r="AA26" s="10">
        <v>76560.630999999994</v>
      </c>
      <c r="AB26" s="10">
        <v>76826.213000000003</v>
      </c>
      <c r="AC26" s="10">
        <v>77084.490999999995</v>
      </c>
      <c r="AD26" s="10">
        <v>77334.960999999996</v>
      </c>
      <c r="AE26" s="10">
        <v>77577.467000000004</v>
      </c>
      <c r="AF26" s="10">
        <v>77812.180999999997</v>
      </c>
      <c r="AG26" s="10">
        <v>78039.347999999998</v>
      </c>
      <c r="AH26" s="10">
        <v>78259.293999999994</v>
      </c>
      <c r="AI26" s="10">
        <v>78472.657000000007</v>
      </c>
      <c r="AJ26" s="10">
        <v>78680.452999999994</v>
      </c>
      <c r="AK26" s="10">
        <v>78883.740999999995</v>
      </c>
      <c r="AL26" s="10">
        <v>79083.702000000005</v>
      </c>
      <c r="AM26" s="10">
        <v>79281.149999999994</v>
      </c>
      <c r="AN26" s="10">
        <v>79477.08</v>
      </c>
      <c r="AO26" s="10">
        <v>79672.490999999995</v>
      </c>
      <c r="AP26" s="10">
        <v>79867.987999999998</v>
      </c>
      <c r="AQ26" s="10">
        <v>80064.118000000002</v>
      </c>
      <c r="AR26" s="10">
        <v>80261.16</v>
      </c>
      <c r="AS26" s="10">
        <v>80459.377999999997</v>
      </c>
      <c r="AT26" s="10">
        <v>80659.070999999996</v>
      </c>
      <c r="AU26" s="10">
        <v>80859.998000000007</v>
      </c>
      <c r="AV26" s="10">
        <v>81061.771999999997</v>
      </c>
      <c r="AW26" s="10">
        <v>81263.926999999996</v>
      </c>
      <c r="AX26" s="10">
        <v>81465.839000000007</v>
      </c>
      <c r="AY26" s="10">
        <v>81666.879000000001</v>
      </c>
      <c r="AZ26" s="10">
        <v>81866.259000000005</v>
      </c>
      <c r="BA26" s="10">
        <v>82063.118000000002</v>
      </c>
      <c r="BB26" s="10">
        <v>82256.657000000007</v>
      </c>
      <c r="BC26" s="10">
        <v>82446.073999999993</v>
      </c>
      <c r="BD26" s="10">
        <v>82630.720000000001</v>
      </c>
      <c r="BE26" s="10">
        <v>82809.952999999994</v>
      </c>
      <c r="BF26" s="10">
        <v>82983.358999999997</v>
      </c>
      <c r="BG26" s="10">
        <v>83150.611000000004</v>
      </c>
      <c r="BH26" s="10">
        <v>83311.56</v>
      </c>
      <c r="BI26" s="10">
        <v>83466.167000000001</v>
      </c>
      <c r="BJ26" s="10">
        <v>83614.66</v>
      </c>
      <c r="BK26" s="10">
        <v>83757.210000000006</v>
      </c>
      <c r="BL26" s="10">
        <v>83894.173999999999</v>
      </c>
      <c r="BM26" s="10">
        <v>84026.02</v>
      </c>
      <c r="BN26" s="10">
        <v>84153.25</v>
      </c>
      <c r="BO26" s="10">
        <v>84276.362999999998</v>
      </c>
      <c r="BP26" s="10">
        <v>84395.966</v>
      </c>
      <c r="BQ26" s="10">
        <v>84512.626000000004</v>
      </c>
      <c r="BR26" s="10">
        <v>84626.9</v>
      </c>
      <c r="BS26" s="10">
        <v>84739.311000000002</v>
      </c>
      <c r="BT26" s="10">
        <v>84850.328999999998</v>
      </c>
      <c r="BU26" s="10">
        <v>84960.38</v>
      </c>
      <c r="BV26" s="10">
        <v>85069.8</v>
      </c>
      <c r="BW26" s="10">
        <v>85178.832999999999</v>
      </c>
      <c r="BX26" s="10">
        <v>85287.642999999996</v>
      </c>
      <c r="BY26" s="10">
        <v>85396.319000000003</v>
      </c>
      <c r="BZ26" s="10">
        <v>85504.892999999996</v>
      </c>
      <c r="CA26" s="10">
        <v>85613.406000000003</v>
      </c>
      <c r="CB26" s="10">
        <v>85721.828999999998</v>
      </c>
      <c r="CC26" s="10">
        <v>85830.176000000007</v>
      </c>
      <c r="CD26" s="10">
        <v>85938.383000000002</v>
      </c>
      <c r="CE26" s="10">
        <v>86046.517000000007</v>
      </c>
      <c r="CF26" s="10">
        <v>86154.55</v>
      </c>
      <c r="CG26" s="10">
        <v>86262.576000000001</v>
      </c>
      <c r="CH26" s="10">
        <v>86370.717000000004</v>
      </c>
      <c r="CI26" s="10">
        <v>86479.182000000001</v>
      </c>
      <c r="CJ26" s="10">
        <v>86588.172999999995</v>
      </c>
      <c r="CK26" s="10">
        <v>86697.933999999994</v>
      </c>
      <c r="CL26" s="10">
        <v>86808.739000000001</v>
      </c>
      <c r="CM26" s="10">
        <v>86920.815000000002</v>
      </c>
      <c r="CN26" s="10">
        <v>87034.425000000003</v>
      </c>
      <c r="CO26" s="10">
        <v>87149.735000000001</v>
      </c>
      <c r="CP26" s="10">
        <v>87266.877999999997</v>
      </c>
      <c r="CQ26" s="10">
        <v>87385.864000000001</v>
      </c>
      <c r="CR26" s="10">
        <v>87506.676999999996</v>
      </c>
      <c r="CS26" s="10">
        <v>87629.108999999997</v>
      </c>
      <c r="CT26" s="10">
        <v>87752.872000000003</v>
      </c>
      <c r="CU26" s="10">
        <v>87877.604000000007</v>
      </c>
      <c r="CV26" s="10">
        <v>88002.873000000007</v>
      </c>
      <c r="CW26" s="10">
        <v>88128.266000000003</v>
      </c>
      <c r="CX26" s="10">
        <v>88244.782999999996</v>
      </c>
    </row>
    <row r="27" spans="1:103" ht="8.25" customHeight="1" thickBot="1" x14ac:dyDescent="0.25">
      <c r="A27" s="58"/>
      <c r="B27" s="58"/>
      <c r="C27" s="59"/>
      <c r="D27" s="60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9"/>
      <c r="AE27" s="60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  <c r="BF27" s="60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9"/>
      <c r="CG27" s="60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</row>
    <row r="28" spans="1:103" x14ac:dyDescent="0.2">
      <c r="A28" s="56" t="s">
        <v>299</v>
      </c>
      <c r="B28" s="61"/>
      <c r="C28" s="62"/>
      <c r="D28" s="62">
        <v>9.9151606226470113E-3</v>
      </c>
      <c r="E28" s="62">
        <v>9.8751231817252195E-3</v>
      </c>
      <c r="F28" s="62">
        <v>8.767420792663367E-3</v>
      </c>
      <c r="G28" s="62">
        <v>7.6089062049586164E-3</v>
      </c>
      <c r="H28" s="62">
        <v>6.4516076617639759E-3</v>
      </c>
      <c r="I28" s="62">
        <v>5.2841103259517134E-3</v>
      </c>
      <c r="J28" s="62">
        <v>5.1304793952279418E-3</v>
      </c>
      <c r="K28" s="62">
        <v>4.9772985063480596E-3</v>
      </c>
      <c r="L28" s="62">
        <v>4.8277615029809406E-3</v>
      </c>
      <c r="M28" s="62">
        <v>4.6845686314911051E-3</v>
      </c>
      <c r="N28" s="62">
        <v>4.5441856432639699E-3</v>
      </c>
      <c r="O28" s="62">
        <v>4.4098060702683489E-3</v>
      </c>
      <c r="P28" s="62">
        <v>4.2854868717448948E-3</v>
      </c>
      <c r="Q28" s="62">
        <v>4.1877741887481681E-3</v>
      </c>
      <c r="R28" s="62">
        <v>4.1180011158206539E-3</v>
      </c>
      <c r="S28" s="62">
        <v>4.0599970887800216E-3</v>
      </c>
      <c r="T28" s="62">
        <v>4.0101446750824441E-3</v>
      </c>
      <c r="U28" s="62">
        <v>3.9651041223583731E-3</v>
      </c>
      <c r="V28" s="62">
        <v>3.9150046389158219E-3</v>
      </c>
      <c r="W28" s="62">
        <v>3.858791779431259E-3</v>
      </c>
      <c r="X28" s="62">
        <v>3.8025742556275998E-3</v>
      </c>
      <c r="Y28" s="62">
        <v>3.7447892399412371E-3</v>
      </c>
      <c r="Z28" s="62">
        <v>3.668549444203752E-3</v>
      </c>
      <c r="AA28" s="62">
        <v>3.571365933002018E-3</v>
      </c>
      <c r="AB28" s="62">
        <v>3.4689108035174041E-3</v>
      </c>
      <c r="AC28" s="62">
        <v>3.3618473423906912E-3</v>
      </c>
      <c r="AD28" s="62">
        <v>3.249291741447721E-3</v>
      </c>
      <c r="AE28" s="62">
        <v>3.1357874480599859E-3</v>
      </c>
      <c r="AF28" s="62">
        <v>3.0255434867445812E-3</v>
      </c>
      <c r="AG28" s="62">
        <v>2.919427229523373E-3</v>
      </c>
      <c r="AH28" s="62">
        <v>2.8183987390565631E-3</v>
      </c>
      <c r="AI28" s="62">
        <v>2.7263598876832709E-3</v>
      </c>
      <c r="AJ28" s="62">
        <v>2.6480051516541299E-3</v>
      </c>
      <c r="AK28" s="62">
        <v>2.5837166951746E-3</v>
      </c>
      <c r="AL28" s="62">
        <v>2.5348823149755318E-3</v>
      </c>
      <c r="AM28" s="62">
        <v>2.4966964748310522E-3</v>
      </c>
      <c r="AN28" s="62">
        <v>2.4713314577299601E-3</v>
      </c>
      <c r="AO28" s="62">
        <v>2.4587088504005529E-3</v>
      </c>
      <c r="AP28" s="62">
        <v>2.4537578472349142E-3</v>
      </c>
      <c r="AQ28" s="62">
        <v>2.455677235790698E-3</v>
      </c>
      <c r="AR28" s="62">
        <v>2.4610525279251971E-3</v>
      </c>
      <c r="AS28" s="62">
        <v>2.4696627858355582E-3</v>
      </c>
      <c r="AT28" s="62">
        <v>2.4819108097007569E-3</v>
      </c>
      <c r="AU28" s="62">
        <v>2.491065140088343E-3</v>
      </c>
      <c r="AV28" s="62">
        <v>2.495350049353084E-3</v>
      </c>
      <c r="AW28" s="62">
        <v>2.4938388960951759E-3</v>
      </c>
      <c r="AX28" s="62">
        <v>2.4846448781636059E-3</v>
      </c>
      <c r="AY28" s="62">
        <v>2.4677828457642672E-3</v>
      </c>
      <c r="AZ28" s="62">
        <v>2.441381407510438E-3</v>
      </c>
      <c r="BA28" s="62">
        <v>2.4046414530801601E-3</v>
      </c>
      <c r="BB28" s="62">
        <v>2.3584163594661889E-3</v>
      </c>
      <c r="BC28" s="62">
        <v>2.3027558729986652E-3</v>
      </c>
      <c r="BD28" s="62">
        <v>2.239597242677777E-3</v>
      </c>
      <c r="BE28" s="62">
        <v>2.169084330863786E-3</v>
      </c>
      <c r="BF28" s="62">
        <v>2.094023649548536E-3</v>
      </c>
      <c r="BG28" s="62">
        <v>2.0154884306383368E-3</v>
      </c>
      <c r="BH28" s="62">
        <v>1.935632198781958E-3</v>
      </c>
      <c r="BI28" s="62">
        <v>1.8557688752917801E-3</v>
      </c>
      <c r="BJ28" s="62">
        <v>1.7790801391419141E-3</v>
      </c>
      <c r="BK28" s="62">
        <v>1.7048445810818691E-3</v>
      </c>
      <c r="BL28" s="62">
        <v>1.6352502668127631E-3</v>
      </c>
      <c r="BM28" s="62">
        <v>1.5715751608687989E-3</v>
      </c>
      <c r="BN28" s="62">
        <v>1.514173823775015E-3</v>
      </c>
      <c r="BO28" s="62">
        <v>1.4629619176918011E-3</v>
      </c>
      <c r="BP28" s="62">
        <v>1.4191760980478329E-3</v>
      </c>
      <c r="BQ28" s="62">
        <v>1.382293556542779E-3</v>
      </c>
      <c r="BR28" s="62">
        <v>1.3521529907257919E-3</v>
      </c>
      <c r="BS28" s="62">
        <v>1.3283128650583599E-3</v>
      </c>
      <c r="BT28" s="62">
        <v>1.3101121390991289E-3</v>
      </c>
      <c r="BU28" s="62">
        <v>1.2970014529938569E-3</v>
      </c>
      <c r="BV28" s="62">
        <v>1.287894427967463E-3</v>
      </c>
      <c r="BW28" s="62">
        <v>1.281688683880717E-3</v>
      </c>
      <c r="BX28" s="62">
        <v>1.2774300394559021E-3</v>
      </c>
      <c r="BY28" s="62">
        <v>1.274229140087817E-3</v>
      </c>
      <c r="BZ28" s="62">
        <v>1.271413115593346E-3</v>
      </c>
      <c r="CA28" s="62">
        <v>1.269085267436172E-3</v>
      </c>
      <c r="CB28" s="62">
        <v>1.266425494156782E-3</v>
      </c>
      <c r="CC28" s="62">
        <v>1.2639371005489031E-3</v>
      </c>
      <c r="CD28" s="62">
        <v>1.260710452230634E-3</v>
      </c>
      <c r="CE28" s="62">
        <v>1.2582736168075849E-3</v>
      </c>
      <c r="CF28" s="62">
        <v>1.255518570263521E-3</v>
      </c>
      <c r="CG28" s="62">
        <v>1.2538629706730291E-3</v>
      </c>
      <c r="CH28" s="62">
        <v>1.2536259060940079E-3</v>
      </c>
      <c r="CI28" s="62">
        <v>1.255807567279967E-3</v>
      </c>
      <c r="CJ28" s="62">
        <v>1.260314881331724E-3</v>
      </c>
      <c r="CK28" s="62">
        <v>1.267621156529063E-3</v>
      </c>
      <c r="CL28" s="62">
        <v>1.278058136887179E-3</v>
      </c>
      <c r="CM28" s="62">
        <v>1.291068172295429E-3</v>
      </c>
      <c r="CN28" s="62">
        <v>1.30705171137662E-3</v>
      </c>
      <c r="CO28" s="62">
        <v>1.32487805830851E-3</v>
      </c>
      <c r="CP28" s="62">
        <v>1.3441578451156089E-3</v>
      </c>
      <c r="CQ28" s="62">
        <v>1.3634726339127709E-3</v>
      </c>
      <c r="CR28" s="62">
        <v>1.3825233792961601E-3</v>
      </c>
      <c r="CS28" s="62">
        <v>1.399116092592577E-3</v>
      </c>
      <c r="CT28" s="62">
        <v>1.4123503184313589E-3</v>
      </c>
      <c r="CU28" s="62">
        <v>1.421400771931471E-3</v>
      </c>
      <c r="CV28" s="62">
        <v>1.425494031448561E-3</v>
      </c>
      <c r="CW28" s="62">
        <v>1.4248739356497639E-3</v>
      </c>
      <c r="CX28" s="62">
        <v>1.3221297239638481E-3</v>
      </c>
    </row>
    <row r="29" spans="1:103" x14ac:dyDescent="0.2">
      <c r="A29" s="56" t="s">
        <v>300</v>
      </c>
      <c r="C29" s="16"/>
      <c r="D29" s="16">
        <v>1.442845103262016</v>
      </c>
      <c r="E29" s="16">
        <v>1.5283053388489281</v>
      </c>
      <c r="F29" s="16">
        <v>1.533481407788297</v>
      </c>
      <c r="G29" s="16">
        <v>1.532629114994535</v>
      </c>
      <c r="H29" s="16">
        <v>1.532193533722046</v>
      </c>
      <c r="I29" s="16">
        <v>1.5321197613660471</v>
      </c>
      <c r="J29" s="16">
        <v>1.532423378226639</v>
      </c>
      <c r="K29" s="16">
        <v>1.533091890597909</v>
      </c>
      <c r="L29" s="16">
        <v>1.534133788262523</v>
      </c>
      <c r="M29" s="16">
        <v>1.5355270001582619</v>
      </c>
      <c r="N29" s="16">
        <v>1.5364972168826481</v>
      </c>
      <c r="O29" s="16">
        <v>1.536982867981932</v>
      </c>
      <c r="P29" s="16">
        <v>1.537804641642883</v>
      </c>
      <c r="Q29" s="16">
        <v>1.541165628068331</v>
      </c>
      <c r="R29" s="16">
        <v>1.5470581063793929</v>
      </c>
      <c r="S29" s="16">
        <v>1.5531724271737519</v>
      </c>
      <c r="T29" s="16">
        <v>1.559504653794443</v>
      </c>
      <c r="U29" s="16">
        <v>1.566039652227855</v>
      </c>
      <c r="V29" s="16">
        <v>1.571448004961709</v>
      </c>
      <c r="W29" s="16">
        <v>1.5756692324043251</v>
      </c>
      <c r="X29" s="16">
        <v>1.5800454093423559</v>
      </c>
      <c r="Y29" s="16">
        <v>1.584534493555966</v>
      </c>
      <c r="Z29" s="16">
        <v>1.58687803688683</v>
      </c>
      <c r="AA29" s="16">
        <v>1.5869512770324461</v>
      </c>
      <c r="AB29" s="16">
        <v>1.5870537308481789</v>
      </c>
      <c r="AC29" s="16">
        <v>1.587149615517979</v>
      </c>
      <c r="AD29" s="16">
        <v>1.5872661363436009</v>
      </c>
      <c r="AE29" s="16">
        <v>1.587392156737792</v>
      </c>
      <c r="AF29" s="16">
        <v>1.587536368542426</v>
      </c>
      <c r="AG29" s="16">
        <v>1.587663476308574</v>
      </c>
      <c r="AH29" s="16">
        <v>1.587805728209436</v>
      </c>
      <c r="AI29" s="16">
        <v>1.58791221803028</v>
      </c>
      <c r="AJ29" s="16">
        <v>1.588021092182123</v>
      </c>
      <c r="AK29" s="16">
        <v>1.5881343775909149</v>
      </c>
      <c r="AL29" s="16">
        <v>1.5882275504965471</v>
      </c>
      <c r="AM29" s="16">
        <v>1.588323669611319</v>
      </c>
      <c r="AN29" s="16">
        <v>1.588388916351136</v>
      </c>
      <c r="AO29" s="16">
        <v>1.5884655694812471</v>
      </c>
      <c r="AP29" s="16">
        <v>1.588515267636591</v>
      </c>
      <c r="AQ29" s="16">
        <v>1.588573843691125</v>
      </c>
      <c r="AR29" s="16">
        <v>1.588602334480065</v>
      </c>
      <c r="AS29" s="16">
        <v>1.5886664761020071</v>
      </c>
      <c r="AT29" s="16">
        <v>1.588677748010612</v>
      </c>
      <c r="AU29" s="16">
        <v>1.58872057855952</v>
      </c>
      <c r="AV29" s="16">
        <v>1.588749015349765</v>
      </c>
      <c r="AW29" s="16">
        <v>1.588773229026085</v>
      </c>
      <c r="AX29" s="16">
        <v>1.5888024030543531</v>
      </c>
      <c r="AY29" s="16">
        <v>1.5888288495781531</v>
      </c>
      <c r="AZ29" s="16">
        <v>1.5888388964384019</v>
      </c>
      <c r="BA29" s="16">
        <v>1.588885497358274</v>
      </c>
      <c r="BB29" s="16">
        <v>1.58890821382907</v>
      </c>
      <c r="BC29" s="16">
        <v>1.588959717840408</v>
      </c>
      <c r="BD29" s="16">
        <v>1.589002040962421</v>
      </c>
      <c r="BE29" s="16">
        <v>1.5890647791043531</v>
      </c>
      <c r="BF29" s="16">
        <v>1.589108216402723</v>
      </c>
      <c r="BG29" s="16">
        <v>1.5891830062912951</v>
      </c>
      <c r="BH29" s="16">
        <v>1.5892461536876561</v>
      </c>
      <c r="BI29" s="16">
        <v>1.589305249036838</v>
      </c>
      <c r="BJ29" s="16">
        <v>1.5893739346417779</v>
      </c>
      <c r="BK29" s="16">
        <v>1.5894349025680961</v>
      </c>
      <c r="BL29" s="16">
        <v>1.589510918130832</v>
      </c>
      <c r="BM29" s="16">
        <v>1.5895740627913699</v>
      </c>
      <c r="BN29" s="16">
        <v>1.589647863192605</v>
      </c>
      <c r="BO29" s="16">
        <v>1.589727098979834</v>
      </c>
      <c r="BP29" s="16">
        <v>1.58979458372422</v>
      </c>
      <c r="BQ29" s="16">
        <v>1.589856353570525</v>
      </c>
      <c r="BR29" s="16">
        <v>1.5899165915813609</v>
      </c>
      <c r="BS29" s="16">
        <v>1.5899678895000251</v>
      </c>
      <c r="BT29" s="16">
        <v>1.590025737944355</v>
      </c>
      <c r="BU29" s="16">
        <v>1.5900833489337729</v>
      </c>
      <c r="BV29" s="16">
        <v>1.5901341112255529</v>
      </c>
      <c r="BW29" s="16">
        <v>1.590167279225805</v>
      </c>
      <c r="BX29" s="16">
        <v>1.590210816576515</v>
      </c>
      <c r="BY29" s="16">
        <v>1.5902459309278061</v>
      </c>
      <c r="BZ29" s="16">
        <v>1.590286169659143</v>
      </c>
      <c r="CA29" s="16">
        <v>1.590322521350729</v>
      </c>
      <c r="CB29" s="16">
        <v>1.590332086990335</v>
      </c>
      <c r="CC29" s="16">
        <v>1.5903626396269459</v>
      </c>
      <c r="CD29" s="16">
        <v>1.5903907496110681</v>
      </c>
      <c r="CE29" s="16">
        <v>1.59041887228453</v>
      </c>
      <c r="CF29" s="16">
        <v>1.590448173002361</v>
      </c>
      <c r="CG29" s="16">
        <v>1.5904787832275631</v>
      </c>
      <c r="CH29" s="16">
        <v>1.590495538338718</v>
      </c>
      <c r="CI29" s="16">
        <v>1.590535101829168</v>
      </c>
      <c r="CJ29" s="16">
        <v>1.5905819522280911</v>
      </c>
      <c r="CK29" s="16">
        <v>1.590621401305629</v>
      </c>
      <c r="CL29" s="16">
        <v>1.5906526022187739</v>
      </c>
      <c r="CM29" s="16">
        <v>1.59068801108984</v>
      </c>
      <c r="CN29" s="16">
        <v>1.5907235952542931</v>
      </c>
      <c r="CO29" s="16">
        <v>1.590754856296515</v>
      </c>
      <c r="CP29" s="16">
        <v>1.5907984671406641</v>
      </c>
      <c r="CQ29" s="16">
        <v>1.5908462465475579</v>
      </c>
      <c r="CR29" s="16">
        <v>1.5908992248368961</v>
      </c>
      <c r="CS29" s="16">
        <v>1.590937971420098</v>
      </c>
      <c r="CT29" s="16">
        <v>1.5909710904372689</v>
      </c>
      <c r="CU29" s="16">
        <v>1.591021354016833</v>
      </c>
      <c r="CV29" s="16">
        <v>1.591069711596238</v>
      </c>
      <c r="CW29" s="16">
        <v>1.591102174994417</v>
      </c>
      <c r="CX29" s="16">
        <v>1.5911502549556791</v>
      </c>
    </row>
    <row r="30" spans="1:103" x14ac:dyDescent="0.2">
      <c r="A30" s="56" t="s">
        <v>301</v>
      </c>
      <c r="C30" s="17"/>
      <c r="D30" s="17">
        <v>79.27645365485219</v>
      </c>
      <c r="E30" s="17">
        <v>79.906507352893016</v>
      </c>
      <c r="F30" s="17">
        <v>80.006494880079842</v>
      </c>
      <c r="G30" s="17">
        <v>80.105888430427157</v>
      </c>
      <c r="H30" s="17">
        <v>80.205973296249866</v>
      </c>
      <c r="I30" s="17">
        <v>80.304032663527593</v>
      </c>
      <c r="J30" s="17">
        <v>80.402473368993839</v>
      </c>
      <c r="K30" s="17">
        <v>80.501238565708618</v>
      </c>
      <c r="L30" s="17">
        <v>80.601412206402401</v>
      </c>
      <c r="M30" s="17">
        <v>80.701364031654037</v>
      </c>
      <c r="N30" s="17">
        <v>80.802788716215673</v>
      </c>
      <c r="O30" s="17">
        <v>80.904293323750323</v>
      </c>
      <c r="P30" s="17">
        <v>81.008761940942449</v>
      </c>
      <c r="Q30" s="17">
        <v>81.113492378654769</v>
      </c>
      <c r="R30" s="17">
        <v>81.219032603845392</v>
      </c>
      <c r="S30" s="17">
        <v>81.326026777840255</v>
      </c>
      <c r="T30" s="17">
        <v>81.436236055808507</v>
      </c>
      <c r="U30" s="17">
        <v>81.547053498275545</v>
      </c>
      <c r="V30" s="17">
        <v>81.660161060787246</v>
      </c>
      <c r="W30" s="17">
        <v>81.774964064166042</v>
      </c>
      <c r="X30" s="17">
        <v>81.889684928673645</v>
      </c>
      <c r="Y30" s="17">
        <v>82.007400025918685</v>
      </c>
      <c r="Z30" s="17">
        <v>82.125160877919484</v>
      </c>
      <c r="AA30" s="17">
        <v>82.243333301644213</v>
      </c>
      <c r="AB30" s="17">
        <v>82.361932914114533</v>
      </c>
      <c r="AC30" s="17">
        <v>82.479597629130936</v>
      </c>
      <c r="AD30" s="17">
        <v>82.597232297059449</v>
      </c>
      <c r="AE30" s="17">
        <v>82.713861097395977</v>
      </c>
      <c r="AF30" s="17">
        <v>82.831921017087254</v>
      </c>
      <c r="AG30" s="17">
        <v>82.947377346391818</v>
      </c>
      <c r="AH30" s="17">
        <v>83.063965626220295</v>
      </c>
      <c r="AI30" s="17">
        <v>83.179284590368809</v>
      </c>
      <c r="AJ30" s="17">
        <v>83.295148331298705</v>
      </c>
      <c r="AK30" s="17">
        <v>83.410752781844224</v>
      </c>
      <c r="AL30" s="17">
        <v>83.526744647238999</v>
      </c>
      <c r="AM30" s="17">
        <v>83.641969582235177</v>
      </c>
      <c r="AN30" s="17">
        <v>83.756536713605499</v>
      </c>
      <c r="AO30" s="17">
        <v>83.870996879415245</v>
      </c>
      <c r="AP30" s="17">
        <v>83.985388946037986</v>
      </c>
      <c r="AQ30" s="17">
        <v>84.098648878768287</v>
      </c>
      <c r="AR30" s="17">
        <v>84.211517493096935</v>
      </c>
      <c r="AS30" s="17">
        <v>84.325810138292283</v>
      </c>
      <c r="AT30" s="17">
        <v>84.438085345067407</v>
      </c>
      <c r="AU30" s="17">
        <v>84.550112880876654</v>
      </c>
      <c r="AV30" s="17">
        <v>84.662757402737668</v>
      </c>
      <c r="AW30" s="17">
        <v>84.775723726902726</v>
      </c>
      <c r="AX30" s="17">
        <v>84.887556008250627</v>
      </c>
      <c r="AY30" s="17">
        <v>84.998719695067095</v>
      </c>
      <c r="AZ30" s="17">
        <v>85.110110421571804</v>
      </c>
      <c r="BA30" s="17">
        <v>85.221559262041097</v>
      </c>
      <c r="BB30" s="17">
        <v>85.332635973274321</v>
      </c>
      <c r="BC30" s="17">
        <v>85.44199646170172</v>
      </c>
      <c r="BD30" s="17">
        <v>85.551916938775875</v>
      </c>
      <c r="BE30" s="17">
        <v>85.662565413834088</v>
      </c>
      <c r="BF30" s="17">
        <v>85.771867974838287</v>
      </c>
      <c r="BG30" s="17">
        <v>85.881276869602232</v>
      </c>
      <c r="BH30" s="17">
        <v>85.991409584583963</v>
      </c>
      <c r="BI30" s="17">
        <v>86.099872923980755</v>
      </c>
      <c r="BJ30" s="17">
        <v>86.208916227611851</v>
      </c>
      <c r="BK30" s="17">
        <v>86.315763477305524</v>
      </c>
      <c r="BL30" s="17">
        <v>86.424458777114552</v>
      </c>
      <c r="BM30" s="17">
        <v>86.531380429028758</v>
      </c>
      <c r="BN30" s="17">
        <v>86.639119979341672</v>
      </c>
      <c r="BO30" s="17">
        <v>86.745913935109769</v>
      </c>
      <c r="BP30" s="17">
        <v>86.852029795467544</v>
      </c>
      <c r="BQ30" s="17">
        <v>86.958307865401906</v>
      </c>
      <c r="BR30" s="17">
        <v>87.064503093326877</v>
      </c>
      <c r="BS30" s="17">
        <v>87.169982062394411</v>
      </c>
      <c r="BT30" s="17">
        <v>87.275885175913317</v>
      </c>
      <c r="BU30" s="17">
        <v>87.379933645816735</v>
      </c>
      <c r="BV30" s="17">
        <v>87.484333233059047</v>
      </c>
      <c r="BW30" s="17">
        <v>87.589278934451599</v>
      </c>
      <c r="BX30" s="17">
        <v>87.69305679160091</v>
      </c>
      <c r="BY30" s="17">
        <v>87.79652662019474</v>
      </c>
      <c r="BZ30" s="17">
        <v>87.900592721035693</v>
      </c>
      <c r="CA30" s="17">
        <v>88.002343598766615</v>
      </c>
      <c r="CB30" s="17">
        <v>88.10396473654437</v>
      </c>
      <c r="CC30" s="17">
        <v>88.207011651891989</v>
      </c>
      <c r="CD30" s="17">
        <v>88.308268351031813</v>
      </c>
      <c r="CE30" s="17">
        <v>88.409488148619928</v>
      </c>
      <c r="CF30" s="17">
        <v>88.510399103802513</v>
      </c>
      <c r="CG30" s="17">
        <v>88.61193502349164</v>
      </c>
      <c r="CH30" s="17">
        <v>88.712284915247224</v>
      </c>
      <c r="CI30" s="17">
        <v>88.81197342178649</v>
      </c>
      <c r="CJ30" s="17">
        <v>88.910983625398472</v>
      </c>
      <c r="CK30" s="17">
        <v>89.011690344491996</v>
      </c>
      <c r="CL30" s="17">
        <v>89.110620625564565</v>
      </c>
      <c r="CM30" s="17">
        <v>89.208684555837635</v>
      </c>
      <c r="CN30" s="17">
        <v>89.305978157204976</v>
      </c>
      <c r="CO30" s="17">
        <v>89.40327901287742</v>
      </c>
      <c r="CP30" s="17">
        <v>89.500664756970963</v>
      </c>
      <c r="CQ30" s="17">
        <v>89.598403463384372</v>
      </c>
      <c r="CR30" s="17">
        <v>89.694937834348536</v>
      </c>
      <c r="CS30" s="17">
        <v>89.79108899657264</v>
      </c>
      <c r="CT30" s="17">
        <v>89.887041071024356</v>
      </c>
      <c r="CU30" s="17">
        <v>89.982261761693508</v>
      </c>
      <c r="CV30" s="17">
        <v>90.077407932454605</v>
      </c>
      <c r="CW30" s="17">
        <v>90.172013125376239</v>
      </c>
      <c r="CX30" s="17">
        <v>90.172188113333831</v>
      </c>
    </row>
    <row r="31" spans="1:103" x14ac:dyDescent="0.2">
      <c r="A31" s="56" t="s">
        <v>302</v>
      </c>
      <c r="C31" s="17"/>
      <c r="D31" s="17">
        <v>82.883852684301559</v>
      </c>
      <c r="E31" s="17">
        <v>83.43220148183832</v>
      </c>
      <c r="F31" s="17">
        <v>83.511115789014013</v>
      </c>
      <c r="G31" s="17">
        <v>83.590920950395031</v>
      </c>
      <c r="H31" s="17">
        <v>83.671723337805219</v>
      </c>
      <c r="I31" s="17">
        <v>83.750340613559999</v>
      </c>
      <c r="J31" s="17">
        <v>83.829038819321156</v>
      </c>
      <c r="K31" s="17">
        <v>83.910977264162995</v>
      </c>
      <c r="L31" s="17">
        <v>83.992988847111036</v>
      </c>
      <c r="M31" s="17">
        <v>84.076156839037822</v>
      </c>
      <c r="N31" s="17">
        <v>84.15967023795622</v>
      </c>
      <c r="O31" s="17">
        <v>84.245602653615805</v>
      </c>
      <c r="P31" s="17">
        <v>84.332957312894195</v>
      </c>
      <c r="Q31" s="17">
        <v>84.42180032809307</v>
      </c>
      <c r="R31" s="17">
        <v>84.512639561350483</v>
      </c>
      <c r="S31" s="17">
        <v>84.605493255264008</v>
      </c>
      <c r="T31" s="17">
        <v>84.699950894409582</v>
      </c>
      <c r="U31" s="17">
        <v>84.794945171800066</v>
      </c>
      <c r="V31" s="17">
        <v>84.892953375058994</v>
      </c>
      <c r="W31" s="17">
        <v>84.993265841281058</v>
      </c>
      <c r="X31" s="17">
        <v>85.094185212628105</v>
      </c>
      <c r="Y31" s="17">
        <v>85.197879533093229</v>
      </c>
      <c r="Z31" s="17">
        <v>85.302955343904955</v>
      </c>
      <c r="AA31" s="17">
        <v>85.408726528116787</v>
      </c>
      <c r="AB31" s="17">
        <v>85.515013042147999</v>
      </c>
      <c r="AC31" s="17">
        <v>85.619073992231435</v>
      </c>
      <c r="AD31" s="17">
        <v>85.724632546024381</v>
      </c>
      <c r="AE31" s="17">
        <v>85.828594531403169</v>
      </c>
      <c r="AF31" s="17">
        <v>85.932905580400487</v>
      </c>
      <c r="AG31" s="17">
        <v>86.036582044950734</v>
      </c>
      <c r="AH31" s="17">
        <v>86.139547359820227</v>
      </c>
      <c r="AI31" s="17">
        <v>86.244537801890957</v>
      </c>
      <c r="AJ31" s="17">
        <v>86.347652166264965</v>
      </c>
      <c r="AK31" s="17">
        <v>86.450287244752118</v>
      </c>
      <c r="AL31" s="17">
        <v>86.552161926350351</v>
      </c>
      <c r="AM31" s="17">
        <v>86.653825401491801</v>
      </c>
      <c r="AN31" s="17">
        <v>86.756115831518187</v>
      </c>
      <c r="AO31" s="17">
        <v>86.85732136851702</v>
      </c>
      <c r="AP31" s="17">
        <v>86.958494374356206</v>
      </c>
      <c r="AQ31" s="17">
        <v>87.05950435408387</v>
      </c>
      <c r="AR31" s="17">
        <v>87.160701335293879</v>
      </c>
      <c r="AS31" s="17">
        <v>87.26006571015003</v>
      </c>
      <c r="AT31" s="17">
        <v>87.360658448514329</v>
      </c>
      <c r="AU31" s="17">
        <v>87.459693991047061</v>
      </c>
      <c r="AV31" s="17">
        <v>87.560008100267396</v>
      </c>
      <c r="AW31" s="17">
        <v>87.658240578797432</v>
      </c>
      <c r="AX31" s="17">
        <v>87.75825433254623</v>
      </c>
      <c r="AY31" s="17">
        <v>87.856295388804028</v>
      </c>
      <c r="AZ31" s="17">
        <v>87.954320419276584</v>
      </c>
      <c r="BA31" s="17">
        <v>88.051508720829858</v>
      </c>
      <c r="BB31" s="17">
        <v>88.149154433612878</v>
      </c>
      <c r="BC31" s="17">
        <v>88.246214031809473</v>
      </c>
      <c r="BD31" s="17">
        <v>88.343965633420041</v>
      </c>
      <c r="BE31" s="17">
        <v>88.439593876055767</v>
      </c>
      <c r="BF31" s="17">
        <v>88.535907949883324</v>
      </c>
      <c r="BG31" s="17">
        <v>88.632368290939567</v>
      </c>
      <c r="BH31" s="17">
        <v>88.727825230970183</v>
      </c>
      <c r="BI31" s="17">
        <v>88.823012679041653</v>
      </c>
      <c r="BJ31" s="17">
        <v>88.918651118167929</v>
      </c>
      <c r="BK31" s="17">
        <v>89.01270405717888</v>
      </c>
      <c r="BL31" s="17">
        <v>89.106576689215643</v>
      </c>
      <c r="BM31" s="17">
        <v>89.201170134633529</v>
      </c>
      <c r="BN31" s="17">
        <v>89.296207608801481</v>
      </c>
      <c r="BO31" s="17">
        <v>89.389928299887103</v>
      </c>
      <c r="BP31" s="17">
        <v>89.48388180109508</v>
      </c>
      <c r="BQ31" s="17">
        <v>89.576953188621786</v>
      </c>
      <c r="BR31" s="17">
        <v>89.669568547030778</v>
      </c>
      <c r="BS31" s="17">
        <v>89.76111793356273</v>
      </c>
      <c r="BT31" s="17">
        <v>89.854243430352739</v>
      </c>
      <c r="BU31" s="17">
        <v>89.945306439462485</v>
      </c>
      <c r="BV31" s="17">
        <v>90.037636339173872</v>
      </c>
      <c r="BW31" s="17">
        <v>90.128568294078065</v>
      </c>
      <c r="BX31" s="17">
        <v>90.219462517332403</v>
      </c>
      <c r="BY31" s="17">
        <v>90.310101512299042</v>
      </c>
      <c r="BZ31" s="17">
        <v>90.400122493236651</v>
      </c>
      <c r="CA31" s="17">
        <v>90.489584160675108</v>
      </c>
      <c r="CB31" s="17">
        <v>90.579712417299021</v>
      </c>
      <c r="CC31" s="17">
        <v>90.668882635015848</v>
      </c>
      <c r="CD31" s="17">
        <v>90.757609218664584</v>
      </c>
      <c r="CE31" s="17">
        <v>90.846983682117269</v>
      </c>
      <c r="CF31" s="17">
        <v>90.935934417985379</v>
      </c>
      <c r="CG31" s="17">
        <v>91.023512413725626</v>
      </c>
      <c r="CH31" s="17">
        <v>91.110933697777497</v>
      </c>
      <c r="CI31" s="17">
        <v>91.197796150827543</v>
      </c>
      <c r="CJ31" s="17">
        <v>91.285312572697251</v>
      </c>
      <c r="CK31" s="17">
        <v>91.371054301169337</v>
      </c>
      <c r="CL31" s="17">
        <v>91.456999612712309</v>
      </c>
      <c r="CM31" s="17">
        <v>91.544141726362255</v>
      </c>
      <c r="CN31" s="17">
        <v>91.629667919476802</v>
      </c>
      <c r="CO31" s="17">
        <v>91.714302794847953</v>
      </c>
      <c r="CP31" s="17">
        <v>91.799885405394235</v>
      </c>
      <c r="CQ31" s="17">
        <v>91.883134997836706</v>
      </c>
      <c r="CR31" s="17">
        <v>91.966898941860265</v>
      </c>
      <c r="CS31" s="17">
        <v>92.050553385342994</v>
      </c>
      <c r="CT31" s="17">
        <v>92.134051023650187</v>
      </c>
      <c r="CU31" s="17">
        <v>92.217529235116871</v>
      </c>
      <c r="CV31" s="17">
        <v>92.300435196326418</v>
      </c>
      <c r="CW31" s="17">
        <v>92.381899998221485</v>
      </c>
      <c r="CX31" s="17">
        <v>92.382147153877156</v>
      </c>
    </row>
    <row r="32" spans="1:103" ht="23.25" customHeight="1" x14ac:dyDescent="0.2">
      <c r="A32" s="56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spans="1:102" ht="23.25" customHeight="1" thickBot="1" x14ac:dyDescent="0.3">
      <c r="A33" s="52"/>
      <c r="B33" s="52"/>
      <c r="C33" s="51" t="s">
        <v>303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</row>
    <row r="34" spans="1:102" ht="23.25" customHeight="1" x14ac:dyDescent="0.2">
      <c r="A34" s="64" t="s">
        <v>127</v>
      </c>
      <c r="B34" s="54" t="s">
        <v>170</v>
      </c>
      <c r="C34" s="54" t="s">
        <v>128</v>
      </c>
      <c r="D34" s="54" t="s">
        <v>8</v>
      </c>
      <c r="E34" s="54" t="s">
        <v>9</v>
      </c>
      <c r="F34" s="54" t="s">
        <v>10</v>
      </c>
      <c r="G34" s="54" t="s">
        <v>11</v>
      </c>
      <c r="H34" s="54" t="s">
        <v>12</v>
      </c>
      <c r="I34" s="54" t="s">
        <v>13</v>
      </c>
      <c r="J34" s="54" t="s">
        <v>14</v>
      </c>
      <c r="K34" s="54" t="s">
        <v>15</v>
      </c>
      <c r="L34" s="54" t="s">
        <v>16</v>
      </c>
      <c r="M34" s="54" t="s">
        <v>17</v>
      </c>
      <c r="N34" s="54" t="s">
        <v>18</v>
      </c>
      <c r="O34" s="54" t="s">
        <v>19</v>
      </c>
      <c r="P34" s="54" t="s">
        <v>20</v>
      </c>
      <c r="Q34" s="54" t="s">
        <v>21</v>
      </c>
      <c r="R34" s="54" t="s">
        <v>22</v>
      </c>
      <c r="S34" s="54" t="s">
        <v>23</v>
      </c>
      <c r="T34" s="54" t="s">
        <v>24</v>
      </c>
      <c r="U34" s="54" t="s">
        <v>25</v>
      </c>
      <c r="V34" s="54" t="s">
        <v>26</v>
      </c>
      <c r="W34" s="54" t="s">
        <v>27</v>
      </c>
      <c r="X34" s="54" t="s">
        <v>28</v>
      </c>
      <c r="Y34" s="54" t="s">
        <v>29</v>
      </c>
      <c r="Z34" s="54" t="s">
        <v>30</v>
      </c>
      <c r="AA34" s="54" t="s">
        <v>31</v>
      </c>
      <c r="AB34" s="54" t="s">
        <v>32</v>
      </c>
      <c r="AC34" s="54" t="s">
        <v>33</v>
      </c>
      <c r="AD34" s="54" t="s">
        <v>34</v>
      </c>
      <c r="AE34" s="54" t="s">
        <v>35</v>
      </c>
      <c r="AF34" s="54" t="s">
        <v>36</v>
      </c>
      <c r="AG34" s="54" t="s">
        <v>37</v>
      </c>
      <c r="AH34" s="54" t="s">
        <v>38</v>
      </c>
      <c r="AI34" s="54" t="s">
        <v>39</v>
      </c>
      <c r="AJ34" s="54" t="s">
        <v>40</v>
      </c>
      <c r="AK34" s="54" t="s">
        <v>41</v>
      </c>
      <c r="AL34" s="54" t="s">
        <v>42</v>
      </c>
      <c r="AM34" s="54" t="s">
        <v>43</v>
      </c>
      <c r="AN34" s="54" t="s">
        <v>44</v>
      </c>
      <c r="AO34" s="54" t="s">
        <v>45</v>
      </c>
      <c r="AP34" s="54" t="s">
        <v>46</v>
      </c>
      <c r="AQ34" s="54" t="s">
        <v>47</v>
      </c>
      <c r="AR34" s="54" t="s">
        <v>48</v>
      </c>
      <c r="AS34" s="54" t="s">
        <v>49</v>
      </c>
      <c r="AT34" s="54" t="s">
        <v>50</v>
      </c>
      <c r="AU34" s="54" t="s">
        <v>51</v>
      </c>
      <c r="AV34" s="54" t="s">
        <v>52</v>
      </c>
      <c r="AW34" s="54" t="s">
        <v>53</v>
      </c>
      <c r="AX34" s="54" t="s">
        <v>54</v>
      </c>
      <c r="AY34" s="54" t="s">
        <v>55</v>
      </c>
      <c r="AZ34" s="54" t="s">
        <v>56</v>
      </c>
      <c r="BA34" s="54" t="s">
        <v>57</v>
      </c>
      <c r="BB34" s="54" t="s">
        <v>58</v>
      </c>
      <c r="BC34" s="54" t="s">
        <v>59</v>
      </c>
      <c r="BD34" s="54" t="s">
        <v>60</v>
      </c>
      <c r="BE34" s="54" t="s">
        <v>61</v>
      </c>
      <c r="BF34" s="54" t="s">
        <v>62</v>
      </c>
      <c r="BG34" s="54" t="s">
        <v>63</v>
      </c>
      <c r="BH34" s="54" t="s">
        <v>64</v>
      </c>
      <c r="BI34" s="54" t="s">
        <v>65</v>
      </c>
      <c r="BJ34" s="54" t="s">
        <v>66</v>
      </c>
      <c r="BK34" s="54" t="s">
        <v>67</v>
      </c>
      <c r="BL34" s="54" t="s">
        <v>68</v>
      </c>
      <c r="BM34" s="54" t="s">
        <v>69</v>
      </c>
      <c r="BN34" s="54" t="s">
        <v>70</v>
      </c>
      <c r="BO34" s="54" t="s">
        <v>71</v>
      </c>
      <c r="BP34" s="54" t="s">
        <v>72</v>
      </c>
      <c r="BQ34" s="54" t="s">
        <v>73</v>
      </c>
      <c r="BR34" s="54" t="s">
        <v>74</v>
      </c>
      <c r="BS34" s="54" t="s">
        <v>75</v>
      </c>
      <c r="BT34" s="54" t="s">
        <v>76</v>
      </c>
      <c r="BU34" s="54" t="s">
        <v>77</v>
      </c>
      <c r="BV34" s="54" t="s">
        <v>78</v>
      </c>
      <c r="BW34" s="54" t="s">
        <v>79</v>
      </c>
      <c r="BX34" s="54" t="s">
        <v>80</v>
      </c>
      <c r="BY34" s="54" t="s">
        <v>81</v>
      </c>
      <c r="BZ34" s="54" t="s">
        <v>82</v>
      </c>
      <c r="CA34" s="54" t="s">
        <v>83</v>
      </c>
      <c r="CB34" s="54" t="s">
        <v>84</v>
      </c>
      <c r="CC34" s="54" t="s">
        <v>85</v>
      </c>
      <c r="CD34" s="54" t="s">
        <v>86</v>
      </c>
      <c r="CE34" s="54" t="s">
        <v>87</v>
      </c>
      <c r="CF34" s="54" t="s">
        <v>88</v>
      </c>
      <c r="CG34" s="54" t="s">
        <v>89</v>
      </c>
      <c r="CH34" s="54" t="s">
        <v>90</v>
      </c>
      <c r="CI34" s="54" t="s">
        <v>91</v>
      </c>
      <c r="CJ34" s="54" t="s">
        <v>92</v>
      </c>
      <c r="CK34" s="54" t="s">
        <v>93</v>
      </c>
      <c r="CL34" s="54" t="s">
        <v>94</v>
      </c>
      <c r="CM34" s="54" t="s">
        <v>95</v>
      </c>
      <c r="CN34" s="54" t="s">
        <v>96</v>
      </c>
      <c r="CO34" s="54" t="s">
        <v>97</v>
      </c>
      <c r="CP34" s="54" t="s">
        <v>98</v>
      </c>
      <c r="CQ34" s="54" t="s">
        <v>99</v>
      </c>
      <c r="CR34" s="54" t="s">
        <v>100</v>
      </c>
      <c r="CS34" s="54" t="s">
        <v>101</v>
      </c>
      <c r="CT34" s="54" t="s">
        <v>102</v>
      </c>
      <c r="CU34" s="54" t="s">
        <v>103</v>
      </c>
      <c r="CV34" s="54" t="s">
        <v>104</v>
      </c>
      <c r="CW34" s="54" t="s">
        <v>105</v>
      </c>
      <c r="CX34" s="54" t="s">
        <v>106</v>
      </c>
    </row>
    <row r="35" spans="1:102" x14ac:dyDescent="0.2">
      <c r="A35" s="55" t="s">
        <v>286</v>
      </c>
      <c r="B35" s="55" t="s">
        <v>286</v>
      </c>
      <c r="C35" s="55" t="s">
        <v>286</v>
      </c>
      <c r="D35" s="55" t="s">
        <v>286</v>
      </c>
      <c r="E35" s="55" t="s">
        <v>286</v>
      </c>
      <c r="F35" s="55" t="s">
        <v>286</v>
      </c>
      <c r="G35" s="55" t="s">
        <v>286</v>
      </c>
      <c r="H35" s="55" t="s">
        <v>286</v>
      </c>
      <c r="I35" s="55" t="s">
        <v>286</v>
      </c>
      <c r="J35" s="55" t="s">
        <v>286</v>
      </c>
      <c r="K35" s="55" t="s">
        <v>286</v>
      </c>
      <c r="L35" s="55" t="s">
        <v>286</v>
      </c>
      <c r="M35" s="55" t="s">
        <v>286</v>
      </c>
      <c r="N35" s="55" t="s">
        <v>286</v>
      </c>
      <c r="O35" s="55" t="s">
        <v>286</v>
      </c>
      <c r="P35" s="55" t="s">
        <v>286</v>
      </c>
      <c r="Q35" s="55" t="s">
        <v>286</v>
      </c>
      <c r="R35" s="55" t="s">
        <v>286</v>
      </c>
      <c r="S35" s="55" t="s">
        <v>286</v>
      </c>
      <c r="T35" s="55" t="s">
        <v>286</v>
      </c>
      <c r="U35" s="55" t="s">
        <v>286</v>
      </c>
      <c r="V35" s="55" t="s">
        <v>286</v>
      </c>
      <c r="W35" s="55" t="s">
        <v>286</v>
      </c>
      <c r="X35" s="55" t="s">
        <v>286</v>
      </c>
      <c r="Y35" s="55" t="s">
        <v>286</v>
      </c>
      <c r="Z35" s="55" t="s">
        <v>286</v>
      </c>
      <c r="AA35" s="57" t="s">
        <v>286</v>
      </c>
      <c r="AB35" s="55" t="s">
        <v>286</v>
      </c>
      <c r="AC35" s="55" t="s">
        <v>286</v>
      </c>
      <c r="AD35" s="55" t="s">
        <v>286</v>
      </c>
      <c r="AE35" s="55" t="s">
        <v>286</v>
      </c>
      <c r="AF35" s="55" t="s">
        <v>286</v>
      </c>
      <c r="AG35" s="55" t="s">
        <v>286</v>
      </c>
      <c r="AH35" s="55" t="s">
        <v>286</v>
      </c>
      <c r="AI35" s="55" t="s">
        <v>286</v>
      </c>
      <c r="AJ35" s="55" t="s">
        <v>286</v>
      </c>
      <c r="AK35" s="55" t="s">
        <v>286</v>
      </c>
      <c r="AL35" s="55" t="s">
        <v>286</v>
      </c>
      <c r="AM35" s="55" t="s">
        <v>286</v>
      </c>
      <c r="AN35" s="55" t="s">
        <v>286</v>
      </c>
      <c r="AO35" s="55" t="s">
        <v>286</v>
      </c>
      <c r="AP35" s="55" t="s">
        <v>286</v>
      </c>
      <c r="AQ35" s="55" t="s">
        <v>286</v>
      </c>
      <c r="AR35" s="55" t="s">
        <v>286</v>
      </c>
      <c r="AS35" s="55" t="s">
        <v>286</v>
      </c>
      <c r="AT35" s="55" t="s">
        <v>286</v>
      </c>
      <c r="AU35" s="55" t="s">
        <v>286</v>
      </c>
      <c r="AV35" s="55" t="s">
        <v>286</v>
      </c>
      <c r="AW35" s="55" t="s">
        <v>286</v>
      </c>
      <c r="AX35" s="55" t="s">
        <v>286</v>
      </c>
      <c r="AY35" s="55" t="s">
        <v>286</v>
      </c>
      <c r="AZ35" s="57" t="s">
        <v>286</v>
      </c>
      <c r="BA35" s="55" t="s">
        <v>286</v>
      </c>
      <c r="BB35" s="55" t="s">
        <v>286</v>
      </c>
      <c r="BC35" s="55" t="s">
        <v>286</v>
      </c>
      <c r="BD35" s="55" t="s">
        <v>286</v>
      </c>
      <c r="BE35" s="55" t="s">
        <v>286</v>
      </c>
      <c r="BF35" s="55" t="s">
        <v>286</v>
      </c>
      <c r="BG35" s="55" t="s">
        <v>286</v>
      </c>
      <c r="BH35" s="55" t="s">
        <v>286</v>
      </c>
      <c r="BI35" s="55" t="s">
        <v>286</v>
      </c>
      <c r="BJ35" s="55" t="s">
        <v>286</v>
      </c>
      <c r="BK35" s="55" t="s">
        <v>286</v>
      </c>
      <c r="BL35" s="55" t="s">
        <v>286</v>
      </c>
      <c r="BM35" s="55" t="s">
        <v>286</v>
      </c>
      <c r="BN35" s="55" t="s">
        <v>286</v>
      </c>
      <c r="BO35" s="55" t="s">
        <v>286</v>
      </c>
      <c r="BP35" s="55" t="s">
        <v>286</v>
      </c>
      <c r="BQ35" s="55" t="s">
        <v>286</v>
      </c>
      <c r="BR35" s="55" t="s">
        <v>286</v>
      </c>
      <c r="BS35" s="55" t="s">
        <v>286</v>
      </c>
      <c r="BT35" s="55" t="s">
        <v>286</v>
      </c>
      <c r="BU35" s="55" t="s">
        <v>286</v>
      </c>
      <c r="BV35" s="55" t="s">
        <v>286</v>
      </c>
      <c r="BW35" s="55" t="s">
        <v>286</v>
      </c>
      <c r="BX35" s="55" t="s">
        <v>286</v>
      </c>
      <c r="BY35" s="57" t="s">
        <v>286</v>
      </c>
      <c r="BZ35" s="55" t="s">
        <v>286</v>
      </c>
      <c r="CA35" s="55" t="s">
        <v>286</v>
      </c>
      <c r="CB35" s="55" t="s">
        <v>286</v>
      </c>
      <c r="CC35" s="55" t="s">
        <v>286</v>
      </c>
      <c r="CD35" s="55" t="s">
        <v>286</v>
      </c>
      <c r="CE35" s="55" t="s">
        <v>286</v>
      </c>
      <c r="CF35" s="55" t="s">
        <v>286</v>
      </c>
      <c r="CG35" s="55" t="s">
        <v>286</v>
      </c>
      <c r="CH35" s="55" t="s">
        <v>286</v>
      </c>
      <c r="CI35" s="55" t="s">
        <v>286</v>
      </c>
      <c r="CJ35" s="55" t="s">
        <v>286</v>
      </c>
      <c r="CK35" s="55" t="s">
        <v>286</v>
      </c>
      <c r="CL35" s="55" t="s">
        <v>286</v>
      </c>
      <c r="CM35" s="55" t="s">
        <v>286</v>
      </c>
      <c r="CN35" s="55" t="s">
        <v>286</v>
      </c>
      <c r="CO35" s="55" t="s">
        <v>286</v>
      </c>
      <c r="CP35" s="55" t="s">
        <v>286</v>
      </c>
      <c r="CQ35" s="55" t="s">
        <v>286</v>
      </c>
      <c r="CR35" s="55" t="s">
        <v>286</v>
      </c>
      <c r="CS35" s="55" t="s">
        <v>286</v>
      </c>
      <c r="CT35" s="55" t="s">
        <v>286</v>
      </c>
      <c r="CU35" s="55" t="s">
        <v>286</v>
      </c>
      <c r="CV35" s="55" t="s">
        <v>286</v>
      </c>
      <c r="CW35" s="55" t="s">
        <v>286</v>
      </c>
      <c r="CX35" s="57" t="s">
        <v>286</v>
      </c>
    </row>
    <row r="36" spans="1:102" ht="14.45" customHeight="1" x14ac:dyDescent="0.2">
      <c r="A36" s="65" t="s">
        <v>304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</row>
    <row r="37" spans="1:102" x14ac:dyDescent="0.2">
      <c r="A37" s="55" t="s">
        <v>305</v>
      </c>
      <c r="B37" s="10"/>
      <c r="C37" s="10"/>
      <c r="D37" s="10">
        <v>11469.125</v>
      </c>
      <c r="E37" s="10">
        <v>11443.204</v>
      </c>
      <c r="F37" s="10">
        <v>11409.617</v>
      </c>
      <c r="G37" s="10">
        <v>11354.763999999999</v>
      </c>
      <c r="H37" s="10">
        <v>11293.968000000001</v>
      </c>
      <c r="I37" s="10">
        <v>11244.058999999999</v>
      </c>
      <c r="J37" s="10">
        <v>11211.532999999999</v>
      </c>
      <c r="K37" s="10">
        <v>11181.447</v>
      </c>
      <c r="L37" s="10">
        <v>11143.663</v>
      </c>
      <c r="M37" s="10">
        <v>11126.504999999999</v>
      </c>
      <c r="N37" s="10">
        <v>11125.241</v>
      </c>
      <c r="O37" s="10">
        <v>11133.281000000001</v>
      </c>
      <c r="P37" s="10">
        <v>11152.585999999999</v>
      </c>
      <c r="Q37" s="10">
        <v>11197.787</v>
      </c>
      <c r="R37" s="10">
        <v>11232.598</v>
      </c>
      <c r="S37" s="10">
        <v>11302.478999999999</v>
      </c>
      <c r="T37" s="10">
        <v>11331.558000000001</v>
      </c>
      <c r="U37" s="10">
        <v>11357.978999999999</v>
      </c>
      <c r="V37" s="10">
        <v>11384.964</v>
      </c>
      <c r="W37" s="10">
        <v>11412.462</v>
      </c>
      <c r="X37" s="10">
        <v>11441.052</v>
      </c>
      <c r="Y37" s="10">
        <v>11470.862999999999</v>
      </c>
      <c r="Z37" s="10">
        <v>11500.281000000001</v>
      </c>
      <c r="AA37" s="10">
        <v>11527.575000000001</v>
      </c>
      <c r="AB37" s="10">
        <v>11552.093000000001</v>
      </c>
      <c r="AC37" s="10">
        <v>11573.576999999999</v>
      </c>
      <c r="AD37" s="10">
        <v>11591.647999999999</v>
      </c>
      <c r="AE37" s="10">
        <v>11605.906999999999</v>
      </c>
      <c r="AF37" s="10">
        <v>11615.103999999999</v>
      </c>
      <c r="AG37" s="10">
        <v>11617.888000000001</v>
      </c>
      <c r="AH37" s="10">
        <v>11614.066000000001</v>
      </c>
      <c r="AI37" s="10">
        <v>11603.976000000001</v>
      </c>
      <c r="AJ37" s="10">
        <v>11588.364</v>
      </c>
      <c r="AK37" s="10">
        <v>11568.745000000001</v>
      </c>
      <c r="AL37" s="10">
        <v>11546.616</v>
      </c>
      <c r="AM37" s="10">
        <v>11522.61</v>
      </c>
      <c r="AN37" s="10">
        <v>11497.572</v>
      </c>
      <c r="AO37" s="10">
        <v>11473.546</v>
      </c>
      <c r="AP37" s="10">
        <v>11452.338</v>
      </c>
      <c r="AQ37" s="10">
        <v>11434.496999999999</v>
      </c>
      <c r="AR37" s="10">
        <v>11420.393</v>
      </c>
      <c r="AS37" s="10">
        <v>11410.566000000001</v>
      </c>
      <c r="AT37" s="10">
        <v>11405.422</v>
      </c>
      <c r="AU37" s="10">
        <v>11404.758</v>
      </c>
      <c r="AV37" s="10">
        <v>11408.239</v>
      </c>
      <c r="AW37" s="10">
        <v>11415.715</v>
      </c>
      <c r="AX37" s="10">
        <v>11426.748</v>
      </c>
      <c r="AY37" s="10">
        <v>11440.683999999999</v>
      </c>
      <c r="AZ37" s="10">
        <v>11456.855</v>
      </c>
      <c r="BA37" s="10">
        <v>11474.534</v>
      </c>
      <c r="BB37" s="10">
        <v>11493.288</v>
      </c>
      <c r="BC37" s="10">
        <v>11512.599</v>
      </c>
      <c r="BD37" s="10">
        <v>11531.773999999999</v>
      </c>
      <c r="BE37" s="10">
        <v>11550.439</v>
      </c>
      <c r="BF37" s="10">
        <v>11568.16</v>
      </c>
      <c r="BG37" s="10">
        <v>11584.673000000001</v>
      </c>
      <c r="BH37" s="10">
        <v>11599.562</v>
      </c>
      <c r="BI37" s="10">
        <v>11612.285</v>
      </c>
      <c r="BJ37" s="10">
        <v>11622.754000000001</v>
      </c>
      <c r="BK37" s="10">
        <v>11630.921</v>
      </c>
      <c r="BL37" s="10">
        <v>11636.76</v>
      </c>
      <c r="BM37" s="10">
        <v>11640.343000000001</v>
      </c>
      <c r="BN37" s="10">
        <v>11641.726000000001</v>
      </c>
      <c r="BO37" s="10">
        <v>11641.008</v>
      </c>
      <c r="BP37" s="10">
        <v>11638.47</v>
      </c>
      <c r="BQ37" s="10">
        <v>11634.37</v>
      </c>
      <c r="BR37" s="10">
        <v>11629.021000000001</v>
      </c>
      <c r="BS37" s="10">
        <v>11622.785</v>
      </c>
      <c r="BT37" s="10">
        <v>11616.063</v>
      </c>
      <c r="BU37" s="10">
        <v>11609.243</v>
      </c>
      <c r="BV37" s="10">
        <v>11602.717000000001</v>
      </c>
      <c r="BW37" s="10">
        <v>11596.84</v>
      </c>
      <c r="BX37" s="10">
        <v>11591.933000000001</v>
      </c>
      <c r="BY37" s="10">
        <v>11588.273999999999</v>
      </c>
      <c r="BZ37" s="10">
        <v>11586.07</v>
      </c>
      <c r="CA37" s="10">
        <v>11585.462</v>
      </c>
      <c r="CB37" s="10">
        <v>11586.535</v>
      </c>
      <c r="CC37" s="10">
        <v>11589.271000000001</v>
      </c>
      <c r="CD37" s="10">
        <v>11593.628000000001</v>
      </c>
      <c r="CE37" s="10">
        <v>11599.477999999999</v>
      </c>
      <c r="CF37" s="10">
        <v>11606.651</v>
      </c>
      <c r="CG37" s="10">
        <v>11614.933999999999</v>
      </c>
      <c r="CH37" s="10">
        <v>11624.11</v>
      </c>
      <c r="CI37" s="10">
        <v>11633.911</v>
      </c>
      <c r="CJ37" s="10">
        <v>11644.066000000001</v>
      </c>
      <c r="CK37" s="10">
        <v>11654.316000000001</v>
      </c>
      <c r="CL37" s="10">
        <v>11664.429</v>
      </c>
      <c r="CM37" s="10">
        <v>11674.173000000001</v>
      </c>
      <c r="CN37" s="10">
        <v>11683.343000000001</v>
      </c>
      <c r="CO37" s="10">
        <v>11691.779</v>
      </c>
      <c r="CP37" s="10">
        <v>11699.35</v>
      </c>
      <c r="CQ37" s="10">
        <v>11705.949000000001</v>
      </c>
      <c r="CR37" s="10">
        <v>11711.538</v>
      </c>
      <c r="CS37" s="10">
        <v>11716.083000000001</v>
      </c>
      <c r="CT37" s="10">
        <v>11719.602000000001</v>
      </c>
      <c r="CU37" s="10">
        <v>11722.156999999999</v>
      </c>
      <c r="CV37" s="10">
        <v>11723.807000000001</v>
      </c>
      <c r="CW37" s="10">
        <v>11724.668</v>
      </c>
      <c r="CX37" s="10">
        <v>11724.861000000001</v>
      </c>
    </row>
    <row r="38" spans="1:102" x14ac:dyDescent="0.2">
      <c r="A38" s="55" t="s">
        <v>306</v>
      </c>
      <c r="B38" s="10"/>
      <c r="C38" s="10"/>
      <c r="D38" s="10">
        <v>12613.527</v>
      </c>
      <c r="E38" s="10">
        <v>12805.728999999999</v>
      </c>
      <c r="F38" s="10">
        <v>12976.781000000001</v>
      </c>
      <c r="G38" s="10">
        <v>13128.398999999999</v>
      </c>
      <c r="H38" s="10">
        <v>13222.996999999999</v>
      </c>
      <c r="I38" s="10">
        <v>13269.391</v>
      </c>
      <c r="J38" s="10">
        <v>13293.395</v>
      </c>
      <c r="K38" s="10">
        <v>13330.736999999999</v>
      </c>
      <c r="L38" s="10">
        <v>13377.254999999999</v>
      </c>
      <c r="M38" s="10">
        <v>13397.606</v>
      </c>
      <c r="N38" s="10">
        <v>13395.884</v>
      </c>
      <c r="O38" s="10">
        <v>13374.665000000001</v>
      </c>
      <c r="P38" s="10">
        <v>13342.611000000001</v>
      </c>
      <c r="Q38" s="10">
        <v>13289.419</v>
      </c>
      <c r="R38" s="10">
        <v>13236.535</v>
      </c>
      <c r="S38" s="10">
        <v>13122.173000000001</v>
      </c>
      <c r="T38" s="10">
        <v>13059.402</v>
      </c>
      <c r="U38" s="10">
        <v>12998.337</v>
      </c>
      <c r="V38" s="10">
        <v>12925.2</v>
      </c>
      <c r="W38" s="10">
        <v>12855.44</v>
      </c>
      <c r="X38" s="10">
        <v>12806.072</v>
      </c>
      <c r="Y38" s="10">
        <v>12774.016</v>
      </c>
      <c r="Z38" s="10">
        <v>12744.397999999999</v>
      </c>
      <c r="AA38" s="10">
        <v>12707.084999999999</v>
      </c>
      <c r="AB38" s="10">
        <v>12690.334999999999</v>
      </c>
      <c r="AC38" s="10">
        <v>12689.397999999999</v>
      </c>
      <c r="AD38" s="10">
        <v>12697.751</v>
      </c>
      <c r="AE38" s="10">
        <v>12717.313</v>
      </c>
      <c r="AF38" s="10">
        <v>12762.67</v>
      </c>
      <c r="AG38" s="10">
        <v>12797.677</v>
      </c>
      <c r="AH38" s="10">
        <v>12867.636</v>
      </c>
      <c r="AI38" s="10">
        <v>12896.918</v>
      </c>
      <c r="AJ38" s="10">
        <v>12923.531999999999</v>
      </c>
      <c r="AK38" s="10">
        <v>12950.73</v>
      </c>
      <c r="AL38" s="10">
        <v>12978.449000000001</v>
      </c>
      <c r="AM38" s="10">
        <v>13007.22</v>
      </c>
      <c r="AN38" s="10">
        <v>13037.216</v>
      </c>
      <c r="AO38" s="10">
        <v>13066.829</v>
      </c>
      <c r="AP38" s="10">
        <v>13094.29</v>
      </c>
      <c r="AQ38" s="10">
        <v>13118.98</v>
      </c>
      <c r="AR38" s="10">
        <v>13140.647999999999</v>
      </c>
      <c r="AS38" s="10">
        <v>13158.888000000001</v>
      </c>
      <c r="AT38" s="10">
        <v>13173.319</v>
      </c>
      <c r="AU38" s="10">
        <v>13182.663</v>
      </c>
      <c r="AV38" s="10">
        <v>13185.625</v>
      </c>
      <c r="AW38" s="10">
        <v>13181.995000000001</v>
      </c>
      <c r="AX38" s="10">
        <v>13172.11</v>
      </c>
      <c r="AY38" s="10">
        <v>13156.708000000001</v>
      </c>
      <c r="AZ38" s="10">
        <v>13137.31</v>
      </c>
      <c r="BA38" s="10">
        <v>13115.397000000001</v>
      </c>
      <c r="BB38" s="10">
        <v>13091.619000000001</v>
      </c>
      <c r="BC38" s="10">
        <v>13066.787</v>
      </c>
      <c r="BD38" s="10">
        <v>13042.974</v>
      </c>
      <c r="BE38" s="10">
        <v>13021.96</v>
      </c>
      <c r="BF38" s="10">
        <v>13004.32</v>
      </c>
      <c r="BG38" s="10">
        <v>12990.415999999999</v>
      </c>
      <c r="BH38" s="10">
        <v>12980.782999999999</v>
      </c>
      <c r="BI38" s="10">
        <v>12975.837</v>
      </c>
      <c r="BJ38" s="10">
        <v>12975.352999999999</v>
      </c>
      <c r="BK38" s="10">
        <v>12979.013999999999</v>
      </c>
      <c r="BL38" s="10">
        <v>12986.666999999999</v>
      </c>
      <c r="BM38" s="10">
        <v>12997.848</v>
      </c>
      <c r="BN38" s="10">
        <v>13011.939</v>
      </c>
      <c r="BO38" s="10">
        <v>13028.266</v>
      </c>
      <c r="BP38" s="10">
        <v>13046.099</v>
      </c>
      <c r="BQ38" s="10">
        <v>13064.996999999999</v>
      </c>
      <c r="BR38" s="10">
        <v>13084.438</v>
      </c>
      <c r="BS38" s="10">
        <v>13103.753000000001</v>
      </c>
      <c r="BT38" s="10">
        <v>13122.553</v>
      </c>
      <c r="BU38" s="10">
        <v>13140.425999999999</v>
      </c>
      <c r="BV38" s="10">
        <v>13157.072</v>
      </c>
      <c r="BW38" s="10">
        <v>13172.096</v>
      </c>
      <c r="BX38" s="10">
        <v>13184.953</v>
      </c>
      <c r="BY38" s="10">
        <v>13195.541999999999</v>
      </c>
      <c r="BZ38" s="10">
        <v>13203.837</v>
      </c>
      <c r="CA38" s="10">
        <v>13209.808999999999</v>
      </c>
      <c r="CB38" s="10">
        <v>13213.534</v>
      </c>
      <c r="CC38" s="10">
        <v>13215.062</v>
      </c>
      <c r="CD38" s="10">
        <v>13214.486999999999</v>
      </c>
      <c r="CE38" s="10">
        <v>13212.084000000001</v>
      </c>
      <c r="CF38" s="10">
        <v>13208.126</v>
      </c>
      <c r="CG38" s="10">
        <v>13202.918</v>
      </c>
      <c r="CH38" s="10">
        <v>13196.823</v>
      </c>
      <c r="CI38" s="10">
        <v>13190.224</v>
      </c>
      <c r="CJ38" s="10">
        <v>13183.548000000001</v>
      </c>
      <c r="CK38" s="10">
        <v>13177.172</v>
      </c>
      <c r="CL38" s="10">
        <v>13171.431</v>
      </c>
      <c r="CM38" s="10">
        <v>13166.655000000001</v>
      </c>
      <c r="CN38" s="10">
        <v>13163.137000000001</v>
      </c>
      <c r="CO38" s="10">
        <v>13161.062</v>
      </c>
      <c r="CP38" s="10">
        <v>13160.584000000001</v>
      </c>
      <c r="CQ38" s="10">
        <v>13161.78</v>
      </c>
      <c r="CR38" s="10">
        <v>13164.632</v>
      </c>
      <c r="CS38" s="10">
        <v>13169.115</v>
      </c>
      <c r="CT38" s="10">
        <v>13175.062</v>
      </c>
      <c r="CU38" s="10">
        <v>13182.349</v>
      </c>
      <c r="CV38" s="10">
        <v>13190.758</v>
      </c>
      <c r="CW38" s="10">
        <v>13200.037</v>
      </c>
      <c r="CX38" s="10">
        <v>13209.924000000001</v>
      </c>
    </row>
    <row r="39" spans="1:102" x14ac:dyDescent="0.2">
      <c r="A39" s="55" t="s">
        <v>307</v>
      </c>
      <c r="B39" s="10"/>
      <c r="C39" s="10"/>
      <c r="D39" s="10">
        <v>13933.754999999999</v>
      </c>
      <c r="E39" s="10">
        <v>14149.565000000001</v>
      </c>
      <c r="F39" s="10">
        <v>14298.888000000001</v>
      </c>
      <c r="G39" s="10">
        <v>14427.57</v>
      </c>
      <c r="H39" s="10">
        <v>14561.638000000001</v>
      </c>
      <c r="I39" s="10">
        <v>14661.894</v>
      </c>
      <c r="J39" s="10">
        <v>14763.77</v>
      </c>
      <c r="K39" s="10">
        <v>14816.022999999999</v>
      </c>
      <c r="L39" s="10">
        <v>14856.941999999999</v>
      </c>
      <c r="M39" s="10">
        <v>14889.337</v>
      </c>
      <c r="N39" s="10">
        <v>14898.963</v>
      </c>
      <c r="O39" s="10">
        <v>14920.77</v>
      </c>
      <c r="P39" s="10">
        <v>14927.207</v>
      </c>
      <c r="Q39" s="10">
        <v>14916.708000000001</v>
      </c>
      <c r="R39" s="10">
        <v>14920.9</v>
      </c>
      <c r="S39" s="10">
        <v>14973.757</v>
      </c>
      <c r="T39" s="10">
        <v>15012.978999999999</v>
      </c>
      <c r="U39" s="10">
        <v>15070.884</v>
      </c>
      <c r="V39" s="10">
        <v>15148.755999999999</v>
      </c>
      <c r="W39" s="10">
        <v>15207.853999999999</v>
      </c>
      <c r="X39" s="10">
        <v>15255.281000000001</v>
      </c>
      <c r="Y39" s="10">
        <v>15280.427</v>
      </c>
      <c r="Z39" s="10">
        <v>15318.688</v>
      </c>
      <c r="AA39" s="10">
        <v>15366.038</v>
      </c>
      <c r="AB39" s="10">
        <v>15387.307000000001</v>
      </c>
      <c r="AC39" s="10">
        <v>15386.626</v>
      </c>
      <c r="AD39" s="10">
        <v>15366.553</v>
      </c>
      <c r="AE39" s="10">
        <v>15335.684999999999</v>
      </c>
      <c r="AF39" s="10">
        <v>15283.691999999999</v>
      </c>
      <c r="AG39" s="10">
        <v>15232.105</v>
      </c>
      <c r="AH39" s="10">
        <v>15119.486000000001</v>
      </c>
      <c r="AI39" s="10">
        <v>15058.264999999999</v>
      </c>
      <c r="AJ39" s="10">
        <v>14998.799000000001</v>
      </c>
      <c r="AK39" s="10">
        <v>14927.43</v>
      </c>
      <c r="AL39" s="10">
        <v>14859.448</v>
      </c>
      <c r="AM39" s="10">
        <v>14811.695</v>
      </c>
      <c r="AN39" s="10">
        <v>14781.044</v>
      </c>
      <c r="AO39" s="10">
        <v>14752.842000000001</v>
      </c>
      <c r="AP39" s="10">
        <v>14717.058000000001</v>
      </c>
      <c r="AQ39" s="10">
        <v>14701.615</v>
      </c>
      <c r="AR39" s="10">
        <v>14701.823</v>
      </c>
      <c r="AS39" s="10">
        <v>14711.23</v>
      </c>
      <c r="AT39" s="10">
        <v>14731.716</v>
      </c>
      <c r="AU39" s="10">
        <v>14777.708000000001</v>
      </c>
      <c r="AV39" s="10">
        <v>14813.47</v>
      </c>
      <c r="AW39" s="10">
        <v>14883.838</v>
      </c>
      <c r="AX39" s="10">
        <v>14913.891</v>
      </c>
      <c r="AY39" s="10">
        <v>14941.312</v>
      </c>
      <c r="AZ39" s="10">
        <v>14969.313</v>
      </c>
      <c r="BA39" s="10">
        <v>14997.822</v>
      </c>
      <c r="BB39" s="10">
        <v>15027.380999999999</v>
      </c>
      <c r="BC39" s="10">
        <v>15058.135</v>
      </c>
      <c r="BD39" s="10">
        <v>15088.485000000001</v>
      </c>
      <c r="BE39" s="10">
        <v>15116.681</v>
      </c>
      <c r="BF39" s="10">
        <v>15142.096</v>
      </c>
      <c r="BG39" s="10">
        <v>15164.473</v>
      </c>
      <c r="BH39" s="10">
        <v>15183.424999999999</v>
      </c>
      <c r="BI39" s="10">
        <v>15198.547</v>
      </c>
      <c r="BJ39" s="10">
        <v>15208.614</v>
      </c>
      <c r="BK39" s="10">
        <v>15212.316000000001</v>
      </c>
      <c r="BL39" s="10">
        <v>15209.44</v>
      </c>
      <c r="BM39" s="10">
        <v>15200.338</v>
      </c>
      <c r="BN39" s="10">
        <v>15185.755999999999</v>
      </c>
      <c r="BO39" s="10">
        <v>15167.188</v>
      </c>
      <c r="BP39" s="10">
        <v>15146.132</v>
      </c>
      <c r="BQ39" s="10">
        <v>15123.217000000001</v>
      </c>
      <c r="BR39" s="10">
        <v>15099.27</v>
      </c>
      <c r="BS39" s="10">
        <v>15076.326999999999</v>
      </c>
      <c r="BT39" s="10">
        <v>15056.165000000001</v>
      </c>
      <c r="BU39" s="10">
        <v>15039.348</v>
      </c>
      <c r="BV39" s="10">
        <v>15026.231</v>
      </c>
      <c r="BW39" s="10">
        <v>15017.368</v>
      </c>
      <c r="BX39" s="10">
        <v>15013.173000000001</v>
      </c>
      <c r="BY39" s="10">
        <v>15013.415999999999</v>
      </c>
      <c r="BZ39" s="10">
        <v>15017.77</v>
      </c>
      <c r="CA39" s="10">
        <v>15026.082</v>
      </c>
      <c r="CB39" s="10">
        <v>15037.884</v>
      </c>
      <c r="CC39" s="10">
        <v>15052.582</v>
      </c>
      <c r="CD39" s="10">
        <v>15069.484</v>
      </c>
      <c r="CE39" s="10">
        <v>15087.896000000001</v>
      </c>
      <c r="CF39" s="10">
        <v>15107.358</v>
      </c>
      <c r="CG39" s="10">
        <v>15127.356</v>
      </c>
      <c r="CH39" s="10">
        <v>15147.200999999999</v>
      </c>
      <c r="CI39" s="10">
        <v>15166.535</v>
      </c>
      <c r="CJ39" s="10">
        <v>15184.924999999999</v>
      </c>
      <c r="CK39" s="10">
        <v>15202.093000000001</v>
      </c>
      <c r="CL39" s="10">
        <v>15217.636</v>
      </c>
      <c r="CM39" s="10">
        <v>15231.026</v>
      </c>
      <c r="CN39" s="10">
        <v>15242.15</v>
      </c>
      <c r="CO39" s="10">
        <v>15250.971</v>
      </c>
      <c r="CP39" s="10">
        <v>15257.48</v>
      </c>
      <c r="CQ39" s="10">
        <v>15261.739</v>
      </c>
      <c r="CR39" s="10">
        <v>15263.796</v>
      </c>
      <c r="CS39" s="10">
        <v>15263.75</v>
      </c>
      <c r="CT39" s="10">
        <v>15261.9</v>
      </c>
      <c r="CU39" s="10">
        <v>15258.476000000001</v>
      </c>
      <c r="CV39" s="10">
        <v>15253.790999999999</v>
      </c>
      <c r="CW39" s="10">
        <v>15248.232</v>
      </c>
      <c r="CX39" s="10">
        <v>15242.116</v>
      </c>
    </row>
    <row r="40" spans="1:102" x14ac:dyDescent="0.2">
      <c r="A40" s="55" t="s">
        <v>308</v>
      </c>
      <c r="B40" s="10"/>
      <c r="C40" s="10"/>
      <c r="D40" s="10">
        <v>13221.130999999999</v>
      </c>
      <c r="E40" s="10">
        <v>13161.795</v>
      </c>
      <c r="F40" s="10">
        <v>13128.700999999999</v>
      </c>
      <c r="G40" s="10">
        <v>13100.162</v>
      </c>
      <c r="H40" s="10">
        <v>13061.428</v>
      </c>
      <c r="I40" s="10">
        <v>13033.14</v>
      </c>
      <c r="J40" s="10">
        <v>13009.388999999999</v>
      </c>
      <c r="K40" s="10">
        <v>13042.572</v>
      </c>
      <c r="L40" s="10">
        <v>13065.527</v>
      </c>
      <c r="M40" s="10">
        <v>13136.619000000001</v>
      </c>
      <c r="N40" s="10">
        <v>13270.735000000001</v>
      </c>
      <c r="O40" s="10">
        <v>13436.163</v>
      </c>
      <c r="P40" s="10">
        <v>13627.657999999999</v>
      </c>
      <c r="Q40" s="10">
        <v>13847.846</v>
      </c>
      <c r="R40" s="10">
        <v>14083.715</v>
      </c>
      <c r="S40" s="10">
        <v>14285.565000000001</v>
      </c>
      <c r="T40" s="10">
        <v>14435.532999999999</v>
      </c>
      <c r="U40" s="10">
        <v>14534.365</v>
      </c>
      <c r="V40" s="10">
        <v>14627.758</v>
      </c>
      <c r="W40" s="10">
        <v>14742.804</v>
      </c>
      <c r="X40" s="10">
        <v>14842.939</v>
      </c>
      <c r="Y40" s="10">
        <v>14944.665000000001</v>
      </c>
      <c r="Z40" s="10">
        <v>14998.311</v>
      </c>
      <c r="AA40" s="10">
        <v>15041.008</v>
      </c>
      <c r="AB40" s="10">
        <v>15075.634</v>
      </c>
      <c r="AC40" s="10">
        <v>15088.575999999999</v>
      </c>
      <c r="AD40" s="10">
        <v>15113.558999999999</v>
      </c>
      <c r="AE40" s="10">
        <v>15123.796</v>
      </c>
      <c r="AF40" s="10">
        <v>15117.781000000001</v>
      </c>
      <c r="AG40" s="10">
        <v>15126.279</v>
      </c>
      <c r="AH40" s="10">
        <v>15182.382</v>
      </c>
      <c r="AI40" s="10">
        <v>15225.123</v>
      </c>
      <c r="AJ40" s="10">
        <v>15285.972</v>
      </c>
      <c r="AK40" s="10">
        <v>15366.328</v>
      </c>
      <c r="AL40" s="10">
        <v>15428.498</v>
      </c>
      <c r="AM40" s="10">
        <v>15478.843999999999</v>
      </c>
      <c r="AN40" s="10">
        <v>15507.236999999999</v>
      </c>
      <c r="AO40" s="10">
        <v>15548.153</v>
      </c>
      <c r="AP40" s="10">
        <v>15597.933000000001</v>
      </c>
      <c r="AQ40" s="10">
        <v>15621.977999999999</v>
      </c>
      <c r="AR40" s="10">
        <v>15624.44</v>
      </c>
      <c r="AS40" s="10">
        <v>15607.927</v>
      </c>
      <c r="AT40" s="10">
        <v>15580.725</v>
      </c>
      <c r="AU40" s="10">
        <v>15532.531999999999</v>
      </c>
      <c r="AV40" s="10">
        <v>15485.005999999999</v>
      </c>
      <c r="AW40" s="10">
        <v>15377.737999999999</v>
      </c>
      <c r="AX40" s="10">
        <v>15321.302</v>
      </c>
      <c r="AY40" s="10">
        <v>15266.684999999999</v>
      </c>
      <c r="AZ40" s="10">
        <v>15200.688</v>
      </c>
      <c r="BA40" s="10">
        <v>15138.026</v>
      </c>
      <c r="BB40" s="10">
        <v>15095.031999999999</v>
      </c>
      <c r="BC40" s="10">
        <v>15068.657999999999</v>
      </c>
      <c r="BD40" s="10">
        <v>15044.673000000001</v>
      </c>
      <c r="BE40" s="10">
        <v>15013.325000000001</v>
      </c>
      <c r="BF40" s="10">
        <v>15001.761</v>
      </c>
      <c r="BG40" s="10">
        <v>15005.375</v>
      </c>
      <c r="BH40" s="10">
        <v>15017.905000000001</v>
      </c>
      <c r="BI40" s="10">
        <v>15041.169</v>
      </c>
      <c r="BJ40" s="10">
        <v>15089.237999999999</v>
      </c>
      <c r="BK40" s="10">
        <v>15127.334999999999</v>
      </c>
      <c r="BL40" s="10">
        <v>15199.079</v>
      </c>
      <c r="BM40" s="10">
        <v>15231.563</v>
      </c>
      <c r="BN40" s="10">
        <v>15261.486999999999</v>
      </c>
      <c r="BO40" s="10">
        <v>15291.983</v>
      </c>
      <c r="BP40" s="10">
        <v>15322.95</v>
      </c>
      <c r="BQ40" s="10">
        <v>15354.933000000001</v>
      </c>
      <c r="BR40" s="10">
        <v>15388.058000000001</v>
      </c>
      <c r="BS40" s="10">
        <v>15420.727999999999</v>
      </c>
      <c r="BT40" s="10">
        <v>15451.235000000001</v>
      </c>
      <c r="BU40" s="10">
        <v>15478.928</v>
      </c>
      <c r="BV40" s="10">
        <v>15503.557000000001</v>
      </c>
      <c r="BW40" s="10">
        <v>15524.752</v>
      </c>
      <c r="BX40" s="10">
        <v>15542.108</v>
      </c>
      <c r="BY40" s="10">
        <v>15554.44</v>
      </c>
      <c r="BZ40" s="10">
        <v>15560.471</v>
      </c>
      <c r="CA40" s="10">
        <v>15560.003000000001</v>
      </c>
      <c r="CB40" s="10">
        <v>15553.383</v>
      </c>
      <c r="CC40" s="10">
        <v>15541.361000000001</v>
      </c>
      <c r="CD40" s="10">
        <v>15525.388000000001</v>
      </c>
      <c r="CE40" s="10">
        <v>15506.968000000001</v>
      </c>
      <c r="CF40" s="10">
        <v>15486.712</v>
      </c>
      <c r="CG40" s="10">
        <v>15465.439</v>
      </c>
      <c r="CH40" s="10">
        <v>15445.145</v>
      </c>
      <c r="CI40" s="10">
        <v>15427.606</v>
      </c>
      <c r="CJ40" s="10">
        <v>15413.331</v>
      </c>
      <c r="CK40" s="10">
        <v>15402.683999999999</v>
      </c>
      <c r="CL40" s="10">
        <v>15396.205</v>
      </c>
      <c r="CM40" s="10">
        <v>15394.295</v>
      </c>
      <c r="CN40" s="10">
        <v>15396.772000000001</v>
      </c>
      <c r="CO40" s="10">
        <v>15403.276</v>
      </c>
      <c r="CP40" s="10">
        <v>15413.643</v>
      </c>
      <c r="CQ40" s="10">
        <v>15427.418</v>
      </c>
      <c r="CR40" s="10">
        <v>15444.013000000001</v>
      </c>
      <c r="CS40" s="10">
        <v>15462.779</v>
      </c>
      <c r="CT40" s="10">
        <v>15482.983</v>
      </c>
      <c r="CU40" s="10">
        <v>15504.207</v>
      </c>
      <c r="CV40" s="10">
        <v>15525.924999999999</v>
      </c>
      <c r="CW40" s="10">
        <v>15547.486000000001</v>
      </c>
      <c r="CX40" s="10">
        <v>15568.323</v>
      </c>
    </row>
    <row r="41" spans="1:102" x14ac:dyDescent="0.2">
      <c r="A41" s="55" t="s">
        <v>309</v>
      </c>
      <c r="B41" s="10"/>
      <c r="C41" s="10"/>
      <c r="D41" s="10">
        <v>10796.819</v>
      </c>
      <c r="E41" s="10">
        <v>10973.055</v>
      </c>
      <c r="F41" s="10">
        <v>11177.153</v>
      </c>
      <c r="G41" s="10">
        <v>11384.598</v>
      </c>
      <c r="H41" s="10">
        <v>11599.226000000001</v>
      </c>
      <c r="I41" s="10">
        <v>11789.964</v>
      </c>
      <c r="J41" s="10">
        <v>11972.513999999999</v>
      </c>
      <c r="K41" s="10">
        <v>12135.415000000001</v>
      </c>
      <c r="L41" s="10">
        <v>12296.786</v>
      </c>
      <c r="M41" s="10">
        <v>12403.48</v>
      </c>
      <c r="N41" s="10">
        <v>12453.201999999999</v>
      </c>
      <c r="O41" s="10">
        <v>12454.42</v>
      </c>
      <c r="P41" s="10">
        <v>12431.24</v>
      </c>
      <c r="Q41" s="10">
        <v>12367.883</v>
      </c>
      <c r="R41" s="10">
        <v>12265.035</v>
      </c>
      <c r="S41" s="10">
        <v>12163.558999999999</v>
      </c>
      <c r="T41" s="10">
        <v>12107.085999999999</v>
      </c>
      <c r="U41" s="10">
        <v>12080.921</v>
      </c>
      <c r="V41" s="10">
        <v>12062.460999999999</v>
      </c>
      <c r="W41" s="10">
        <v>12039.132</v>
      </c>
      <c r="X41" s="10">
        <v>12029.91</v>
      </c>
      <c r="Y41" s="10">
        <v>12025.453</v>
      </c>
      <c r="Z41" s="10">
        <v>12073.456</v>
      </c>
      <c r="AA41" s="10">
        <v>12114.109</v>
      </c>
      <c r="AB41" s="10">
        <v>12197.871999999999</v>
      </c>
      <c r="AC41" s="10">
        <v>12338.502</v>
      </c>
      <c r="AD41" s="10">
        <v>12505.228999999999</v>
      </c>
      <c r="AE41" s="10">
        <v>12695.141</v>
      </c>
      <c r="AF41" s="10">
        <v>12910.154</v>
      </c>
      <c r="AG41" s="10">
        <v>13137.300999999999</v>
      </c>
      <c r="AH41" s="10">
        <v>13331.856</v>
      </c>
      <c r="AI41" s="10">
        <v>13481.069</v>
      </c>
      <c r="AJ41" s="10">
        <v>13583.790999999999</v>
      </c>
      <c r="AK41" s="10">
        <v>13680.566999999999</v>
      </c>
      <c r="AL41" s="10">
        <v>13797.065000000001</v>
      </c>
      <c r="AM41" s="10">
        <v>13898.973</v>
      </c>
      <c r="AN41" s="10">
        <v>14001.898999999999</v>
      </c>
      <c r="AO41" s="10">
        <v>14060.7</v>
      </c>
      <c r="AP41" s="10">
        <v>14109.279</v>
      </c>
      <c r="AQ41" s="10">
        <v>14150.715</v>
      </c>
      <c r="AR41" s="10">
        <v>14173.335999999999</v>
      </c>
      <c r="AS41" s="10">
        <v>14207.334000000001</v>
      </c>
      <c r="AT41" s="10">
        <v>14228.186</v>
      </c>
      <c r="AU41" s="10">
        <v>14234.544</v>
      </c>
      <c r="AV41" s="10">
        <v>14254.871999999999</v>
      </c>
      <c r="AW41" s="10">
        <v>14319.695</v>
      </c>
      <c r="AX41" s="10">
        <v>14371.921</v>
      </c>
      <c r="AY41" s="10">
        <v>14440.495000000001</v>
      </c>
      <c r="AZ41" s="10">
        <v>14527.331</v>
      </c>
      <c r="BA41" s="10">
        <v>14597.636</v>
      </c>
      <c r="BB41" s="10">
        <v>14655.662</v>
      </c>
      <c r="BC41" s="10">
        <v>14692.584999999999</v>
      </c>
      <c r="BD41" s="10">
        <v>14740.315000000001</v>
      </c>
      <c r="BE41" s="10">
        <v>14796.263999999999</v>
      </c>
      <c r="BF41" s="10">
        <v>14827.370999999999</v>
      </c>
      <c r="BG41" s="10">
        <v>14837.878000000001</v>
      </c>
      <c r="BH41" s="10">
        <v>14830.538</v>
      </c>
      <c r="BI41" s="10">
        <v>14812.681</v>
      </c>
      <c r="BJ41" s="10">
        <v>14774.074000000001</v>
      </c>
      <c r="BK41" s="10">
        <v>14736.936</v>
      </c>
      <c r="BL41" s="10">
        <v>14643.766</v>
      </c>
      <c r="BM41" s="10">
        <v>14599.834000000001</v>
      </c>
      <c r="BN41" s="10">
        <v>14558.07</v>
      </c>
      <c r="BO41" s="10">
        <v>14506.429</v>
      </c>
      <c r="BP41" s="10">
        <v>14458.138000000001</v>
      </c>
      <c r="BQ41" s="10">
        <v>14427.977999999999</v>
      </c>
      <c r="BR41" s="10">
        <v>14413.050999999999</v>
      </c>
      <c r="BS41" s="10">
        <v>14400.412</v>
      </c>
      <c r="BT41" s="10">
        <v>14381.203</v>
      </c>
      <c r="BU41" s="10">
        <v>14380.155000000001</v>
      </c>
      <c r="BV41" s="10">
        <v>14393.045</v>
      </c>
      <c r="BW41" s="10">
        <v>14414.055</v>
      </c>
      <c r="BX41" s="10">
        <v>14444.835999999999</v>
      </c>
      <c r="BY41" s="10">
        <v>14498.27</v>
      </c>
      <c r="BZ41" s="10">
        <v>14542.57</v>
      </c>
      <c r="CA41" s="10">
        <v>14617.691999999999</v>
      </c>
      <c r="CB41" s="10">
        <v>14656.638999999999</v>
      </c>
      <c r="CC41" s="10">
        <v>14693.299000000001</v>
      </c>
      <c r="CD41" s="10">
        <v>14730.514999999999</v>
      </c>
      <c r="CE41" s="10">
        <v>14768.153</v>
      </c>
      <c r="CF41" s="10">
        <v>14806.695</v>
      </c>
      <c r="CG41" s="10">
        <v>14846.235000000001</v>
      </c>
      <c r="CH41" s="10">
        <v>14885.197</v>
      </c>
      <c r="CI41" s="10">
        <v>14921.891</v>
      </c>
      <c r="CJ41" s="10">
        <v>14955.709000000001</v>
      </c>
      <c r="CK41" s="10">
        <v>14986.425999999999</v>
      </c>
      <c r="CL41" s="10">
        <v>15013.666999999999</v>
      </c>
      <c r="CM41" s="10">
        <v>15037.022999999999</v>
      </c>
      <c r="CN41" s="10">
        <v>15055.404</v>
      </c>
      <c r="CO41" s="10">
        <v>15067.682000000001</v>
      </c>
      <c r="CP41" s="10">
        <v>15073.671</v>
      </c>
      <c r="CQ41" s="10">
        <v>15073.726000000001</v>
      </c>
      <c r="CR41" s="10">
        <v>15068.596</v>
      </c>
      <c r="CS41" s="10">
        <v>15059.682000000001</v>
      </c>
      <c r="CT41" s="10">
        <v>15048.44</v>
      </c>
      <c r="CU41" s="10">
        <v>15035.449000000001</v>
      </c>
      <c r="CV41" s="10">
        <v>15021.498</v>
      </c>
      <c r="CW41" s="10">
        <v>15008.478999999999</v>
      </c>
      <c r="CX41" s="10">
        <v>14997.387000000001</v>
      </c>
    </row>
    <row r="42" spans="1:102" x14ac:dyDescent="0.2">
      <c r="A42" s="55" t="s">
        <v>310</v>
      </c>
      <c r="B42" s="10"/>
      <c r="C42" s="10"/>
      <c r="D42" s="10">
        <v>6315.8789999999999</v>
      </c>
      <c r="E42" s="10">
        <v>6491.8549999999996</v>
      </c>
      <c r="F42" s="10">
        <v>6639.2359999999999</v>
      </c>
      <c r="G42" s="10">
        <v>6764.6940000000004</v>
      </c>
      <c r="H42" s="10">
        <v>6873.576</v>
      </c>
      <c r="I42" s="10">
        <v>6987.5110000000004</v>
      </c>
      <c r="J42" s="10">
        <v>7099.55</v>
      </c>
      <c r="K42" s="10">
        <v>7199.0879999999997</v>
      </c>
      <c r="L42" s="10">
        <v>7311.2849999999999</v>
      </c>
      <c r="M42" s="10">
        <v>7435.4409999999998</v>
      </c>
      <c r="N42" s="10">
        <v>7573.9120000000003</v>
      </c>
      <c r="O42" s="10">
        <v>7719.31</v>
      </c>
      <c r="P42" s="10">
        <v>7870.3130000000001</v>
      </c>
      <c r="Q42" s="10">
        <v>8039.152</v>
      </c>
      <c r="R42" s="10">
        <v>8223.3389999999999</v>
      </c>
      <c r="S42" s="10">
        <v>8414.875</v>
      </c>
      <c r="T42" s="10">
        <v>8613.6530000000002</v>
      </c>
      <c r="U42" s="10">
        <v>8813.3639999999996</v>
      </c>
      <c r="V42" s="10">
        <v>8999.7720000000008</v>
      </c>
      <c r="W42" s="10">
        <v>9181.2029999999995</v>
      </c>
      <c r="X42" s="10">
        <v>9350.5030000000006</v>
      </c>
      <c r="Y42" s="10">
        <v>9513.91</v>
      </c>
      <c r="Z42" s="10">
        <v>9653.0439999999999</v>
      </c>
      <c r="AA42" s="10">
        <v>9804.8160000000007</v>
      </c>
      <c r="AB42" s="10">
        <v>9922.9719999999998</v>
      </c>
      <c r="AC42" s="10">
        <v>10007.812</v>
      </c>
      <c r="AD42" s="10">
        <v>10060.221</v>
      </c>
      <c r="AE42" s="10">
        <v>10099.625</v>
      </c>
      <c r="AF42" s="10">
        <v>10122.780000000001</v>
      </c>
      <c r="AG42" s="10">
        <v>10128.098</v>
      </c>
      <c r="AH42" s="10">
        <v>10143.868</v>
      </c>
      <c r="AI42" s="10">
        <v>10207.306</v>
      </c>
      <c r="AJ42" s="10">
        <v>10299.995000000001</v>
      </c>
      <c r="AK42" s="10">
        <v>10389.941000000001</v>
      </c>
      <c r="AL42" s="10">
        <v>10473.626</v>
      </c>
      <c r="AM42" s="10">
        <v>10561.808000000001</v>
      </c>
      <c r="AN42" s="10">
        <v>10652.111999999999</v>
      </c>
      <c r="AO42" s="10">
        <v>10770.421</v>
      </c>
      <c r="AP42" s="10">
        <v>10897.09</v>
      </c>
      <c r="AQ42" s="10">
        <v>11036.333000000001</v>
      </c>
      <c r="AR42" s="10">
        <v>11200.52</v>
      </c>
      <c r="AS42" s="10">
        <v>11363.433000000001</v>
      </c>
      <c r="AT42" s="10">
        <v>11539.703</v>
      </c>
      <c r="AU42" s="10">
        <v>11727.793</v>
      </c>
      <c r="AV42" s="10">
        <v>11914.56</v>
      </c>
      <c r="AW42" s="10">
        <v>12084.946</v>
      </c>
      <c r="AX42" s="10">
        <v>12259.867</v>
      </c>
      <c r="AY42" s="10">
        <v>12420.995000000001</v>
      </c>
      <c r="AZ42" s="10">
        <v>12574.762000000001</v>
      </c>
      <c r="BA42" s="10">
        <v>12739.703</v>
      </c>
      <c r="BB42" s="10">
        <v>12893.674999999999</v>
      </c>
      <c r="BC42" s="10">
        <v>13047.31</v>
      </c>
      <c r="BD42" s="10">
        <v>13182.499</v>
      </c>
      <c r="BE42" s="10">
        <v>13311.284</v>
      </c>
      <c r="BF42" s="10">
        <v>13439.651</v>
      </c>
      <c r="BG42" s="10">
        <v>13567.796</v>
      </c>
      <c r="BH42" s="10">
        <v>13699.347</v>
      </c>
      <c r="BI42" s="10">
        <v>13825.647999999999</v>
      </c>
      <c r="BJ42" s="10">
        <v>13944.627</v>
      </c>
      <c r="BK42" s="10">
        <v>14070.688</v>
      </c>
      <c r="BL42" s="10">
        <v>14218.462</v>
      </c>
      <c r="BM42" s="10">
        <v>14356.093999999999</v>
      </c>
      <c r="BN42" s="10">
        <v>14494.272000000001</v>
      </c>
      <c r="BO42" s="10">
        <v>14641.489</v>
      </c>
      <c r="BP42" s="10">
        <v>14784.177</v>
      </c>
      <c r="BQ42" s="10">
        <v>14907.130999999999</v>
      </c>
      <c r="BR42" s="10">
        <v>15013.062</v>
      </c>
      <c r="BS42" s="10">
        <v>15115.306</v>
      </c>
      <c r="BT42" s="10">
        <v>15223.11</v>
      </c>
      <c r="BU42" s="10">
        <v>15312.28</v>
      </c>
      <c r="BV42" s="10">
        <v>15387.178</v>
      </c>
      <c r="BW42" s="10">
        <v>15453.722</v>
      </c>
      <c r="BX42" s="10">
        <v>15510.64</v>
      </c>
      <c r="BY42" s="10">
        <v>15546.377</v>
      </c>
      <c r="BZ42" s="10">
        <v>15594.174999999999</v>
      </c>
      <c r="CA42" s="10">
        <v>15614.358</v>
      </c>
      <c r="CB42" s="10">
        <v>15673.853999999999</v>
      </c>
      <c r="CC42" s="10">
        <v>15738.601000000001</v>
      </c>
      <c r="CD42" s="10">
        <v>15804.880999999999</v>
      </c>
      <c r="CE42" s="10">
        <v>15871.938</v>
      </c>
      <c r="CF42" s="10">
        <v>15939.008</v>
      </c>
      <c r="CG42" s="10">
        <v>16005.694</v>
      </c>
      <c r="CH42" s="10">
        <v>16072.241</v>
      </c>
      <c r="CI42" s="10">
        <v>16139.014999999999</v>
      </c>
      <c r="CJ42" s="10">
        <v>16206.593999999999</v>
      </c>
      <c r="CK42" s="10">
        <v>16275.243</v>
      </c>
      <c r="CL42" s="10">
        <v>16345.370999999999</v>
      </c>
      <c r="CM42" s="10">
        <v>16417.643</v>
      </c>
      <c r="CN42" s="10">
        <v>16493.618999999999</v>
      </c>
      <c r="CO42" s="10">
        <v>16574.965</v>
      </c>
      <c r="CP42" s="10">
        <v>16662.150000000001</v>
      </c>
      <c r="CQ42" s="10">
        <v>16755.252</v>
      </c>
      <c r="CR42" s="10">
        <v>16854.101999999999</v>
      </c>
      <c r="CS42" s="10">
        <v>16957.7</v>
      </c>
      <c r="CT42" s="10">
        <v>17064.884999999998</v>
      </c>
      <c r="CU42" s="10">
        <v>17174.966</v>
      </c>
      <c r="CV42" s="10">
        <v>17287.094000000001</v>
      </c>
      <c r="CW42" s="10">
        <v>17399.364000000001</v>
      </c>
      <c r="CX42" s="10">
        <v>17502.171999999999</v>
      </c>
    </row>
    <row r="43" spans="1:102" x14ac:dyDescent="0.2">
      <c r="B43" s="55"/>
      <c r="C43" s="55"/>
      <c r="D43" s="55" t="s">
        <v>286</v>
      </c>
      <c r="E43" s="55" t="s">
        <v>286</v>
      </c>
      <c r="F43" s="55" t="s">
        <v>286</v>
      </c>
      <c r="G43" s="55" t="s">
        <v>286</v>
      </c>
      <c r="H43" s="55" t="s">
        <v>286</v>
      </c>
      <c r="I43" s="55" t="s">
        <v>286</v>
      </c>
      <c r="J43" s="55" t="s">
        <v>286</v>
      </c>
      <c r="K43" s="55" t="s">
        <v>286</v>
      </c>
      <c r="L43" s="55" t="s">
        <v>286</v>
      </c>
      <c r="M43" s="55" t="s">
        <v>286</v>
      </c>
      <c r="N43" s="55" t="s">
        <v>286</v>
      </c>
      <c r="O43" s="55" t="s">
        <v>286</v>
      </c>
      <c r="P43" s="55" t="s">
        <v>286</v>
      </c>
      <c r="Q43" s="55" t="s">
        <v>286</v>
      </c>
      <c r="R43" s="55" t="s">
        <v>286</v>
      </c>
      <c r="S43" s="55" t="s">
        <v>286</v>
      </c>
      <c r="T43" s="55" t="s">
        <v>286</v>
      </c>
      <c r="U43" s="55" t="s">
        <v>286</v>
      </c>
      <c r="V43" s="55" t="s">
        <v>286</v>
      </c>
      <c r="W43" s="55" t="s">
        <v>286</v>
      </c>
      <c r="X43" s="55" t="s">
        <v>286</v>
      </c>
      <c r="Y43" s="55" t="s">
        <v>286</v>
      </c>
      <c r="Z43" s="55" t="s">
        <v>286</v>
      </c>
      <c r="AA43" s="57" t="s">
        <v>286</v>
      </c>
      <c r="AB43" s="55" t="s">
        <v>286</v>
      </c>
      <c r="AC43" s="55" t="s">
        <v>286</v>
      </c>
      <c r="AD43" s="55" t="s">
        <v>286</v>
      </c>
      <c r="AE43" s="55" t="s">
        <v>286</v>
      </c>
      <c r="AF43" s="55" t="s">
        <v>286</v>
      </c>
      <c r="AG43" s="55" t="s">
        <v>286</v>
      </c>
      <c r="AH43" s="55" t="s">
        <v>286</v>
      </c>
      <c r="AI43" s="55" t="s">
        <v>286</v>
      </c>
      <c r="AJ43" s="55" t="s">
        <v>286</v>
      </c>
      <c r="AK43" s="55" t="s">
        <v>286</v>
      </c>
      <c r="AL43" s="55" t="s">
        <v>286</v>
      </c>
      <c r="AM43" s="55" t="s">
        <v>286</v>
      </c>
      <c r="AN43" s="55" t="s">
        <v>286</v>
      </c>
      <c r="AO43" s="55" t="s">
        <v>286</v>
      </c>
      <c r="AP43" s="55" t="s">
        <v>286</v>
      </c>
      <c r="AQ43" s="55" t="s">
        <v>286</v>
      </c>
      <c r="AR43" s="55" t="s">
        <v>286</v>
      </c>
      <c r="AS43" s="55" t="s">
        <v>286</v>
      </c>
      <c r="AT43" s="55" t="s">
        <v>286</v>
      </c>
      <c r="AU43" s="55" t="s">
        <v>286</v>
      </c>
      <c r="AV43" s="55" t="s">
        <v>286</v>
      </c>
      <c r="AW43" s="55" t="s">
        <v>286</v>
      </c>
      <c r="AX43" s="55" t="s">
        <v>286</v>
      </c>
      <c r="AY43" s="55" t="s">
        <v>286</v>
      </c>
      <c r="AZ43" s="57" t="s">
        <v>286</v>
      </c>
      <c r="BA43" s="55" t="s">
        <v>286</v>
      </c>
      <c r="BB43" s="55" t="s">
        <v>286</v>
      </c>
      <c r="BC43" s="55" t="s">
        <v>286</v>
      </c>
      <c r="BD43" s="55" t="s">
        <v>286</v>
      </c>
      <c r="BE43" s="55" t="s">
        <v>286</v>
      </c>
      <c r="BF43" s="55" t="s">
        <v>286</v>
      </c>
      <c r="BG43" s="55" t="s">
        <v>286</v>
      </c>
      <c r="BH43" s="55" t="s">
        <v>286</v>
      </c>
      <c r="BI43" s="55" t="s">
        <v>286</v>
      </c>
      <c r="BJ43" s="55" t="s">
        <v>286</v>
      </c>
      <c r="BK43" s="55" t="s">
        <v>286</v>
      </c>
      <c r="BL43" s="55" t="s">
        <v>286</v>
      </c>
      <c r="BM43" s="55" t="s">
        <v>286</v>
      </c>
      <c r="BN43" s="55" t="s">
        <v>286</v>
      </c>
      <c r="BO43" s="55" t="s">
        <v>286</v>
      </c>
      <c r="BP43" s="55" t="s">
        <v>286</v>
      </c>
      <c r="BQ43" s="55" t="s">
        <v>286</v>
      </c>
      <c r="BR43" s="55" t="s">
        <v>286</v>
      </c>
      <c r="BS43" s="55" t="s">
        <v>286</v>
      </c>
      <c r="BT43" s="55" t="s">
        <v>286</v>
      </c>
      <c r="BU43" s="55" t="s">
        <v>286</v>
      </c>
      <c r="BV43" s="55" t="s">
        <v>286</v>
      </c>
      <c r="BW43" s="55" t="s">
        <v>286</v>
      </c>
      <c r="BX43" s="55" t="s">
        <v>286</v>
      </c>
      <c r="BY43" s="57" t="s">
        <v>286</v>
      </c>
      <c r="BZ43" s="55" t="s">
        <v>286</v>
      </c>
      <c r="CA43" s="55" t="s">
        <v>286</v>
      </c>
      <c r="CB43" s="55" t="s">
        <v>286</v>
      </c>
      <c r="CC43" s="55" t="s">
        <v>286</v>
      </c>
      <c r="CD43" s="55" t="s">
        <v>286</v>
      </c>
      <c r="CE43" s="55" t="s">
        <v>286</v>
      </c>
      <c r="CF43" s="55" t="s">
        <v>286</v>
      </c>
      <c r="CG43" s="55" t="s">
        <v>286</v>
      </c>
      <c r="CH43" s="55" t="s">
        <v>286</v>
      </c>
      <c r="CI43" s="55" t="s">
        <v>286</v>
      </c>
      <c r="CJ43" s="55" t="s">
        <v>286</v>
      </c>
      <c r="CK43" s="55" t="s">
        <v>286</v>
      </c>
      <c r="CL43" s="55" t="s">
        <v>286</v>
      </c>
      <c r="CM43" s="55" t="s">
        <v>286</v>
      </c>
      <c r="CN43" s="55" t="s">
        <v>286</v>
      </c>
      <c r="CO43" s="55" t="s">
        <v>286</v>
      </c>
      <c r="CP43" s="55" t="s">
        <v>286</v>
      </c>
      <c r="CQ43" s="55" t="s">
        <v>286</v>
      </c>
      <c r="CR43" s="55" t="s">
        <v>286</v>
      </c>
      <c r="CS43" s="55" t="s">
        <v>286</v>
      </c>
      <c r="CT43" s="55" t="s">
        <v>286</v>
      </c>
      <c r="CU43" s="55" t="s">
        <v>286</v>
      </c>
      <c r="CV43" s="55" t="s">
        <v>286</v>
      </c>
      <c r="CW43" s="55" t="s">
        <v>286</v>
      </c>
      <c r="CX43" s="57" t="s">
        <v>286</v>
      </c>
    </row>
    <row r="44" spans="1:102" x14ac:dyDescent="0.2">
      <c r="A44" s="55" t="s">
        <v>135</v>
      </c>
      <c r="B44" s="10"/>
      <c r="C44" s="10"/>
      <c r="D44" s="10">
        <v>68350.236000000004</v>
      </c>
      <c r="E44" s="10">
        <v>69025.202999999994</v>
      </c>
      <c r="F44" s="10">
        <v>69630.376000000004</v>
      </c>
      <c r="G44" s="10">
        <v>70160.187000000005</v>
      </c>
      <c r="H44" s="10">
        <v>70612.832999999999</v>
      </c>
      <c r="I44" s="10">
        <v>70985.959000000003</v>
      </c>
      <c r="J44" s="10">
        <v>71350.150999999998</v>
      </c>
      <c r="K44" s="10">
        <v>71705.282000000007</v>
      </c>
      <c r="L44" s="10">
        <v>72051.457999999999</v>
      </c>
      <c r="M44" s="10">
        <v>72388.987999999998</v>
      </c>
      <c r="N44" s="10">
        <v>72717.937000000005</v>
      </c>
      <c r="O44" s="10">
        <v>73038.608999999997</v>
      </c>
      <c r="P44" s="10">
        <v>73351.615000000005</v>
      </c>
      <c r="Q44" s="10">
        <v>73658.794999999998</v>
      </c>
      <c r="R44" s="10">
        <v>73962.122000000003</v>
      </c>
      <c r="S44" s="10">
        <v>74262.407999999996</v>
      </c>
      <c r="T44" s="10">
        <v>74560.210999999996</v>
      </c>
      <c r="U44" s="10">
        <v>74855.850000000006</v>
      </c>
      <c r="V44" s="10">
        <v>75148.910999999993</v>
      </c>
      <c r="W44" s="10">
        <v>75438.895000000004</v>
      </c>
      <c r="X44" s="10">
        <v>75725.756999999998</v>
      </c>
      <c r="Y44" s="10">
        <v>76009.334000000003</v>
      </c>
      <c r="Z44" s="10">
        <v>76288.178</v>
      </c>
      <c r="AA44" s="10">
        <v>76560.630999999994</v>
      </c>
      <c r="AB44" s="10">
        <v>76826.213000000003</v>
      </c>
      <c r="AC44" s="10">
        <v>77084.490999999995</v>
      </c>
      <c r="AD44" s="10">
        <v>77334.960999999996</v>
      </c>
      <c r="AE44" s="10">
        <v>77577.467000000004</v>
      </c>
      <c r="AF44" s="10">
        <v>77812.180999999997</v>
      </c>
      <c r="AG44" s="10">
        <v>78039.347999999998</v>
      </c>
      <c r="AH44" s="10">
        <v>78259.293999999994</v>
      </c>
      <c r="AI44" s="10">
        <v>78472.657000000007</v>
      </c>
      <c r="AJ44" s="10">
        <v>78680.452999999994</v>
      </c>
      <c r="AK44" s="10">
        <v>78883.740999999995</v>
      </c>
      <c r="AL44" s="10">
        <v>79083.702000000005</v>
      </c>
      <c r="AM44" s="10">
        <v>79281.149999999994</v>
      </c>
      <c r="AN44" s="10">
        <v>79477.08</v>
      </c>
      <c r="AO44" s="10">
        <v>79672.490999999995</v>
      </c>
      <c r="AP44" s="10">
        <v>79867.987999999998</v>
      </c>
      <c r="AQ44" s="10">
        <v>80064.118000000002</v>
      </c>
      <c r="AR44" s="10">
        <v>80261.16</v>
      </c>
      <c r="AS44" s="10">
        <v>80459.377999999997</v>
      </c>
      <c r="AT44" s="10">
        <v>80659.070999999996</v>
      </c>
      <c r="AU44" s="10">
        <v>80859.998000000007</v>
      </c>
      <c r="AV44" s="10">
        <v>81061.771999999997</v>
      </c>
      <c r="AW44" s="10">
        <v>81263.926999999996</v>
      </c>
      <c r="AX44" s="10">
        <v>81465.839000000007</v>
      </c>
      <c r="AY44" s="10">
        <v>81666.879000000001</v>
      </c>
      <c r="AZ44" s="10">
        <v>81866.259000000005</v>
      </c>
      <c r="BA44" s="10">
        <v>82063.118000000002</v>
      </c>
      <c r="BB44" s="10">
        <v>82256.657000000007</v>
      </c>
      <c r="BC44" s="10">
        <v>82446.073999999993</v>
      </c>
      <c r="BD44" s="10">
        <v>82630.720000000001</v>
      </c>
      <c r="BE44" s="10">
        <v>82809.952999999994</v>
      </c>
      <c r="BF44" s="10">
        <v>82983.358999999997</v>
      </c>
      <c r="BG44" s="10">
        <v>83150.611000000004</v>
      </c>
      <c r="BH44" s="10">
        <v>83311.56</v>
      </c>
      <c r="BI44" s="10">
        <v>83466.167000000001</v>
      </c>
      <c r="BJ44" s="10">
        <v>83614.66</v>
      </c>
      <c r="BK44" s="10">
        <v>83757.210000000006</v>
      </c>
      <c r="BL44" s="10">
        <v>83894.173999999999</v>
      </c>
      <c r="BM44" s="10">
        <v>84026.02</v>
      </c>
      <c r="BN44" s="10">
        <v>84153.25</v>
      </c>
      <c r="BO44" s="10">
        <v>84276.362999999998</v>
      </c>
      <c r="BP44" s="10">
        <v>84395.966</v>
      </c>
      <c r="BQ44" s="10">
        <v>84512.626000000004</v>
      </c>
      <c r="BR44" s="10">
        <v>84626.9</v>
      </c>
      <c r="BS44" s="10">
        <v>84739.311000000002</v>
      </c>
      <c r="BT44" s="10">
        <v>84850.328999999998</v>
      </c>
      <c r="BU44" s="10">
        <v>84960.38</v>
      </c>
      <c r="BV44" s="10">
        <v>85069.8</v>
      </c>
      <c r="BW44" s="10">
        <v>85178.832999999999</v>
      </c>
      <c r="BX44" s="10">
        <v>85287.642999999996</v>
      </c>
      <c r="BY44" s="10">
        <v>85396.319000000003</v>
      </c>
      <c r="BZ44" s="10">
        <v>85504.892999999996</v>
      </c>
      <c r="CA44" s="10">
        <v>85613.406000000003</v>
      </c>
      <c r="CB44" s="10">
        <v>85721.828999999998</v>
      </c>
      <c r="CC44" s="10">
        <v>85830.176000000007</v>
      </c>
      <c r="CD44" s="10">
        <v>85938.383000000002</v>
      </c>
      <c r="CE44" s="10">
        <v>86046.517000000007</v>
      </c>
      <c r="CF44" s="10">
        <v>86154.55</v>
      </c>
      <c r="CG44" s="10">
        <v>86262.576000000001</v>
      </c>
      <c r="CH44" s="10">
        <v>86370.717000000004</v>
      </c>
      <c r="CI44" s="10">
        <v>86479.182000000001</v>
      </c>
      <c r="CJ44" s="10">
        <v>86588.172999999995</v>
      </c>
      <c r="CK44" s="10">
        <v>86697.933999999994</v>
      </c>
      <c r="CL44" s="10">
        <v>86808.739000000001</v>
      </c>
      <c r="CM44" s="10">
        <v>86920.815000000002</v>
      </c>
      <c r="CN44" s="10">
        <v>87034.425000000003</v>
      </c>
      <c r="CO44" s="10">
        <v>87149.735000000001</v>
      </c>
      <c r="CP44" s="10">
        <v>87266.877999999997</v>
      </c>
      <c r="CQ44" s="10">
        <v>87385.864000000001</v>
      </c>
      <c r="CR44" s="10">
        <v>87506.676999999996</v>
      </c>
      <c r="CS44" s="10">
        <v>87629.108999999997</v>
      </c>
      <c r="CT44" s="10">
        <v>87752.872000000003</v>
      </c>
      <c r="CU44" s="10">
        <v>87877.604000000007</v>
      </c>
      <c r="CV44" s="10">
        <v>88002.873000000007</v>
      </c>
      <c r="CW44" s="10">
        <v>88128.266000000003</v>
      </c>
      <c r="CX44" s="10">
        <v>88244.782999999996</v>
      </c>
    </row>
    <row r="45" spans="1:102" x14ac:dyDescent="0.2">
      <c r="B45" s="55"/>
      <c r="C45" s="55"/>
      <c r="D45" s="55" t="s">
        <v>286</v>
      </c>
      <c r="E45" s="55" t="s">
        <v>286</v>
      </c>
      <c r="F45" s="55" t="s">
        <v>286</v>
      </c>
      <c r="G45" s="55" t="s">
        <v>286</v>
      </c>
      <c r="H45" s="55" t="s">
        <v>286</v>
      </c>
      <c r="I45" s="55" t="s">
        <v>286</v>
      </c>
      <c r="J45" s="55" t="s">
        <v>286</v>
      </c>
      <c r="K45" s="55" t="s">
        <v>286</v>
      </c>
      <c r="L45" s="55" t="s">
        <v>286</v>
      </c>
      <c r="M45" s="55" t="s">
        <v>286</v>
      </c>
      <c r="N45" s="55" t="s">
        <v>286</v>
      </c>
      <c r="O45" s="55" t="s">
        <v>286</v>
      </c>
      <c r="P45" s="55" t="s">
        <v>286</v>
      </c>
      <c r="Q45" s="55" t="s">
        <v>286</v>
      </c>
      <c r="R45" s="55" t="s">
        <v>286</v>
      </c>
      <c r="S45" s="55" t="s">
        <v>286</v>
      </c>
      <c r="T45" s="55" t="s">
        <v>286</v>
      </c>
      <c r="U45" s="55" t="s">
        <v>286</v>
      </c>
      <c r="V45" s="55" t="s">
        <v>286</v>
      </c>
      <c r="W45" s="55" t="s">
        <v>286</v>
      </c>
      <c r="X45" s="55" t="s">
        <v>286</v>
      </c>
      <c r="Y45" s="55" t="s">
        <v>286</v>
      </c>
      <c r="Z45" s="55" t="s">
        <v>286</v>
      </c>
      <c r="AA45" s="57" t="s">
        <v>286</v>
      </c>
      <c r="AB45" s="55" t="s">
        <v>286</v>
      </c>
      <c r="AC45" s="55" t="s">
        <v>286</v>
      </c>
      <c r="AD45" s="55" t="s">
        <v>286</v>
      </c>
      <c r="AE45" s="55" t="s">
        <v>286</v>
      </c>
      <c r="AF45" s="55" t="s">
        <v>286</v>
      </c>
      <c r="AG45" s="55" t="s">
        <v>286</v>
      </c>
      <c r="AH45" s="55" t="s">
        <v>286</v>
      </c>
      <c r="AI45" s="55" t="s">
        <v>286</v>
      </c>
      <c r="AJ45" s="55" t="s">
        <v>286</v>
      </c>
      <c r="AK45" s="55" t="s">
        <v>286</v>
      </c>
      <c r="AL45" s="55" t="s">
        <v>286</v>
      </c>
      <c r="AM45" s="55" t="s">
        <v>286</v>
      </c>
      <c r="AN45" s="55" t="s">
        <v>286</v>
      </c>
      <c r="AO45" s="55" t="s">
        <v>286</v>
      </c>
      <c r="AP45" s="55" t="s">
        <v>286</v>
      </c>
      <c r="AQ45" s="55" t="s">
        <v>286</v>
      </c>
      <c r="AR45" s="55" t="s">
        <v>286</v>
      </c>
      <c r="AS45" s="55" t="s">
        <v>286</v>
      </c>
      <c r="AT45" s="55" t="s">
        <v>286</v>
      </c>
      <c r="AU45" s="55" t="s">
        <v>286</v>
      </c>
      <c r="AV45" s="55" t="s">
        <v>286</v>
      </c>
      <c r="AW45" s="55" t="s">
        <v>286</v>
      </c>
      <c r="AX45" s="55" t="s">
        <v>286</v>
      </c>
      <c r="AY45" s="55" t="s">
        <v>286</v>
      </c>
      <c r="AZ45" s="57" t="s">
        <v>286</v>
      </c>
      <c r="BA45" s="55" t="s">
        <v>286</v>
      </c>
      <c r="BB45" s="55" t="s">
        <v>286</v>
      </c>
      <c r="BC45" s="55" t="s">
        <v>286</v>
      </c>
      <c r="BD45" s="55" t="s">
        <v>286</v>
      </c>
      <c r="BE45" s="55" t="s">
        <v>286</v>
      </c>
      <c r="BF45" s="55" t="s">
        <v>286</v>
      </c>
      <c r="BG45" s="55" t="s">
        <v>286</v>
      </c>
      <c r="BH45" s="55" t="s">
        <v>286</v>
      </c>
      <c r="BI45" s="55" t="s">
        <v>286</v>
      </c>
      <c r="BJ45" s="55" t="s">
        <v>286</v>
      </c>
      <c r="BK45" s="55" t="s">
        <v>286</v>
      </c>
      <c r="BL45" s="55" t="s">
        <v>286</v>
      </c>
      <c r="BM45" s="55" t="s">
        <v>286</v>
      </c>
      <c r="BN45" s="55" t="s">
        <v>286</v>
      </c>
      <c r="BO45" s="55" t="s">
        <v>286</v>
      </c>
      <c r="BP45" s="55" t="s">
        <v>286</v>
      </c>
      <c r="BQ45" s="55" t="s">
        <v>286</v>
      </c>
      <c r="BR45" s="55" t="s">
        <v>286</v>
      </c>
      <c r="BS45" s="55" t="s">
        <v>286</v>
      </c>
      <c r="BT45" s="55" t="s">
        <v>286</v>
      </c>
      <c r="BU45" s="55" t="s">
        <v>286</v>
      </c>
      <c r="BV45" s="55" t="s">
        <v>286</v>
      </c>
      <c r="BW45" s="55" t="s">
        <v>286</v>
      </c>
      <c r="BX45" s="55" t="s">
        <v>286</v>
      </c>
      <c r="BY45" s="57" t="s">
        <v>286</v>
      </c>
      <c r="BZ45" s="55" t="s">
        <v>286</v>
      </c>
      <c r="CA45" s="55" t="s">
        <v>286</v>
      </c>
      <c r="CB45" s="55" t="s">
        <v>286</v>
      </c>
      <c r="CC45" s="55" t="s">
        <v>286</v>
      </c>
      <c r="CD45" s="55" t="s">
        <v>286</v>
      </c>
      <c r="CE45" s="55" t="s">
        <v>286</v>
      </c>
      <c r="CF45" s="55" t="s">
        <v>286</v>
      </c>
      <c r="CG45" s="55" t="s">
        <v>286</v>
      </c>
      <c r="CH45" s="55" t="s">
        <v>286</v>
      </c>
      <c r="CI45" s="55" t="s">
        <v>286</v>
      </c>
      <c r="CJ45" s="55" t="s">
        <v>286</v>
      </c>
      <c r="CK45" s="55" t="s">
        <v>286</v>
      </c>
      <c r="CL45" s="55" t="s">
        <v>286</v>
      </c>
      <c r="CM45" s="55" t="s">
        <v>286</v>
      </c>
      <c r="CN45" s="55" t="s">
        <v>286</v>
      </c>
      <c r="CO45" s="55" t="s">
        <v>286</v>
      </c>
      <c r="CP45" s="55" t="s">
        <v>286</v>
      </c>
      <c r="CQ45" s="55" t="s">
        <v>286</v>
      </c>
      <c r="CR45" s="55" t="s">
        <v>286</v>
      </c>
      <c r="CS45" s="55" t="s">
        <v>286</v>
      </c>
      <c r="CT45" s="55" t="s">
        <v>286</v>
      </c>
      <c r="CU45" s="55" t="s">
        <v>286</v>
      </c>
      <c r="CV45" s="55" t="s">
        <v>286</v>
      </c>
      <c r="CW45" s="55" t="s">
        <v>286</v>
      </c>
      <c r="CX45" s="57" t="s">
        <v>286</v>
      </c>
    </row>
    <row r="46" spans="1:102" ht="14.45" customHeight="1" x14ac:dyDescent="0.2">
      <c r="A46" s="66" t="s">
        <v>311</v>
      </c>
    </row>
    <row r="47" spans="1:102" x14ac:dyDescent="0.2">
      <c r="A47" s="55" t="s">
        <v>305</v>
      </c>
      <c r="B47" s="17"/>
      <c r="C47" s="17"/>
      <c r="D47" s="17">
        <v>16.779934746677391</v>
      </c>
      <c r="E47" s="17">
        <v>16.578298219564811</v>
      </c>
      <c r="F47" s="17">
        <v>16.385976430746261</v>
      </c>
      <c r="G47" s="17">
        <v>16.18405606587109</v>
      </c>
      <c r="H47" s="17">
        <v>15.99421453604616</v>
      </c>
      <c r="I47" s="17">
        <v>15.83983531165649</v>
      </c>
      <c r="J47" s="17">
        <v>15.71339771936853</v>
      </c>
      <c r="K47" s="17">
        <v>15.59361693884698</v>
      </c>
      <c r="L47" s="17">
        <v>15.46625607492912</v>
      </c>
      <c r="M47" s="17">
        <v>15.37043866395811</v>
      </c>
      <c r="N47" s="17">
        <v>15.299170272115941</v>
      </c>
      <c r="O47" s="17">
        <v>15.24300798225771</v>
      </c>
      <c r="P47" s="17">
        <v>15.20428145992423</v>
      </c>
      <c r="Q47" s="17">
        <v>15.202240275584201</v>
      </c>
      <c r="R47" s="17">
        <v>15.186960157795371</v>
      </c>
      <c r="S47" s="17">
        <v>15.21965056667702</v>
      </c>
      <c r="T47" s="17">
        <v>15.197862033947301</v>
      </c>
      <c r="U47" s="17">
        <v>15.173134765018361</v>
      </c>
      <c r="V47" s="17">
        <v>15.14987223168144</v>
      </c>
      <c r="W47" s="17">
        <v>15.12808744083539</v>
      </c>
      <c r="X47" s="17">
        <v>15.108534339247351</v>
      </c>
      <c r="Y47" s="17">
        <v>15.09138732882464</v>
      </c>
      <c r="Z47" s="17">
        <v>15.07478786555893</v>
      </c>
      <c r="AA47" s="17">
        <v>15.056792047599499</v>
      </c>
      <c r="AB47" s="17">
        <v>15.036655522770589</v>
      </c>
      <c r="AC47" s="17">
        <v>15.01414467405642</v>
      </c>
      <c r="AD47" s="17">
        <v>14.988884522745151</v>
      </c>
      <c r="AE47" s="17">
        <v>14.96040983137539</v>
      </c>
      <c r="AF47" s="17">
        <v>14.92710248026591</v>
      </c>
      <c r="AG47" s="17">
        <v>14.88721817614366</v>
      </c>
      <c r="AH47" s="17">
        <v>14.8404942165719</v>
      </c>
      <c r="AI47" s="17">
        <v>14.78728571660317</v>
      </c>
      <c r="AJ47" s="17">
        <v>14.728390036086861</v>
      </c>
      <c r="AK47" s="17">
        <v>14.66556333833103</v>
      </c>
      <c r="AL47" s="17">
        <v>14.60050011315859</v>
      </c>
      <c r="AM47" s="17">
        <v>14.53385830049135</v>
      </c>
      <c r="AN47" s="17">
        <v>14.46652544356184</v>
      </c>
      <c r="AO47" s="17">
        <v>14.40088775434422</v>
      </c>
      <c r="AP47" s="17">
        <v>14.33908413969311</v>
      </c>
      <c r="AQ47" s="17">
        <v>14.28167484465388</v>
      </c>
      <c r="AR47" s="17">
        <v>14.229040547133881</v>
      </c>
      <c r="AS47" s="17">
        <v>14.181772570998501</v>
      </c>
      <c r="AT47" s="17">
        <v>14.1402843580978</v>
      </c>
      <c r="AU47" s="17">
        <v>14.1043263444058</v>
      </c>
      <c r="AV47" s="17">
        <v>14.07351297477188</v>
      </c>
      <c r="AW47" s="17">
        <v>14.047702863288899</v>
      </c>
      <c r="AX47" s="17">
        <v>14.026428918261059</v>
      </c>
      <c r="AY47" s="17">
        <v>14.008964393019109</v>
      </c>
      <c r="AZ47" s="17">
        <v>13.994599411217751</v>
      </c>
      <c r="BA47" s="17">
        <v>13.98257131784829</v>
      </c>
      <c r="BB47" s="17">
        <v>13.97247155327501</v>
      </c>
      <c r="BC47" s="17">
        <v>13.963792866595449</v>
      </c>
      <c r="BD47" s="17">
        <v>13.955795132851319</v>
      </c>
      <c r="BE47" s="17">
        <v>13.94812891633932</v>
      </c>
      <c r="BF47" s="17">
        <v>13.94033712228978</v>
      </c>
      <c r="BG47" s="17">
        <v>13.93215619305551</v>
      </c>
      <c r="BH47" s="17">
        <v>13.92311223076365</v>
      </c>
      <c r="BI47" s="17">
        <v>13.91256531523725</v>
      </c>
      <c r="BJ47" s="17">
        <v>13.90037823510853</v>
      </c>
      <c r="BK47" s="17">
        <v>13.88647138556788</v>
      </c>
      <c r="BL47" s="17">
        <v>13.870760560798891</v>
      </c>
      <c r="BM47" s="17">
        <v>13.85325997827816</v>
      </c>
      <c r="BN47" s="17">
        <v>13.833958878593521</v>
      </c>
      <c r="BO47" s="17">
        <v>13.81289792963657</v>
      </c>
      <c r="BP47" s="17">
        <v>13.7903155229007</v>
      </c>
      <c r="BQ47" s="17">
        <v>13.76642822576593</v>
      </c>
      <c r="BR47" s="17">
        <v>13.741518358819709</v>
      </c>
      <c r="BS47" s="17">
        <v>13.71593049653189</v>
      </c>
      <c r="BT47" s="17">
        <v>13.69006241566842</v>
      </c>
      <c r="BU47" s="17">
        <v>13.664302113526331</v>
      </c>
      <c r="BV47" s="17">
        <v>13.63905522288756</v>
      </c>
      <c r="BW47" s="17">
        <v>13.61469697524501</v>
      </c>
      <c r="BX47" s="17">
        <v>13.591573869616729</v>
      </c>
      <c r="BY47" s="17">
        <v>13.56999240213152</v>
      </c>
      <c r="BZ47" s="17">
        <v>13.550183613468761</v>
      </c>
      <c r="CA47" s="17">
        <v>13.532298901879919</v>
      </c>
      <c r="CB47" s="17">
        <v>13.51643465283504</v>
      </c>
      <c r="CC47" s="17">
        <v>13.50255998542983</v>
      </c>
      <c r="CD47" s="17">
        <v>13.490628512291179</v>
      </c>
      <c r="CE47" s="17">
        <v>13.48047359081367</v>
      </c>
      <c r="CF47" s="17">
        <v>13.47189556442463</v>
      </c>
      <c r="CG47" s="17">
        <v>13.464626885243961</v>
      </c>
      <c r="CH47" s="17">
        <v>13.458392385465549</v>
      </c>
      <c r="CI47" s="17">
        <v>13.45284579588184</v>
      </c>
      <c r="CJ47" s="17">
        <v>13.44764024527923</v>
      </c>
      <c r="CK47" s="17">
        <v>13.442437970897901</v>
      </c>
      <c r="CL47" s="17">
        <v>13.436929431724611</v>
      </c>
      <c r="CM47" s="17">
        <v>13.430814011580541</v>
      </c>
      <c r="CN47" s="17">
        <v>13.423818219055279</v>
      </c>
      <c r="CO47" s="17">
        <v>13.41573672025509</v>
      </c>
      <c r="CP47" s="17">
        <v>13.406403744614311</v>
      </c>
      <c r="CQ47" s="17">
        <v>13.39570093396342</v>
      </c>
      <c r="CR47" s="17">
        <v>13.383593574236629</v>
      </c>
      <c r="CS47" s="17">
        <v>13.370081167891369</v>
      </c>
      <c r="CT47" s="17">
        <v>13.355234686791791</v>
      </c>
      <c r="CU47" s="17">
        <v>13.339185943212559</v>
      </c>
      <c r="CV47" s="17">
        <v>13.32207301913882</v>
      </c>
      <c r="CW47" s="17">
        <v>13.304094738457691</v>
      </c>
      <c r="CX47" s="17">
        <v>13.286746934376851</v>
      </c>
    </row>
    <row r="48" spans="1:102" x14ac:dyDescent="0.2">
      <c r="A48" s="55" t="s">
        <v>306</v>
      </c>
      <c r="B48" s="17"/>
      <c r="C48" s="17"/>
      <c r="D48" s="17">
        <v>18.454255227443539</v>
      </c>
      <c r="E48" s="17">
        <v>18.55225112485363</v>
      </c>
      <c r="F48" s="17">
        <v>18.6366665605827</v>
      </c>
      <c r="G48" s="17">
        <v>18.71203535988295</v>
      </c>
      <c r="H48" s="17">
        <v>18.726053662228789</v>
      </c>
      <c r="I48" s="17">
        <v>18.69297983281454</v>
      </c>
      <c r="J48" s="17">
        <v>18.631207942363009</v>
      </c>
      <c r="K48" s="17">
        <v>18.591011189384901</v>
      </c>
      <c r="L48" s="17">
        <v>18.566251636434611</v>
      </c>
      <c r="M48" s="17">
        <v>18.507795688482339</v>
      </c>
      <c r="N48" s="17">
        <v>18.421705225218361</v>
      </c>
      <c r="O48" s="17">
        <v>18.311773982442631</v>
      </c>
      <c r="P48" s="17">
        <v>18.18993487737114</v>
      </c>
      <c r="Q48" s="17">
        <v>18.041863161079409</v>
      </c>
      <c r="R48" s="17">
        <v>17.896369982462101</v>
      </c>
      <c r="S48" s="17">
        <v>17.67000741478784</v>
      </c>
      <c r="T48" s="17">
        <v>17.515242814964669</v>
      </c>
      <c r="U48" s="17">
        <v>17.36449055083871</v>
      </c>
      <c r="V48" s="17">
        <v>17.1994508343574</v>
      </c>
      <c r="W48" s="17">
        <v>17.040864662718079</v>
      </c>
      <c r="X48" s="17">
        <v>16.911117838016459</v>
      </c>
      <c r="Y48" s="17">
        <v>16.805851765521329</v>
      </c>
      <c r="Z48" s="17">
        <v>16.70560017831334</v>
      </c>
      <c r="AA48" s="17">
        <v>16.597414146181741</v>
      </c>
      <c r="AB48" s="17">
        <v>16.518235774552618</v>
      </c>
      <c r="AC48" s="17">
        <v>16.461674502073318</v>
      </c>
      <c r="AD48" s="17">
        <v>16.41916002259315</v>
      </c>
      <c r="AE48" s="17">
        <v>16.393050059239499</v>
      </c>
      <c r="AF48" s="17">
        <v>16.401892140769071</v>
      </c>
      <c r="AG48" s="17">
        <v>16.39900553756549</v>
      </c>
      <c r="AH48" s="17">
        <v>16.44231035357922</v>
      </c>
      <c r="AI48" s="17">
        <v>16.434919490492081</v>
      </c>
      <c r="AJ48" s="17">
        <v>16.425340103214712</v>
      </c>
      <c r="AK48" s="17">
        <v>16.417489631988929</v>
      </c>
      <c r="AL48" s="17">
        <v>16.411028659229942</v>
      </c>
      <c r="AM48" s="17">
        <v>16.40644718195939</v>
      </c>
      <c r="AN48" s="17">
        <v>16.403743066554529</v>
      </c>
      <c r="AO48" s="17">
        <v>16.400678372162361</v>
      </c>
      <c r="AP48" s="17">
        <v>16.394916571580591</v>
      </c>
      <c r="AQ48" s="17">
        <v>16.385592357365379</v>
      </c>
      <c r="AR48" s="17">
        <v>16.372362422870541</v>
      </c>
      <c r="AS48" s="17">
        <v>16.35469764630793</v>
      </c>
      <c r="AT48" s="17">
        <v>16.332098593101819</v>
      </c>
      <c r="AU48" s="17">
        <v>16.303071142791769</v>
      </c>
      <c r="AV48" s="17">
        <v>16.266144539746801</v>
      </c>
      <c r="AW48" s="17">
        <v>16.221213380446159</v>
      </c>
      <c r="AX48" s="17">
        <v>16.168875398189911</v>
      </c>
      <c r="AY48" s="17">
        <v>16.110212807324249</v>
      </c>
      <c r="AZ48" s="17">
        <v>16.047282678447541</v>
      </c>
      <c r="BA48" s="17">
        <v>15.982084668047831</v>
      </c>
      <c r="BB48" s="17">
        <v>15.91557386048402</v>
      </c>
      <c r="BC48" s="17">
        <v>15.84888929944681</v>
      </c>
      <c r="BD48" s="17">
        <v>15.784654908005161</v>
      </c>
      <c r="BE48" s="17">
        <v>15.72511458858092</v>
      </c>
      <c r="BF48" s="17">
        <v>15.67099736225428</v>
      </c>
      <c r="BG48" s="17">
        <v>15.62275471433397</v>
      </c>
      <c r="BH48" s="17">
        <v>15.581010606451249</v>
      </c>
      <c r="BI48" s="17">
        <v>15.54622365730536</v>
      </c>
      <c r="BJ48" s="17">
        <v>15.51803595206869</v>
      </c>
      <c r="BK48" s="17">
        <v>15.49599610588748</v>
      </c>
      <c r="BL48" s="17">
        <v>15.479819850184111</v>
      </c>
      <c r="BM48" s="17">
        <v>15.468836915041321</v>
      </c>
      <c r="BN48" s="17">
        <v>15.462194270571841</v>
      </c>
      <c r="BO48" s="17">
        <v>15.458979880277941</v>
      </c>
      <c r="BP48" s="17">
        <v>15.458202113593909</v>
      </c>
      <c r="BQ48" s="17">
        <v>15.4592249920148</v>
      </c>
      <c r="BR48" s="17">
        <v>15.461322581826821</v>
      </c>
      <c r="BS48" s="17">
        <v>15.46360578740132</v>
      </c>
      <c r="BT48" s="17">
        <v>15.465529897945361</v>
      </c>
      <c r="BU48" s="17">
        <v>15.46653393028609</v>
      </c>
      <c r="BV48" s="17">
        <v>15.466207749401081</v>
      </c>
      <c r="BW48" s="17">
        <v>15.46404844499337</v>
      </c>
      <c r="BX48" s="17">
        <v>15.45939427590935</v>
      </c>
      <c r="BY48" s="17">
        <v>15.45212036598439</v>
      </c>
      <c r="BZ48" s="17">
        <v>15.4422004831934</v>
      </c>
      <c r="CA48" s="17">
        <v>15.429603396458729</v>
      </c>
      <c r="CB48" s="17">
        <v>15.414433119479989</v>
      </c>
      <c r="CC48" s="17">
        <v>15.39675509927884</v>
      </c>
      <c r="CD48" s="17">
        <v>15.37669960580943</v>
      </c>
      <c r="CE48" s="17">
        <v>15.35458314948413</v>
      </c>
      <c r="CF48" s="17">
        <v>15.33073528908224</v>
      </c>
      <c r="CG48" s="17">
        <v>15.305499339597739</v>
      </c>
      <c r="CH48" s="17">
        <v>15.27927920292708</v>
      </c>
      <c r="CI48" s="17">
        <v>15.252484696259041</v>
      </c>
      <c r="CJ48" s="17">
        <v>15.22557589937832</v>
      </c>
      <c r="CK48" s="17">
        <v>15.19894580186882</v>
      </c>
      <c r="CL48" s="17">
        <v>15.172932070813751</v>
      </c>
      <c r="CM48" s="17">
        <v>15.14787338337773</v>
      </c>
      <c r="CN48" s="17">
        <v>15.124058095403051</v>
      </c>
      <c r="CO48" s="17">
        <v>15.10166611522112</v>
      </c>
      <c r="CP48" s="17">
        <v>15.080846595657979</v>
      </c>
      <c r="CQ48" s="17">
        <v>15.06168091443257</v>
      </c>
      <c r="CR48" s="17">
        <v>15.044145717017679</v>
      </c>
      <c r="CS48" s="17">
        <v>15.02824249873407</v>
      </c>
      <c r="CT48" s="17">
        <v>15.013824276885201</v>
      </c>
      <c r="CU48" s="17">
        <v>15.00080612120467</v>
      </c>
      <c r="CV48" s="17">
        <v>14.98900837021537</v>
      </c>
      <c r="CW48" s="17">
        <v>14.978210282725859</v>
      </c>
      <c r="CX48" s="17">
        <v>14.96963735521906</v>
      </c>
    </row>
    <row r="49" spans="1:102" x14ac:dyDescent="0.2">
      <c r="A49" s="55" t="s">
        <v>307</v>
      </c>
      <c r="B49" s="17"/>
      <c r="C49" s="17"/>
      <c r="D49" s="17">
        <v>20.38581841912001</v>
      </c>
      <c r="E49" s="17">
        <v>20.499128412559681</v>
      </c>
      <c r="F49" s="17">
        <v>20.535416899084389</v>
      </c>
      <c r="G49" s="17">
        <v>20.56375647915533</v>
      </c>
      <c r="H49" s="17">
        <v>20.621801139178199</v>
      </c>
      <c r="I49" s="17">
        <v>20.654639602741721</v>
      </c>
      <c r="J49" s="17">
        <v>20.691995452118949</v>
      </c>
      <c r="K49" s="17">
        <v>20.662387186483691</v>
      </c>
      <c r="L49" s="17">
        <v>20.619904735307369</v>
      </c>
      <c r="M49" s="17">
        <v>20.568511055852859</v>
      </c>
      <c r="N49" s="17">
        <v>20.48870418312335</v>
      </c>
      <c r="O49" s="17">
        <v>20.42860646483561</v>
      </c>
      <c r="P49" s="17">
        <v>20.350209058110039</v>
      </c>
      <c r="Q49" s="17">
        <v>20.25108882109733</v>
      </c>
      <c r="R49" s="17">
        <v>20.173704588951619</v>
      </c>
      <c r="S49" s="17">
        <v>20.163306581709548</v>
      </c>
      <c r="T49" s="17">
        <v>20.13537622633606</v>
      </c>
      <c r="U49" s="17">
        <v>20.133208025825631</v>
      </c>
      <c r="V49" s="17">
        <v>20.158317397307329</v>
      </c>
      <c r="W49" s="17">
        <v>20.15916855622023</v>
      </c>
      <c r="X49" s="17">
        <v>20.145432154610219</v>
      </c>
      <c r="Y49" s="17">
        <v>20.103355990462958</v>
      </c>
      <c r="Z49" s="17">
        <v>20.080028651359321</v>
      </c>
      <c r="AA49" s="17">
        <v>20.070417131227671</v>
      </c>
      <c r="AB49" s="17">
        <v>20.028719884969469</v>
      </c>
      <c r="AC49" s="17">
        <v>19.9607285465503</v>
      </c>
      <c r="AD49" s="17">
        <v>19.870124457682209</v>
      </c>
      <c r="AE49" s="17">
        <v>19.7682208417555</v>
      </c>
      <c r="AF49" s="17">
        <v>19.641773053501741</v>
      </c>
      <c r="AG49" s="17">
        <v>19.518493414373481</v>
      </c>
      <c r="AH49" s="17">
        <v>19.319732171363569</v>
      </c>
      <c r="AI49" s="17">
        <v>19.18918713304177</v>
      </c>
      <c r="AJ49" s="17">
        <v>19.062929136922989</v>
      </c>
      <c r="AK49" s="17">
        <v>18.923329206711941</v>
      </c>
      <c r="AL49" s="17">
        <v>18.789519994903628</v>
      </c>
      <c r="AM49" s="17">
        <v>18.682492622773509</v>
      </c>
      <c r="AN49" s="17">
        <v>18.597869977105351</v>
      </c>
      <c r="AO49" s="17">
        <v>18.516857970463111</v>
      </c>
      <c r="AP49" s="17">
        <v>18.426729367465729</v>
      </c>
      <c r="AQ49" s="17">
        <v>18.36230182414549</v>
      </c>
      <c r="AR49" s="17">
        <v>18.317481332191061</v>
      </c>
      <c r="AS49" s="17">
        <v>18.284046391708369</v>
      </c>
      <c r="AT49" s="17">
        <v>18.264177627337169</v>
      </c>
      <c r="AU49" s="17">
        <v>18.27567198307375</v>
      </c>
      <c r="AV49" s="17">
        <v>18.27429827218679</v>
      </c>
      <c r="AW49" s="17">
        <v>18.31543041231566</v>
      </c>
      <c r="AX49" s="17">
        <v>18.306926170612439</v>
      </c>
      <c r="AY49" s="17">
        <v>18.295436513497719</v>
      </c>
      <c r="AZ49" s="17">
        <v>18.285082502670601</v>
      </c>
      <c r="BA49" s="17">
        <v>18.275959243956581</v>
      </c>
      <c r="BB49" s="17">
        <v>18.268893422206549</v>
      </c>
      <c r="BC49" s="17">
        <v>18.264223230326291</v>
      </c>
      <c r="BD49" s="17">
        <v>18.260139812408749</v>
      </c>
      <c r="BE49" s="17">
        <v>18.254666803155899</v>
      </c>
      <c r="BF49" s="17">
        <v>18.247147599797689</v>
      </c>
      <c r="BG49" s="17">
        <v>18.237356067052829</v>
      </c>
      <c r="BH49" s="17">
        <v>18.224871794502469</v>
      </c>
      <c r="BI49" s="17">
        <v>18.209230813246759</v>
      </c>
      <c r="BJ49" s="17">
        <v>18.18893241926715</v>
      </c>
      <c r="BK49" s="17">
        <v>18.162395810462169</v>
      </c>
      <c r="BL49" s="17">
        <v>18.1293161072186</v>
      </c>
      <c r="BM49" s="17">
        <v>18.090036871911821</v>
      </c>
      <c r="BN49" s="17">
        <v>18.045358913648609</v>
      </c>
      <c r="BO49" s="17">
        <v>17.996965531130009</v>
      </c>
      <c r="BP49" s="17">
        <v>17.946511803656591</v>
      </c>
      <c r="BQ49" s="17">
        <v>17.89462440795533</v>
      </c>
      <c r="BR49" s="17">
        <v>17.84216366190892</v>
      </c>
      <c r="BS49" s="17">
        <v>17.79142032438758</v>
      </c>
      <c r="BT49" s="17">
        <v>17.744380225090229</v>
      </c>
      <c r="BU49" s="17">
        <v>17.70160161713024</v>
      </c>
      <c r="BV49" s="17">
        <v>17.663414043526611</v>
      </c>
      <c r="BW49" s="17">
        <v>17.63039885742506</v>
      </c>
      <c r="BX49" s="17">
        <v>17.602987340147269</v>
      </c>
      <c r="BY49" s="17">
        <v>17.580870201208551</v>
      </c>
      <c r="BZ49" s="17">
        <v>17.563638141737691</v>
      </c>
      <c r="CA49" s="17">
        <v>17.551085398938579</v>
      </c>
      <c r="CB49" s="17">
        <v>17.542654158720769</v>
      </c>
      <c r="CC49" s="17">
        <v>17.53763385036051</v>
      </c>
      <c r="CD49" s="17">
        <v>17.535219390851239</v>
      </c>
      <c r="CE49" s="17">
        <v>17.534580743111309</v>
      </c>
      <c r="CF49" s="17">
        <v>17.5351829938175</v>
      </c>
      <c r="CG49" s="17">
        <v>17.536406517700101</v>
      </c>
      <c r="CH49" s="17">
        <v>17.53742648680339</v>
      </c>
      <c r="CI49" s="17">
        <v>17.53778730238221</v>
      </c>
      <c r="CJ49" s="17">
        <v>17.536950456270741</v>
      </c>
      <c r="CK49" s="17">
        <v>17.534550477292811</v>
      </c>
      <c r="CL49" s="17">
        <v>17.530073786695599</v>
      </c>
      <c r="CM49" s="17">
        <v>17.52287527446676</v>
      </c>
      <c r="CN49" s="17">
        <v>17.512783016605209</v>
      </c>
      <c r="CO49" s="17">
        <v>17.499733074346121</v>
      </c>
      <c r="CP49" s="17">
        <v>17.48370097530016</v>
      </c>
      <c r="CQ49" s="17">
        <v>17.464768672425091</v>
      </c>
      <c r="CR49" s="17">
        <v>17.44300723475078</v>
      </c>
      <c r="CS49" s="17">
        <v>17.418584046084501</v>
      </c>
      <c r="CT49" s="17">
        <v>17.39190940668016</v>
      </c>
      <c r="CU49" s="17">
        <v>17.363327293265758</v>
      </c>
      <c r="CV49" s="17">
        <v>17.333287516647321</v>
      </c>
      <c r="CW49" s="17">
        <v>17.302317056822609</v>
      </c>
      <c r="CX49" s="17">
        <v>17.272540632798659</v>
      </c>
    </row>
    <row r="50" spans="1:102" x14ac:dyDescent="0.2">
      <c r="A50" s="55" t="s">
        <v>308</v>
      </c>
      <c r="B50" s="17"/>
      <c r="C50" s="17"/>
      <c r="D50" s="17">
        <v>19.343211923950051</v>
      </c>
      <c r="E50" s="17">
        <v>19.06810038646319</v>
      </c>
      <c r="F50" s="17">
        <v>18.854847200595319</v>
      </c>
      <c r="G50" s="17">
        <v>18.671788887905901</v>
      </c>
      <c r="H50" s="17">
        <v>18.497243978300659</v>
      </c>
      <c r="I50" s="17">
        <v>18.36016612806484</v>
      </c>
      <c r="J50" s="17">
        <v>18.233162533881671</v>
      </c>
      <c r="K50" s="17">
        <v>18.189137028984842</v>
      </c>
      <c r="L50" s="17">
        <v>18.133605290818679</v>
      </c>
      <c r="M50" s="17">
        <v>18.147261569674111</v>
      </c>
      <c r="N50" s="17">
        <v>18.249603258134229</v>
      </c>
      <c r="O50" s="17">
        <v>18.395973285854879</v>
      </c>
      <c r="P50" s="17">
        <v>18.57853845481112</v>
      </c>
      <c r="Q50" s="17">
        <v>18.799989872220959</v>
      </c>
      <c r="R50" s="17">
        <v>19.04179412267268</v>
      </c>
      <c r="S50" s="17">
        <v>19.23660353162801</v>
      </c>
      <c r="T50" s="17">
        <v>19.360906851510919</v>
      </c>
      <c r="U50" s="17">
        <v>19.416471792117779</v>
      </c>
      <c r="V50" s="17">
        <v>19.465029905756051</v>
      </c>
      <c r="W50" s="17">
        <v>19.542709367627928</v>
      </c>
      <c r="X50" s="17">
        <v>19.600912012011982</v>
      </c>
      <c r="Y50" s="17">
        <v>19.661618137582941</v>
      </c>
      <c r="Z50" s="17">
        <v>19.660072364029979</v>
      </c>
      <c r="AA50" s="17">
        <v>19.645877788023981</v>
      </c>
      <c r="AB50" s="17">
        <v>19.623034132894201</v>
      </c>
      <c r="AC50" s="17">
        <v>19.574074894001701</v>
      </c>
      <c r="AD50" s="17">
        <v>19.54298392935118</v>
      </c>
      <c r="AE50" s="17">
        <v>19.4950886963092</v>
      </c>
      <c r="AF50" s="17">
        <v>19.42855322356278</v>
      </c>
      <c r="AG50" s="17">
        <v>19.382887463385782</v>
      </c>
      <c r="AH50" s="17">
        <v>19.400100900475799</v>
      </c>
      <c r="AI50" s="17">
        <v>19.40181915848726</v>
      </c>
      <c r="AJ50" s="17">
        <v>19.427915596774721</v>
      </c>
      <c r="AK50" s="17">
        <v>19.479715091098431</v>
      </c>
      <c r="AL50" s="17">
        <v>19.509074069395481</v>
      </c>
      <c r="AM50" s="17">
        <v>19.5239902549345</v>
      </c>
      <c r="AN50" s="17">
        <v>19.511583716965951</v>
      </c>
      <c r="AO50" s="17">
        <v>19.51508331777903</v>
      </c>
      <c r="AP50" s="17">
        <v>19.529643090545871</v>
      </c>
      <c r="AQ50" s="17">
        <v>19.511834252642359</v>
      </c>
      <c r="AR50" s="17">
        <v>19.466999978569959</v>
      </c>
      <c r="AS50" s="17">
        <v>19.398518094435179</v>
      </c>
      <c r="AT50" s="17">
        <v>19.316767236260389</v>
      </c>
      <c r="AU50" s="17">
        <v>19.209166935670709</v>
      </c>
      <c r="AV50" s="17">
        <v>19.10272329107239</v>
      </c>
      <c r="AW50" s="17">
        <v>18.923203157533852</v>
      </c>
      <c r="AX50" s="17">
        <v>18.807026586935411</v>
      </c>
      <c r="AY50" s="17">
        <v>18.693851395986371</v>
      </c>
      <c r="AZ50" s="17">
        <v>18.56770809571254</v>
      </c>
      <c r="BA50" s="17">
        <v>18.44680822388445</v>
      </c>
      <c r="BB50" s="17">
        <v>18.35113722163544</v>
      </c>
      <c r="BC50" s="17">
        <v>18.276986724680182</v>
      </c>
      <c r="BD50" s="17">
        <v>18.207118369536179</v>
      </c>
      <c r="BE50" s="17">
        <v>18.129855719154921</v>
      </c>
      <c r="BF50" s="17">
        <v>18.07803538056347</v>
      </c>
      <c r="BG50" s="17">
        <v>18.04601892823133</v>
      </c>
      <c r="BH50" s="17">
        <v>18.026195884460691</v>
      </c>
      <c r="BI50" s="17">
        <v>18.020677767555799</v>
      </c>
      <c r="BJ50" s="17">
        <v>18.04616319674086</v>
      </c>
      <c r="BK50" s="17">
        <v>18.060934694457941</v>
      </c>
      <c r="BL50" s="17">
        <v>18.11696602436303</v>
      </c>
      <c r="BM50" s="17">
        <v>18.127197979863851</v>
      </c>
      <c r="BN50" s="17">
        <v>18.135350684614082</v>
      </c>
      <c r="BO50" s="17">
        <v>18.145043824446962</v>
      </c>
      <c r="BP50" s="17">
        <v>18.156021817440891</v>
      </c>
      <c r="BQ50" s="17">
        <v>18.168803558417409</v>
      </c>
      <c r="BR50" s="17">
        <v>18.183412130185559</v>
      </c>
      <c r="BS50" s="17">
        <v>18.197844445537211</v>
      </c>
      <c r="BT50" s="17">
        <v>18.209988319550298</v>
      </c>
      <c r="BU50" s="17">
        <v>18.218995724830801</v>
      </c>
      <c r="BV50" s="17">
        <v>18.22451328203428</v>
      </c>
      <c r="BW50" s="17">
        <v>18.226067971605101</v>
      </c>
      <c r="BX50" s="17">
        <v>18.223165107282892</v>
      </c>
      <c r="BY50" s="17">
        <v>18.214415073324179</v>
      </c>
      <c r="BZ50" s="17">
        <v>18.198339830680801</v>
      </c>
      <c r="CA50" s="17">
        <v>18.17472721503453</v>
      </c>
      <c r="CB50" s="17">
        <v>18.14401673580717</v>
      </c>
      <c r="CC50" s="17">
        <v>18.107106060227579</v>
      </c>
      <c r="CD50" s="17">
        <v>18.06572041272873</v>
      </c>
      <c r="CE50" s="17">
        <v>18.021610334326489</v>
      </c>
      <c r="CF50" s="17">
        <v>17.975501003719479</v>
      </c>
      <c r="CG50" s="17">
        <v>17.928329661752741</v>
      </c>
      <c r="CH50" s="17">
        <v>17.882385994317961</v>
      </c>
      <c r="CI50" s="17">
        <v>17.839676143097648</v>
      </c>
      <c r="CJ50" s="17">
        <v>17.800734749305779</v>
      </c>
      <c r="CK50" s="17">
        <v>17.76591815901865</v>
      </c>
      <c r="CL50" s="17">
        <v>17.735777730857262</v>
      </c>
      <c r="CM50" s="17">
        <v>17.7107117552913</v>
      </c>
      <c r="CN50" s="17">
        <v>17.690439156690012</v>
      </c>
      <c r="CO50" s="17">
        <v>17.67449551051417</v>
      </c>
      <c r="CP50" s="17">
        <v>17.66264973980163</v>
      </c>
      <c r="CQ50" s="17">
        <v>17.65436341053972</v>
      </c>
      <c r="CR50" s="17">
        <v>17.6489538049765</v>
      </c>
      <c r="CS50" s="17">
        <v>17.645710627960401</v>
      </c>
      <c r="CT50" s="17">
        <v>17.643847599654631</v>
      </c>
      <c r="CU50" s="17">
        <v>17.642955991380919</v>
      </c>
      <c r="CV50" s="17">
        <v>17.64252060270805</v>
      </c>
      <c r="CW50" s="17">
        <v>17.64188347924603</v>
      </c>
      <c r="CX50" s="17">
        <v>17.64220214581977</v>
      </c>
    </row>
    <row r="51" spans="1:102" x14ac:dyDescent="0.2">
      <c r="A51" s="55" t="s">
        <v>309</v>
      </c>
      <c r="B51" s="17"/>
      <c r="C51" s="17"/>
      <c r="D51" s="17">
        <v>15.79631561184368</v>
      </c>
      <c r="E51" s="17">
        <v>15.89717164613047</v>
      </c>
      <c r="F51" s="17">
        <v>16.052122137039731</v>
      </c>
      <c r="G51" s="17">
        <v>16.226578757550921</v>
      </c>
      <c r="H51" s="17">
        <v>16.426512727509461</v>
      </c>
      <c r="I51" s="17">
        <v>16.60886767762058</v>
      </c>
      <c r="J51" s="17">
        <v>16.779942063472301</v>
      </c>
      <c r="K51" s="17">
        <v>16.92401823341271</v>
      </c>
      <c r="L51" s="17">
        <v>17.066671988788901</v>
      </c>
      <c r="M51" s="17">
        <v>17.13448459867957</v>
      </c>
      <c r="N51" s="17">
        <v>17.12535106709641</v>
      </c>
      <c r="O51" s="17">
        <v>17.051830765287441</v>
      </c>
      <c r="P51" s="17">
        <v>16.94746598285532</v>
      </c>
      <c r="Q51" s="17">
        <v>16.790775629712648</v>
      </c>
      <c r="R51" s="17">
        <v>16.58285980491474</v>
      </c>
      <c r="S51" s="17">
        <v>16.37916050338686</v>
      </c>
      <c r="T51" s="17">
        <v>16.23799857540639</v>
      </c>
      <c r="U51" s="17">
        <v>16.138913658718721</v>
      </c>
      <c r="V51" s="17">
        <v>16.05141157667607</v>
      </c>
      <c r="W51" s="17">
        <v>15.95878624680279</v>
      </c>
      <c r="X51" s="17">
        <v>15.88615350520695</v>
      </c>
      <c r="Y51" s="17">
        <v>15.821021402450389</v>
      </c>
      <c r="Z51" s="17">
        <v>15.82611659699095</v>
      </c>
      <c r="AA51" s="17">
        <v>15.82289597378057</v>
      </c>
      <c r="AB51" s="17">
        <v>15.877226696049689</v>
      </c>
      <c r="AC51" s="17">
        <v>16.006464906150839</v>
      </c>
      <c r="AD51" s="17">
        <v>16.17021440018571</v>
      </c>
      <c r="AE51" s="17">
        <v>16.364469595275651</v>
      </c>
      <c r="AF51" s="17">
        <v>16.591430588483309</v>
      </c>
      <c r="AG51" s="17">
        <v>16.83420138261534</v>
      </c>
      <c r="AH51" s="17">
        <v>17.035492295649899</v>
      </c>
      <c r="AI51" s="17">
        <v>17.179320180276299</v>
      </c>
      <c r="AJ51" s="17">
        <v>17.26450532764472</v>
      </c>
      <c r="AK51" s="17">
        <v>17.342695499190381</v>
      </c>
      <c r="AL51" s="17">
        <v>17.446154708336749</v>
      </c>
      <c r="AM51" s="17">
        <v>17.531245447373049</v>
      </c>
      <c r="AN51" s="17">
        <v>17.617530739679921</v>
      </c>
      <c r="AO51" s="17">
        <v>17.648123993010341</v>
      </c>
      <c r="AP51" s="17">
        <v>17.665749887176329</v>
      </c>
      <c r="AQ51" s="17">
        <v>17.674228297874961</v>
      </c>
      <c r="AR51" s="17">
        <v>17.659022122281812</v>
      </c>
      <c r="AS51" s="17">
        <v>17.657772596750629</v>
      </c>
      <c r="AT51" s="17">
        <v>17.639908101594671</v>
      </c>
      <c r="AU51" s="17">
        <v>17.60393810546471</v>
      </c>
      <c r="AV51" s="17">
        <v>17.585196632513782</v>
      </c>
      <c r="AW51" s="17">
        <v>17.62121956030995</v>
      </c>
      <c r="AX51" s="17">
        <v>17.641653454277929</v>
      </c>
      <c r="AY51" s="17">
        <v>17.68219280180892</v>
      </c>
      <c r="AZ51" s="17">
        <v>17.745199521087191</v>
      </c>
      <c r="BA51" s="17">
        <v>17.788302901188811</v>
      </c>
      <c r="BB51" s="17">
        <v>17.81699200345572</v>
      </c>
      <c r="BC51" s="17">
        <v>17.820842506096771</v>
      </c>
      <c r="BD51" s="17">
        <v>17.838783203147688</v>
      </c>
      <c r="BE51" s="17">
        <v>17.86773626112311</v>
      </c>
      <c r="BF51" s="17">
        <v>17.867884812905679</v>
      </c>
      <c r="BG51" s="17">
        <v>17.844580841384321</v>
      </c>
      <c r="BH51" s="17">
        <v>17.801296722807731</v>
      </c>
      <c r="BI51" s="17">
        <v>17.74692852494352</v>
      </c>
      <c r="BJ51" s="17">
        <v>17.66923886313716</v>
      </c>
      <c r="BK51" s="17">
        <v>17.594826761779672</v>
      </c>
      <c r="BL51" s="17">
        <v>17.45504520969477</v>
      </c>
      <c r="BM51" s="17">
        <v>17.375372533412861</v>
      </c>
      <c r="BN51" s="17">
        <v>17.299474470682949</v>
      </c>
      <c r="BO51" s="17">
        <v>17.21292718813697</v>
      </c>
      <c r="BP51" s="17">
        <v>17.13131407252332</v>
      </c>
      <c r="BQ51" s="17">
        <v>17.071979280350369</v>
      </c>
      <c r="BR51" s="17">
        <v>17.03128792381619</v>
      </c>
      <c r="BS51" s="17">
        <v>16.993779899862531</v>
      </c>
      <c r="BT51" s="17">
        <v>16.94890658585425</v>
      </c>
      <c r="BU51" s="17">
        <v>16.925718787980941</v>
      </c>
      <c r="BV51" s="17">
        <v>16.919100550371581</v>
      </c>
      <c r="BW51" s="17">
        <v>16.922109040869341</v>
      </c>
      <c r="BX51" s="17">
        <v>16.936610617789029</v>
      </c>
      <c r="BY51" s="17">
        <v>16.977628742990671</v>
      </c>
      <c r="BZ51" s="17">
        <v>17.007880472992351</v>
      </c>
      <c r="CA51" s="17">
        <v>17.074068984009351</v>
      </c>
      <c r="CB51" s="17">
        <v>17.09790746532018</v>
      </c>
      <c r="CC51" s="17">
        <v>17.119036316551419</v>
      </c>
      <c r="CD51" s="17">
        <v>17.140786789064901</v>
      </c>
      <c r="CE51" s="17">
        <v>17.162987550094559</v>
      </c>
      <c r="CF51" s="17">
        <v>17.18620200558183</v>
      </c>
      <c r="CG51" s="17">
        <v>17.210516643973161</v>
      </c>
      <c r="CH51" s="17">
        <v>17.234078304571671</v>
      </c>
      <c r="CI51" s="17">
        <v>17.254893784726129</v>
      </c>
      <c r="CJ51" s="17">
        <v>17.27223070060619</v>
      </c>
      <c r="CK51" s="17">
        <v>17.285793684541549</v>
      </c>
      <c r="CL51" s="17">
        <v>17.295110115584102</v>
      </c>
      <c r="CM51" s="17">
        <v>17.299680174420821</v>
      </c>
      <c r="CN51" s="17">
        <v>17.298217343309851</v>
      </c>
      <c r="CO51" s="17">
        <v>17.289418034374979</v>
      </c>
      <c r="CP51" s="17">
        <v>17.273072379190651</v>
      </c>
      <c r="CQ51" s="17">
        <v>17.24961602485272</v>
      </c>
      <c r="CR51" s="17">
        <v>17.2199385425183</v>
      </c>
      <c r="CS51" s="17">
        <v>17.18570709192079</v>
      </c>
      <c r="CT51" s="17">
        <v>17.148658108876479</v>
      </c>
      <c r="CU51" s="17">
        <v>17.10953452941207</v>
      </c>
      <c r="CV51" s="17">
        <v>17.069326816182461</v>
      </c>
      <c r="CW51" s="17">
        <v>17.030266997423961</v>
      </c>
      <c r="CX51" s="17">
        <v>16.995210923687129</v>
      </c>
    </row>
    <row r="52" spans="1:102" x14ac:dyDescent="0.2">
      <c r="A52" s="55" t="s">
        <v>310</v>
      </c>
      <c r="B52" s="17"/>
      <c r="C52" s="17"/>
      <c r="D52" s="17">
        <v>9.240464070965313</v>
      </c>
      <c r="E52" s="17">
        <v>9.405050210428211</v>
      </c>
      <c r="F52" s="17">
        <v>9.5349707719515973</v>
      </c>
      <c r="G52" s="17">
        <v>9.641784449633807</v>
      </c>
      <c r="H52" s="17">
        <v>9.7341739567367309</v>
      </c>
      <c r="I52" s="17">
        <v>9.8435114471018128</v>
      </c>
      <c r="J52" s="17">
        <v>9.9502942887955506</v>
      </c>
      <c r="K52" s="17">
        <v>10.039829422886861</v>
      </c>
      <c r="L52" s="17">
        <v>10.14731027372132</v>
      </c>
      <c r="M52" s="17">
        <v>10.27150842335301</v>
      </c>
      <c r="N52" s="17">
        <v>10.41546599431169</v>
      </c>
      <c r="O52" s="17">
        <v>10.56880751932173</v>
      </c>
      <c r="P52" s="17">
        <v>10.729570166928159</v>
      </c>
      <c r="Q52" s="17">
        <v>10.91404224030545</v>
      </c>
      <c r="R52" s="17">
        <v>11.11831134320348</v>
      </c>
      <c r="S52" s="17">
        <v>11.33127140181073</v>
      </c>
      <c r="T52" s="17">
        <v>11.55261349783466</v>
      </c>
      <c r="U52" s="17">
        <v>11.773781207480781</v>
      </c>
      <c r="V52" s="17">
        <v>11.97591805422171</v>
      </c>
      <c r="W52" s="17">
        <v>12.17038372579556</v>
      </c>
      <c r="X52" s="17">
        <v>12.347850150907041</v>
      </c>
      <c r="Y52" s="17">
        <v>12.516765375157741</v>
      </c>
      <c r="Z52" s="17">
        <v>12.65339434374747</v>
      </c>
      <c r="AA52" s="17">
        <v>12.80660291318655</v>
      </c>
      <c r="AB52" s="17">
        <v>12.916127988763421</v>
      </c>
      <c r="AC52" s="17">
        <v>12.982912477167419</v>
      </c>
      <c r="AD52" s="17">
        <v>13.00863266744261</v>
      </c>
      <c r="AE52" s="17">
        <v>13.01876097604476</v>
      </c>
      <c r="AF52" s="17">
        <v>13.0092485134172</v>
      </c>
      <c r="AG52" s="17">
        <v>12.97819402591626</v>
      </c>
      <c r="AH52" s="17">
        <v>12.961870062359621</v>
      </c>
      <c r="AI52" s="17">
        <v>13.00746832109941</v>
      </c>
      <c r="AJ52" s="17">
        <v>13.09091979935601</v>
      </c>
      <c r="AK52" s="17">
        <v>13.17120723267929</v>
      </c>
      <c r="AL52" s="17">
        <v>13.243722454975609</v>
      </c>
      <c r="AM52" s="17">
        <v>13.321966192468199</v>
      </c>
      <c r="AN52" s="17">
        <v>13.40274705613241</v>
      </c>
      <c r="AO52" s="17">
        <v>13.51836859224095</v>
      </c>
      <c r="AP52" s="17">
        <v>13.64387694353838</v>
      </c>
      <c r="AQ52" s="17">
        <v>13.78436842331792</v>
      </c>
      <c r="AR52" s="17">
        <v>13.95509359695275</v>
      </c>
      <c r="AS52" s="17">
        <v>14.1231926997994</v>
      </c>
      <c r="AT52" s="17">
        <v>14.306764083608151</v>
      </c>
      <c r="AU52" s="17">
        <v>14.503825488593259</v>
      </c>
      <c r="AV52" s="17">
        <v>14.69812428970835</v>
      </c>
      <c r="AW52" s="17">
        <v>14.871230626105479</v>
      </c>
      <c r="AX52" s="17">
        <v>15.04908947172323</v>
      </c>
      <c r="AY52" s="17">
        <v>15.209342088363631</v>
      </c>
      <c r="AZ52" s="17">
        <v>15.36012779086437</v>
      </c>
      <c r="BA52" s="17">
        <v>15.524273645074031</v>
      </c>
      <c r="BB52" s="17">
        <v>15.674931938943249</v>
      </c>
      <c r="BC52" s="17">
        <v>15.825265372854499</v>
      </c>
      <c r="BD52" s="17">
        <v>15.953508574050909</v>
      </c>
      <c r="BE52" s="17">
        <v>16.074497711645851</v>
      </c>
      <c r="BF52" s="17">
        <v>16.195597722189099</v>
      </c>
      <c r="BG52" s="17">
        <v>16.317133255942039</v>
      </c>
      <c r="BH52" s="17">
        <v>16.443512761014201</v>
      </c>
      <c r="BI52" s="17">
        <v>16.56437392171129</v>
      </c>
      <c r="BJ52" s="17">
        <v>16.67725133367761</v>
      </c>
      <c r="BK52" s="17">
        <v>16.799375241844849</v>
      </c>
      <c r="BL52" s="17">
        <v>16.94809224774059</v>
      </c>
      <c r="BM52" s="17">
        <v>17.085295721491981</v>
      </c>
      <c r="BN52" s="17">
        <v>17.223662781889001</v>
      </c>
      <c r="BO52" s="17">
        <v>17.373185646371571</v>
      </c>
      <c r="BP52" s="17">
        <v>17.517634669884579</v>
      </c>
      <c r="BQ52" s="17">
        <v>17.638939535496149</v>
      </c>
      <c r="BR52" s="17">
        <v>17.74029534344281</v>
      </c>
      <c r="BS52" s="17">
        <v>17.837419046279479</v>
      </c>
      <c r="BT52" s="17">
        <v>17.94113255589145</v>
      </c>
      <c r="BU52" s="17">
        <v>18.022847826245599</v>
      </c>
      <c r="BV52" s="17">
        <v>18.087709151778888</v>
      </c>
      <c r="BW52" s="17">
        <v>18.142678709862111</v>
      </c>
      <c r="BX52" s="17">
        <v>18.186268789254729</v>
      </c>
      <c r="BY52" s="17">
        <v>18.204973214360681</v>
      </c>
      <c r="BZ52" s="17">
        <v>18.237757457927</v>
      </c>
      <c r="CA52" s="17">
        <v>18.238216103678901</v>
      </c>
      <c r="CB52" s="17">
        <v>18.284553867836859</v>
      </c>
      <c r="CC52" s="17">
        <v>18.336908688151819</v>
      </c>
      <c r="CD52" s="17">
        <v>18.39094528925451</v>
      </c>
      <c r="CE52" s="17">
        <v>18.44576463216983</v>
      </c>
      <c r="CF52" s="17">
        <v>18.500483143374321</v>
      </c>
      <c r="CG52" s="17">
        <v>18.5546209517323</v>
      </c>
      <c r="CH52" s="17">
        <v>18.608437625914348</v>
      </c>
      <c r="CI52" s="17">
        <v>18.662312277653129</v>
      </c>
      <c r="CJ52" s="17">
        <v>18.716867949159759</v>
      </c>
      <c r="CK52" s="17">
        <v>18.772353906380289</v>
      </c>
      <c r="CL52" s="17">
        <v>18.82917686432468</v>
      </c>
      <c r="CM52" s="17">
        <v>18.88804540086284</v>
      </c>
      <c r="CN52" s="17">
        <v>18.950684168936601</v>
      </c>
      <c r="CO52" s="17">
        <v>19.018950545288519</v>
      </c>
      <c r="CP52" s="17">
        <v>19.093326565435291</v>
      </c>
      <c r="CQ52" s="17">
        <v>19.17387004378649</v>
      </c>
      <c r="CR52" s="17">
        <v>19.26036112650009</v>
      </c>
      <c r="CS52" s="17">
        <v>19.351674567408871</v>
      </c>
      <c r="CT52" s="17">
        <v>19.446525921111729</v>
      </c>
      <c r="CU52" s="17">
        <v>19.544190121524021</v>
      </c>
      <c r="CV52" s="17">
        <v>19.643783675107969</v>
      </c>
      <c r="CW52" s="17">
        <v>19.743227445323839</v>
      </c>
      <c r="CX52" s="17">
        <v>19.833662008098539</v>
      </c>
    </row>
    <row r="53" spans="1:102" x14ac:dyDescent="0.2">
      <c r="B53" s="55"/>
      <c r="C53" s="55"/>
      <c r="D53" s="55" t="s">
        <v>286</v>
      </c>
      <c r="E53" s="55" t="s">
        <v>286</v>
      </c>
      <c r="F53" s="55" t="s">
        <v>286</v>
      </c>
      <c r="G53" s="55" t="s">
        <v>286</v>
      </c>
      <c r="H53" s="55" t="s">
        <v>286</v>
      </c>
      <c r="I53" s="55" t="s">
        <v>286</v>
      </c>
      <c r="J53" s="55" t="s">
        <v>286</v>
      </c>
      <c r="K53" s="55" t="s">
        <v>286</v>
      </c>
      <c r="L53" s="55" t="s">
        <v>286</v>
      </c>
      <c r="M53" s="55" t="s">
        <v>286</v>
      </c>
      <c r="N53" s="55" t="s">
        <v>286</v>
      </c>
      <c r="O53" s="55" t="s">
        <v>286</v>
      </c>
      <c r="P53" s="55" t="s">
        <v>286</v>
      </c>
      <c r="Q53" s="55" t="s">
        <v>286</v>
      </c>
      <c r="R53" s="55" t="s">
        <v>286</v>
      </c>
      <c r="S53" s="55" t="s">
        <v>286</v>
      </c>
      <c r="T53" s="55" t="s">
        <v>286</v>
      </c>
      <c r="U53" s="55" t="s">
        <v>286</v>
      </c>
      <c r="V53" s="55" t="s">
        <v>286</v>
      </c>
      <c r="W53" s="55" t="s">
        <v>286</v>
      </c>
      <c r="X53" s="55" t="s">
        <v>286</v>
      </c>
      <c r="Y53" s="55" t="s">
        <v>286</v>
      </c>
      <c r="Z53" s="55" t="s">
        <v>286</v>
      </c>
      <c r="AA53" s="57" t="s">
        <v>286</v>
      </c>
      <c r="AB53" s="55" t="s">
        <v>286</v>
      </c>
      <c r="AC53" s="55" t="s">
        <v>286</v>
      </c>
      <c r="AD53" s="55" t="s">
        <v>286</v>
      </c>
      <c r="AE53" s="55" t="s">
        <v>286</v>
      </c>
      <c r="AF53" s="55" t="s">
        <v>286</v>
      </c>
      <c r="AG53" s="55" t="s">
        <v>286</v>
      </c>
      <c r="AH53" s="55" t="s">
        <v>286</v>
      </c>
      <c r="AI53" s="55" t="s">
        <v>286</v>
      </c>
      <c r="AJ53" s="55" t="s">
        <v>286</v>
      </c>
      <c r="AK53" s="55" t="s">
        <v>286</v>
      </c>
      <c r="AL53" s="55" t="s">
        <v>286</v>
      </c>
      <c r="AM53" s="55" t="s">
        <v>286</v>
      </c>
      <c r="AN53" s="55" t="s">
        <v>286</v>
      </c>
      <c r="AO53" s="55" t="s">
        <v>286</v>
      </c>
      <c r="AP53" s="55" t="s">
        <v>286</v>
      </c>
      <c r="AQ53" s="55" t="s">
        <v>286</v>
      </c>
      <c r="AR53" s="55" t="s">
        <v>286</v>
      </c>
      <c r="AS53" s="55" t="s">
        <v>286</v>
      </c>
      <c r="AT53" s="55" t="s">
        <v>286</v>
      </c>
      <c r="AU53" s="55" t="s">
        <v>286</v>
      </c>
      <c r="AV53" s="55" t="s">
        <v>286</v>
      </c>
      <c r="AW53" s="55" t="s">
        <v>286</v>
      </c>
      <c r="AX53" s="55" t="s">
        <v>286</v>
      </c>
      <c r="AY53" s="55" t="s">
        <v>286</v>
      </c>
      <c r="AZ53" s="57" t="s">
        <v>286</v>
      </c>
      <c r="BA53" s="55" t="s">
        <v>286</v>
      </c>
      <c r="BB53" s="55" t="s">
        <v>286</v>
      </c>
      <c r="BC53" s="55" t="s">
        <v>286</v>
      </c>
      <c r="BD53" s="55" t="s">
        <v>286</v>
      </c>
      <c r="BE53" s="55" t="s">
        <v>286</v>
      </c>
      <c r="BF53" s="55" t="s">
        <v>286</v>
      </c>
      <c r="BG53" s="55" t="s">
        <v>286</v>
      </c>
      <c r="BH53" s="55" t="s">
        <v>286</v>
      </c>
      <c r="BI53" s="55" t="s">
        <v>286</v>
      </c>
      <c r="BJ53" s="55" t="s">
        <v>286</v>
      </c>
      <c r="BK53" s="55" t="s">
        <v>286</v>
      </c>
      <c r="BL53" s="55" t="s">
        <v>286</v>
      </c>
      <c r="BM53" s="55" t="s">
        <v>286</v>
      </c>
      <c r="BN53" s="55" t="s">
        <v>286</v>
      </c>
      <c r="BO53" s="55" t="s">
        <v>286</v>
      </c>
      <c r="BP53" s="55" t="s">
        <v>286</v>
      </c>
      <c r="BQ53" s="55" t="s">
        <v>286</v>
      </c>
      <c r="BR53" s="55" t="s">
        <v>286</v>
      </c>
      <c r="BS53" s="55" t="s">
        <v>286</v>
      </c>
      <c r="BT53" s="55" t="s">
        <v>286</v>
      </c>
      <c r="BU53" s="55" t="s">
        <v>286</v>
      </c>
      <c r="BV53" s="55" t="s">
        <v>286</v>
      </c>
      <c r="BW53" s="55" t="s">
        <v>286</v>
      </c>
      <c r="BX53" s="55" t="s">
        <v>286</v>
      </c>
      <c r="BY53" s="57" t="s">
        <v>286</v>
      </c>
      <c r="BZ53" s="55" t="s">
        <v>286</v>
      </c>
      <c r="CA53" s="55" t="s">
        <v>286</v>
      </c>
      <c r="CB53" s="55" t="s">
        <v>286</v>
      </c>
      <c r="CC53" s="55" t="s">
        <v>286</v>
      </c>
      <c r="CD53" s="55" t="s">
        <v>286</v>
      </c>
      <c r="CE53" s="55" t="s">
        <v>286</v>
      </c>
      <c r="CF53" s="55" t="s">
        <v>286</v>
      </c>
      <c r="CG53" s="55" t="s">
        <v>286</v>
      </c>
      <c r="CH53" s="55" t="s">
        <v>286</v>
      </c>
      <c r="CI53" s="55" t="s">
        <v>286</v>
      </c>
      <c r="CJ53" s="55" t="s">
        <v>286</v>
      </c>
      <c r="CK53" s="55" t="s">
        <v>286</v>
      </c>
      <c r="CL53" s="55" t="s">
        <v>286</v>
      </c>
      <c r="CM53" s="55" t="s">
        <v>286</v>
      </c>
      <c r="CN53" s="55" t="s">
        <v>286</v>
      </c>
      <c r="CO53" s="55" t="s">
        <v>286</v>
      </c>
      <c r="CP53" s="55" t="s">
        <v>286</v>
      </c>
      <c r="CQ53" s="55" t="s">
        <v>286</v>
      </c>
      <c r="CR53" s="55" t="s">
        <v>286</v>
      </c>
      <c r="CS53" s="55" t="s">
        <v>286</v>
      </c>
      <c r="CT53" s="55" t="s">
        <v>286</v>
      </c>
      <c r="CU53" s="55" t="s">
        <v>286</v>
      </c>
      <c r="CV53" s="55" t="s">
        <v>286</v>
      </c>
      <c r="CW53" s="55" t="s">
        <v>286</v>
      </c>
      <c r="CX53" s="57" t="s">
        <v>286</v>
      </c>
    </row>
    <row r="54" spans="1:102" x14ac:dyDescent="0.2">
      <c r="A54" s="67" t="s">
        <v>135</v>
      </c>
      <c r="B54" s="17"/>
      <c r="C54" s="17"/>
      <c r="D54" s="17">
        <v>100</v>
      </c>
      <c r="E54" s="17">
        <v>100</v>
      </c>
      <c r="F54" s="17">
        <v>100</v>
      </c>
      <c r="G54" s="17">
        <v>100</v>
      </c>
      <c r="H54" s="17">
        <v>100</v>
      </c>
      <c r="I54" s="17">
        <v>100</v>
      </c>
      <c r="J54" s="17">
        <v>100</v>
      </c>
      <c r="K54" s="17">
        <v>100</v>
      </c>
      <c r="L54" s="17">
        <v>100</v>
      </c>
      <c r="M54" s="17">
        <v>100</v>
      </c>
      <c r="N54" s="17">
        <v>100</v>
      </c>
      <c r="O54" s="17">
        <v>100</v>
      </c>
      <c r="P54" s="17">
        <v>100</v>
      </c>
      <c r="Q54" s="17">
        <v>100</v>
      </c>
      <c r="R54" s="17">
        <v>100</v>
      </c>
      <c r="S54" s="17">
        <v>100</v>
      </c>
      <c r="T54" s="17">
        <v>100</v>
      </c>
      <c r="U54" s="17">
        <v>100</v>
      </c>
      <c r="V54" s="17">
        <v>100</v>
      </c>
      <c r="W54" s="17">
        <v>100</v>
      </c>
      <c r="X54" s="17">
        <v>100</v>
      </c>
      <c r="Y54" s="17">
        <v>100</v>
      </c>
      <c r="Z54" s="17">
        <v>100</v>
      </c>
      <c r="AA54" s="17">
        <v>100</v>
      </c>
      <c r="AB54" s="17">
        <v>100</v>
      </c>
      <c r="AC54" s="17">
        <v>100</v>
      </c>
      <c r="AD54" s="17">
        <v>100</v>
      </c>
      <c r="AE54" s="17">
        <v>100</v>
      </c>
      <c r="AF54" s="17">
        <v>100</v>
      </c>
      <c r="AG54" s="17">
        <v>100</v>
      </c>
      <c r="AH54" s="17">
        <v>100</v>
      </c>
      <c r="AI54" s="17">
        <v>100</v>
      </c>
      <c r="AJ54" s="17">
        <v>100</v>
      </c>
      <c r="AK54" s="17">
        <v>100</v>
      </c>
      <c r="AL54" s="17">
        <v>100</v>
      </c>
      <c r="AM54" s="17">
        <v>100</v>
      </c>
      <c r="AN54" s="17">
        <v>100</v>
      </c>
      <c r="AO54" s="17">
        <v>100</v>
      </c>
      <c r="AP54" s="17">
        <v>100</v>
      </c>
      <c r="AQ54" s="17">
        <v>100</v>
      </c>
      <c r="AR54" s="17">
        <v>100</v>
      </c>
      <c r="AS54" s="17">
        <v>100</v>
      </c>
      <c r="AT54" s="17">
        <v>100</v>
      </c>
      <c r="AU54" s="17">
        <v>100</v>
      </c>
      <c r="AV54" s="17">
        <v>100</v>
      </c>
      <c r="AW54" s="17">
        <v>100</v>
      </c>
      <c r="AX54" s="17">
        <v>100</v>
      </c>
      <c r="AY54" s="17">
        <v>100</v>
      </c>
      <c r="AZ54" s="17">
        <v>100</v>
      </c>
      <c r="BA54" s="17">
        <v>100</v>
      </c>
      <c r="BB54" s="17">
        <v>100</v>
      </c>
      <c r="BC54" s="17">
        <v>100</v>
      </c>
      <c r="BD54" s="17">
        <v>100</v>
      </c>
      <c r="BE54" s="17">
        <v>100</v>
      </c>
      <c r="BF54" s="17">
        <v>100</v>
      </c>
      <c r="BG54" s="17">
        <v>100</v>
      </c>
      <c r="BH54" s="17">
        <v>100</v>
      </c>
      <c r="BI54" s="17">
        <v>100</v>
      </c>
      <c r="BJ54" s="17">
        <v>100</v>
      </c>
      <c r="BK54" s="17">
        <v>100</v>
      </c>
      <c r="BL54" s="17">
        <v>100</v>
      </c>
      <c r="BM54" s="17">
        <v>100</v>
      </c>
      <c r="BN54" s="17">
        <v>100</v>
      </c>
      <c r="BO54" s="17">
        <v>100</v>
      </c>
      <c r="BP54" s="17">
        <v>100</v>
      </c>
      <c r="BQ54" s="17">
        <v>100</v>
      </c>
      <c r="BR54" s="17">
        <v>100</v>
      </c>
      <c r="BS54" s="17">
        <v>100</v>
      </c>
      <c r="BT54" s="17">
        <v>100</v>
      </c>
      <c r="BU54" s="17">
        <v>100</v>
      </c>
      <c r="BV54" s="17">
        <v>100</v>
      </c>
      <c r="BW54" s="17">
        <v>100</v>
      </c>
      <c r="BX54" s="17">
        <v>100</v>
      </c>
      <c r="BY54" s="17">
        <v>100</v>
      </c>
      <c r="BZ54" s="17">
        <v>100</v>
      </c>
      <c r="CA54" s="17">
        <v>100</v>
      </c>
      <c r="CB54" s="17">
        <v>100</v>
      </c>
      <c r="CC54" s="17">
        <v>100</v>
      </c>
      <c r="CD54" s="17">
        <v>100</v>
      </c>
      <c r="CE54" s="17">
        <v>100</v>
      </c>
      <c r="CF54" s="17">
        <v>100</v>
      </c>
      <c r="CG54" s="17">
        <v>100</v>
      </c>
      <c r="CH54" s="17">
        <v>100</v>
      </c>
      <c r="CI54" s="17">
        <v>100</v>
      </c>
      <c r="CJ54" s="17">
        <v>100</v>
      </c>
      <c r="CK54" s="17">
        <v>100</v>
      </c>
      <c r="CL54" s="17">
        <v>100</v>
      </c>
      <c r="CM54" s="17">
        <v>100</v>
      </c>
      <c r="CN54" s="17">
        <v>100</v>
      </c>
      <c r="CO54" s="17">
        <v>100</v>
      </c>
      <c r="CP54" s="17">
        <v>100</v>
      </c>
      <c r="CQ54" s="17">
        <v>100</v>
      </c>
      <c r="CR54" s="17">
        <v>100</v>
      </c>
      <c r="CS54" s="17">
        <v>100</v>
      </c>
      <c r="CT54" s="17">
        <v>100</v>
      </c>
      <c r="CU54" s="17">
        <v>100</v>
      </c>
      <c r="CV54" s="17">
        <v>100</v>
      </c>
      <c r="CW54" s="17">
        <v>100</v>
      </c>
      <c r="CX54" s="17">
        <v>100</v>
      </c>
    </row>
    <row r="55" spans="1:102" ht="8.25" customHeight="1" thickBot="1" x14ac:dyDescent="0.25">
      <c r="A55" s="6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</row>
    <row r="56" spans="1:102" ht="23.25" customHeight="1" x14ac:dyDescent="0.2">
      <c r="A56" s="56" t="s">
        <v>136</v>
      </c>
      <c r="B56" s="17"/>
      <c r="C56" s="17"/>
      <c r="D56" s="17">
        <v>41.465183280420568</v>
      </c>
      <c r="E56" s="17">
        <v>41.557180418578412</v>
      </c>
      <c r="F56" s="17">
        <v>41.659417019376718</v>
      </c>
      <c r="G56" s="17">
        <v>41.773774441336649</v>
      </c>
      <c r="H56" s="17">
        <v>41.900072321131773</v>
      </c>
      <c r="I56" s="17">
        <v>42.038285014928093</v>
      </c>
      <c r="J56" s="17">
        <v>42.174008412399857</v>
      </c>
      <c r="K56" s="17">
        <v>42.307031746977863</v>
      </c>
      <c r="L56" s="17">
        <v>42.437136331092702</v>
      </c>
      <c r="M56" s="17">
        <v>42.564059025110282</v>
      </c>
      <c r="N56" s="17">
        <v>42.6877589569132</v>
      </c>
      <c r="O56" s="17">
        <v>42.808276968965828</v>
      </c>
      <c r="P56" s="17">
        <v>42.925472145364488</v>
      </c>
      <c r="Q56" s="17">
        <v>43.038687090930551</v>
      </c>
      <c r="R56" s="17">
        <v>43.147230091640687</v>
      </c>
      <c r="S56" s="17">
        <v>43.251196931292611</v>
      </c>
      <c r="T56" s="17">
        <v>43.350907047459941</v>
      </c>
      <c r="U56" s="17">
        <v>43.446727396723169</v>
      </c>
      <c r="V56" s="17">
        <v>43.539497059378547</v>
      </c>
      <c r="W56" s="17">
        <v>43.630048935631947</v>
      </c>
      <c r="X56" s="17">
        <v>43.718793151186333</v>
      </c>
      <c r="Y56" s="17">
        <v>43.806142387723057</v>
      </c>
      <c r="Z56" s="17">
        <v>43.89308446978508</v>
      </c>
      <c r="AA56" s="17">
        <v>43.980481136577893</v>
      </c>
      <c r="AB56" s="17">
        <v>44.068353746656747</v>
      </c>
      <c r="AC56" s="17">
        <v>44.156693925630258</v>
      </c>
      <c r="AD56" s="17">
        <v>44.245482124184427</v>
      </c>
      <c r="AE56" s="17">
        <v>44.334552100031829</v>
      </c>
      <c r="AF56" s="17">
        <v>44.42365827658783</v>
      </c>
      <c r="AG56" s="17">
        <v>44.512559676946559</v>
      </c>
      <c r="AH56" s="17">
        <v>44.601174245195722</v>
      </c>
      <c r="AI56" s="17">
        <v>44.689351241159073</v>
      </c>
      <c r="AJ56" s="17">
        <v>44.776882747484947</v>
      </c>
      <c r="AK56" s="17">
        <v>44.863662405412541</v>
      </c>
      <c r="AL56" s="17">
        <v>44.949670957487548</v>
      </c>
      <c r="AM56" s="17">
        <v>45.035095946514403</v>
      </c>
      <c r="AN56" s="17">
        <v>45.120100914628473</v>
      </c>
      <c r="AO56" s="17">
        <v>45.204776018613501</v>
      </c>
      <c r="AP56" s="17">
        <v>45.289381159820877</v>
      </c>
      <c r="AQ56" s="17">
        <v>45.374083106742027</v>
      </c>
      <c r="AR56" s="17">
        <v>45.459068371301882</v>
      </c>
      <c r="AS56" s="17">
        <v>45.544375436260523</v>
      </c>
      <c r="AT56" s="17">
        <v>45.629867600384337</v>
      </c>
      <c r="AU56" s="17">
        <v>45.71557184554964</v>
      </c>
      <c r="AV56" s="17">
        <v>45.80141248330964</v>
      </c>
      <c r="AW56" s="17">
        <v>45.887209161083241</v>
      </c>
      <c r="AX56" s="17">
        <v>45.972739757826588</v>
      </c>
      <c r="AY56" s="17">
        <v>46.057680574520298</v>
      </c>
      <c r="AZ56" s="17">
        <v>46.141617006097711</v>
      </c>
      <c r="BA56" s="17">
        <v>46.22419931692091</v>
      </c>
      <c r="BB56" s="17">
        <v>46.305051863461948</v>
      </c>
      <c r="BC56" s="17">
        <v>46.383812563348982</v>
      </c>
      <c r="BD56" s="17">
        <v>46.460201230244643</v>
      </c>
      <c r="BE56" s="17">
        <v>46.533996964108887</v>
      </c>
      <c r="BF56" s="17">
        <v>46.605064052661447</v>
      </c>
      <c r="BG56" s="17">
        <v>46.673340590365598</v>
      </c>
      <c r="BH56" s="17">
        <v>46.738858640985718</v>
      </c>
      <c r="BI56" s="17">
        <v>46.801718671231193</v>
      </c>
      <c r="BJ56" s="17">
        <v>46.862108654152273</v>
      </c>
      <c r="BK56" s="17">
        <v>46.920219166803669</v>
      </c>
      <c r="BL56" s="17">
        <v>46.976265145658388</v>
      </c>
      <c r="BM56" s="17">
        <v>47.030473120112077</v>
      </c>
      <c r="BN56" s="17">
        <v>47.083057481440107</v>
      </c>
      <c r="BO56" s="17">
        <v>47.134225565714083</v>
      </c>
      <c r="BP56" s="17">
        <v>47.184178803048482</v>
      </c>
      <c r="BQ56" s="17">
        <v>47.233094188790197</v>
      </c>
      <c r="BR56" s="17">
        <v>47.281118805013527</v>
      </c>
      <c r="BS56" s="17">
        <v>47.328371804911193</v>
      </c>
      <c r="BT56" s="17">
        <v>47.37492737948017</v>
      </c>
      <c r="BU56" s="17">
        <v>47.420847352613073</v>
      </c>
      <c r="BV56" s="17">
        <v>47.466158319403597</v>
      </c>
      <c r="BW56" s="17">
        <v>47.510830859821709</v>
      </c>
      <c r="BX56" s="17">
        <v>47.554814740278381</v>
      </c>
      <c r="BY56" s="17">
        <v>47.598044635858358</v>
      </c>
      <c r="BZ56" s="17">
        <v>47.640443038739313</v>
      </c>
      <c r="CA56" s="17">
        <v>47.681945523811997</v>
      </c>
      <c r="CB56" s="17">
        <v>47.722465505256537</v>
      </c>
      <c r="CC56" s="17">
        <v>47.761977197856382</v>
      </c>
      <c r="CD56" s="17">
        <v>47.800457084467133</v>
      </c>
      <c r="CE56" s="17">
        <v>47.837918744578587</v>
      </c>
      <c r="CF56" s="17">
        <v>47.874410916196531</v>
      </c>
      <c r="CG56" s="17">
        <v>47.910041638450487</v>
      </c>
      <c r="CH56" s="17">
        <v>47.944956975406377</v>
      </c>
      <c r="CI56" s="17">
        <v>47.979362061958447</v>
      </c>
      <c r="CJ56" s="17">
        <v>48.013488949582062</v>
      </c>
      <c r="CK56" s="17">
        <v>48.04760329121568</v>
      </c>
      <c r="CL56" s="17">
        <v>48.082003558420539</v>
      </c>
      <c r="CM56" s="17">
        <v>48.116973207165628</v>
      </c>
      <c r="CN56" s="17">
        <v>48.152799199856837</v>
      </c>
      <c r="CO56" s="17">
        <v>48.189752103090157</v>
      </c>
      <c r="CP56" s="17">
        <v>48.228030765578673</v>
      </c>
      <c r="CQ56" s="17">
        <v>48.267783974762793</v>
      </c>
      <c r="CR56" s="17">
        <v>48.309086636897433</v>
      </c>
      <c r="CS56" s="17">
        <v>48.351907589292047</v>
      </c>
      <c r="CT56" s="17">
        <v>48.396142897750401</v>
      </c>
      <c r="CU56" s="17">
        <v>48.441599773248257</v>
      </c>
      <c r="CV56" s="17">
        <v>48.488062912446047</v>
      </c>
      <c r="CW56" s="17">
        <v>48.535254806897029</v>
      </c>
      <c r="CX56" s="17">
        <v>48.579028422564093</v>
      </c>
    </row>
    <row r="57" spans="1:102" x14ac:dyDescent="0.2">
      <c r="A57" s="70" t="s">
        <v>137</v>
      </c>
      <c r="B57" s="17"/>
      <c r="C57" s="17"/>
      <c r="D57" s="17">
        <v>40.692355683471163</v>
      </c>
      <c r="E57" s="17">
        <v>40.700599731440462</v>
      </c>
      <c r="F57" s="17">
        <v>40.742486486715997</v>
      </c>
      <c r="G57" s="17">
        <v>40.834001864057967</v>
      </c>
      <c r="H57" s="17">
        <v>40.956333789978842</v>
      </c>
      <c r="I57" s="17">
        <v>41.113372790447919</v>
      </c>
      <c r="J57" s="17">
        <v>41.287316914776703</v>
      </c>
      <c r="K57" s="17">
        <v>41.459096052319587</v>
      </c>
      <c r="L57" s="17">
        <v>41.631517690187607</v>
      </c>
      <c r="M57" s="17">
        <v>41.809012015308618</v>
      </c>
      <c r="N57" s="17">
        <v>41.990694347458287</v>
      </c>
      <c r="O57" s="17">
        <v>42.166999544092107</v>
      </c>
      <c r="P57" s="17">
        <v>42.32680135730569</v>
      </c>
      <c r="Q57" s="17">
        <v>42.482029647014073</v>
      </c>
      <c r="R57" s="17">
        <v>42.62881931196744</v>
      </c>
      <c r="S57" s="17">
        <v>42.762095570059579</v>
      </c>
      <c r="T57" s="17">
        <v>42.888496756026477</v>
      </c>
      <c r="U57" s="17">
        <v>43.022614581034347</v>
      </c>
      <c r="V57" s="17">
        <v>43.145532037303212</v>
      </c>
      <c r="W57" s="17">
        <v>43.268275017701207</v>
      </c>
      <c r="X57" s="17">
        <v>43.378978681853219</v>
      </c>
      <c r="Y57" s="17">
        <v>43.481925928739123</v>
      </c>
      <c r="Z57" s="17">
        <v>43.584810644587122</v>
      </c>
      <c r="AA57" s="17">
        <v>43.691296909639277</v>
      </c>
      <c r="AB57" s="17">
        <v>43.802459789370097</v>
      </c>
      <c r="AC57" s="17">
        <v>43.919710795930733</v>
      </c>
      <c r="AD57" s="17">
        <v>44.036272210983007</v>
      </c>
      <c r="AE57" s="17">
        <v>44.149753183888748</v>
      </c>
      <c r="AF57" s="17">
        <v>44.271847219839103</v>
      </c>
      <c r="AG57" s="17">
        <v>44.411889644322073</v>
      </c>
      <c r="AH57" s="17">
        <v>44.55576229366882</v>
      </c>
      <c r="AI57" s="17">
        <v>44.697331461990927</v>
      </c>
      <c r="AJ57" s="17">
        <v>44.842343167203538</v>
      </c>
      <c r="AK57" s="17">
        <v>44.995337450244207</v>
      </c>
      <c r="AL57" s="17">
        <v>45.145660540156207</v>
      </c>
      <c r="AM57" s="17">
        <v>45.281870287827218</v>
      </c>
      <c r="AN57" s="17">
        <v>45.404817495599467</v>
      </c>
      <c r="AO57" s="17">
        <v>45.521080585729088</v>
      </c>
      <c r="AP57" s="17">
        <v>45.638276113256239</v>
      </c>
      <c r="AQ57" s="17">
        <v>45.753893340423012</v>
      </c>
      <c r="AR57" s="17">
        <v>45.854353904926953</v>
      </c>
      <c r="AS57" s="17">
        <v>45.94226030076711</v>
      </c>
      <c r="AT57" s="17">
        <v>46.021803385914232</v>
      </c>
      <c r="AU57" s="17">
        <v>46.091087808643522</v>
      </c>
      <c r="AV57" s="17">
        <v>46.138918079084448</v>
      </c>
      <c r="AW57" s="17">
        <v>46.19478962152408</v>
      </c>
      <c r="AX57" s="17">
        <v>46.227252426870407</v>
      </c>
      <c r="AY57" s="17">
        <v>46.284762489766571</v>
      </c>
      <c r="AZ57" s="17">
        <v>46.354420907606112</v>
      </c>
      <c r="BA57" s="17">
        <v>46.424964338352957</v>
      </c>
      <c r="BB57" s="17">
        <v>46.49455872738514</v>
      </c>
      <c r="BC57" s="17">
        <v>46.562287993237462</v>
      </c>
      <c r="BD57" s="17">
        <v>46.627426376440461</v>
      </c>
      <c r="BE57" s="17">
        <v>46.689607757996818</v>
      </c>
      <c r="BF57" s="17">
        <v>46.748878007972053</v>
      </c>
      <c r="BG57" s="17">
        <v>46.805415567580752</v>
      </c>
      <c r="BH57" s="17">
        <v>46.859547038806987</v>
      </c>
      <c r="BI57" s="17">
        <v>46.911416270987992</v>
      </c>
      <c r="BJ57" s="17">
        <v>46.961335643859712</v>
      </c>
      <c r="BK57" s="17">
        <v>47.009826260185008</v>
      </c>
      <c r="BL57" s="17">
        <v>47.058430095447598</v>
      </c>
      <c r="BM57" s="17">
        <v>47.108654647541343</v>
      </c>
      <c r="BN57" s="17">
        <v>47.160971726732193</v>
      </c>
      <c r="BO57" s="17">
        <v>47.215585021998322</v>
      </c>
      <c r="BP57" s="17">
        <v>47.272560338560353</v>
      </c>
      <c r="BQ57" s="17">
        <v>47.331431418267407</v>
      </c>
      <c r="BR57" s="17">
        <v>47.391582028481338</v>
      </c>
      <c r="BS57" s="17">
        <v>47.45268024955498</v>
      </c>
      <c r="BT57" s="17">
        <v>47.51445325365269</v>
      </c>
      <c r="BU57" s="17">
        <v>47.576126493383001</v>
      </c>
      <c r="BV57" s="17">
        <v>47.636480993267106</v>
      </c>
      <c r="BW57" s="17">
        <v>47.694551859992288</v>
      </c>
      <c r="BX57" s="17">
        <v>47.75003745066595</v>
      </c>
      <c r="BY57" s="17">
        <v>47.80262111526168</v>
      </c>
      <c r="BZ57" s="17">
        <v>47.851969425944887</v>
      </c>
      <c r="CA57" s="17">
        <v>47.897969671367228</v>
      </c>
      <c r="CB57" s="17">
        <v>47.940654109964427</v>
      </c>
      <c r="CC57" s="17">
        <v>47.980212207883618</v>
      </c>
      <c r="CD57" s="17">
        <v>48.01666742789174</v>
      </c>
      <c r="CE57" s="17">
        <v>48.050350687257463</v>
      </c>
      <c r="CF57" s="17">
        <v>48.081848518141918</v>
      </c>
      <c r="CG57" s="17">
        <v>48.111806156484718</v>
      </c>
      <c r="CH57" s="17">
        <v>48.140856209194972</v>
      </c>
      <c r="CI57" s="17">
        <v>48.16945560768864</v>
      </c>
      <c r="CJ57" s="17">
        <v>48.1980968124168</v>
      </c>
      <c r="CK57" s="17">
        <v>48.227387748698959</v>
      </c>
      <c r="CL57" s="17">
        <v>48.257743353141286</v>
      </c>
      <c r="CM57" s="17">
        <v>48.289534982068332</v>
      </c>
      <c r="CN57" s="17">
        <v>48.323045263494137</v>
      </c>
      <c r="CO57" s="17">
        <v>48.358599578273832</v>
      </c>
      <c r="CP57" s="17">
        <v>48.396543798647293</v>
      </c>
      <c r="CQ57" s="17">
        <v>48.437008212518847</v>
      </c>
      <c r="CR57" s="17">
        <v>48.479946046981759</v>
      </c>
      <c r="CS57" s="17">
        <v>48.52519610505415</v>
      </c>
      <c r="CT57" s="17">
        <v>48.572553962956448</v>
      </c>
      <c r="CU57" s="17">
        <v>48.621771687147813</v>
      </c>
      <c r="CV57" s="17">
        <v>48.672599814761902</v>
      </c>
      <c r="CW57" s="17">
        <v>48.724725309451813</v>
      </c>
      <c r="CX57" s="17">
        <v>48.773760817764142</v>
      </c>
    </row>
    <row r="58" spans="1:102" ht="14.45" customHeight="1" thickBot="1" x14ac:dyDescent="0.3">
      <c r="A58" s="71"/>
      <c r="B58" s="72"/>
      <c r="C58" s="51" t="s">
        <v>312</v>
      </c>
      <c r="D58" s="72"/>
      <c r="E58" s="72"/>
      <c r="F58" s="72"/>
      <c r="G58" s="72"/>
      <c r="H58" s="72"/>
      <c r="I58" s="72"/>
      <c r="J58" s="72"/>
      <c r="K58" s="72"/>
      <c r="L58" s="72"/>
      <c r="M58" s="73"/>
      <c r="N58" s="74"/>
      <c r="O58" s="74"/>
      <c r="P58" s="74"/>
      <c r="Q58" s="74"/>
      <c r="R58" s="74"/>
      <c r="S58" s="74"/>
      <c r="T58" s="74"/>
      <c r="U58" s="74"/>
      <c r="V58" s="74"/>
      <c r="W58" s="73"/>
      <c r="X58" s="74"/>
      <c r="Y58" s="74"/>
      <c r="Z58" s="74"/>
      <c r="AA58" s="74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</row>
    <row r="59" spans="1:102" ht="23.25" customHeight="1" x14ac:dyDescent="0.2">
      <c r="A59" s="64"/>
      <c r="B59" s="54" t="s">
        <v>170</v>
      </c>
      <c r="C59" s="54" t="s">
        <v>128</v>
      </c>
      <c r="D59" s="54" t="s">
        <v>8</v>
      </c>
      <c r="E59" s="54" t="s">
        <v>9</v>
      </c>
      <c r="F59" s="54" t="s">
        <v>10</v>
      </c>
      <c r="G59" s="54" t="s">
        <v>11</v>
      </c>
      <c r="H59" s="54" t="s">
        <v>12</v>
      </c>
      <c r="I59" s="54" t="s">
        <v>13</v>
      </c>
      <c r="J59" s="54" t="s">
        <v>14</v>
      </c>
      <c r="K59" s="54" t="s">
        <v>15</v>
      </c>
      <c r="L59" s="54" t="s">
        <v>16</v>
      </c>
      <c r="M59" s="54" t="s">
        <v>17</v>
      </c>
      <c r="N59" s="54" t="s">
        <v>18</v>
      </c>
      <c r="O59" s="54" t="s">
        <v>19</v>
      </c>
      <c r="P59" s="54" t="s">
        <v>20</v>
      </c>
      <c r="Q59" s="54" t="s">
        <v>21</v>
      </c>
      <c r="R59" s="54" t="s">
        <v>22</v>
      </c>
      <c r="S59" s="54" t="s">
        <v>23</v>
      </c>
      <c r="T59" s="54" t="s">
        <v>24</v>
      </c>
      <c r="U59" s="54" t="s">
        <v>25</v>
      </c>
      <c r="V59" s="54" t="s">
        <v>26</v>
      </c>
      <c r="W59" s="54" t="s">
        <v>27</v>
      </c>
      <c r="X59" s="54" t="s">
        <v>28</v>
      </c>
      <c r="Y59" s="54" t="s">
        <v>29</v>
      </c>
      <c r="Z59" s="54" t="s">
        <v>30</v>
      </c>
      <c r="AA59" s="54" t="s">
        <v>31</v>
      </c>
      <c r="AB59" s="54" t="s">
        <v>32</v>
      </c>
      <c r="AC59" s="54" t="s">
        <v>33</v>
      </c>
      <c r="AD59" s="54" t="s">
        <v>34</v>
      </c>
      <c r="AE59" s="54" t="s">
        <v>35</v>
      </c>
      <c r="AF59" s="54" t="s">
        <v>36</v>
      </c>
      <c r="AG59" s="54" t="s">
        <v>37</v>
      </c>
      <c r="AH59" s="54" t="s">
        <v>38</v>
      </c>
      <c r="AI59" s="54" t="s">
        <v>39</v>
      </c>
      <c r="AJ59" s="54" t="s">
        <v>40</v>
      </c>
      <c r="AK59" s="54" t="s">
        <v>41</v>
      </c>
      <c r="AL59" s="54" t="s">
        <v>42</v>
      </c>
      <c r="AM59" s="54" t="s">
        <v>43</v>
      </c>
      <c r="AN59" s="54" t="s">
        <v>44</v>
      </c>
      <c r="AO59" s="54" t="s">
        <v>45</v>
      </c>
      <c r="AP59" s="54" t="s">
        <v>46</v>
      </c>
      <c r="AQ59" s="54" t="s">
        <v>47</v>
      </c>
      <c r="AR59" s="54" t="s">
        <v>48</v>
      </c>
      <c r="AS59" s="54" t="s">
        <v>49</v>
      </c>
      <c r="AT59" s="54" t="s">
        <v>50</v>
      </c>
      <c r="AU59" s="54" t="s">
        <v>51</v>
      </c>
      <c r="AV59" s="54" t="s">
        <v>52</v>
      </c>
      <c r="AW59" s="54" t="s">
        <v>53</v>
      </c>
      <c r="AX59" s="54" t="s">
        <v>54</v>
      </c>
      <c r="AY59" s="54" t="s">
        <v>55</v>
      </c>
      <c r="AZ59" s="54" t="s">
        <v>56</v>
      </c>
      <c r="BA59" s="54" t="s">
        <v>57</v>
      </c>
      <c r="BB59" s="54" t="s">
        <v>58</v>
      </c>
      <c r="BC59" s="54" t="s">
        <v>59</v>
      </c>
      <c r="BD59" s="54" t="s">
        <v>60</v>
      </c>
      <c r="BE59" s="54" t="s">
        <v>61</v>
      </c>
      <c r="BF59" s="54" t="s">
        <v>62</v>
      </c>
      <c r="BG59" s="54" t="s">
        <v>63</v>
      </c>
      <c r="BH59" s="54" t="s">
        <v>64</v>
      </c>
      <c r="BI59" s="54" t="s">
        <v>65</v>
      </c>
      <c r="BJ59" s="54" t="s">
        <v>66</v>
      </c>
      <c r="BK59" s="54" t="s">
        <v>67</v>
      </c>
      <c r="BL59" s="54" t="s">
        <v>68</v>
      </c>
      <c r="BM59" s="54" t="s">
        <v>69</v>
      </c>
      <c r="BN59" s="54" t="s">
        <v>70</v>
      </c>
      <c r="BO59" s="54" t="s">
        <v>71</v>
      </c>
      <c r="BP59" s="54" t="s">
        <v>72</v>
      </c>
      <c r="BQ59" s="54" t="s">
        <v>73</v>
      </c>
      <c r="BR59" s="54" t="s">
        <v>74</v>
      </c>
      <c r="BS59" s="54" t="s">
        <v>75</v>
      </c>
      <c r="BT59" s="54" t="s">
        <v>76</v>
      </c>
      <c r="BU59" s="54" t="s">
        <v>77</v>
      </c>
      <c r="BV59" s="54" t="s">
        <v>78</v>
      </c>
      <c r="BW59" s="54" t="s">
        <v>79</v>
      </c>
      <c r="BX59" s="54" t="s">
        <v>80</v>
      </c>
      <c r="BY59" s="54" t="s">
        <v>81</v>
      </c>
      <c r="BZ59" s="54" t="s">
        <v>82</v>
      </c>
      <c r="CA59" s="54" t="s">
        <v>83</v>
      </c>
      <c r="CB59" s="54" t="s">
        <v>84</v>
      </c>
      <c r="CC59" s="54" t="s">
        <v>85</v>
      </c>
      <c r="CD59" s="54" t="s">
        <v>86</v>
      </c>
      <c r="CE59" s="54" t="s">
        <v>87</v>
      </c>
      <c r="CF59" s="54" t="s">
        <v>88</v>
      </c>
      <c r="CG59" s="54" t="s">
        <v>89</v>
      </c>
      <c r="CH59" s="54" t="s">
        <v>90</v>
      </c>
      <c r="CI59" s="54" t="s">
        <v>91</v>
      </c>
      <c r="CJ59" s="54" t="s">
        <v>92</v>
      </c>
      <c r="CK59" s="54" t="s">
        <v>93</v>
      </c>
      <c r="CL59" s="54" t="s">
        <v>94</v>
      </c>
      <c r="CM59" s="54" t="s">
        <v>95</v>
      </c>
      <c r="CN59" s="54" t="s">
        <v>96</v>
      </c>
      <c r="CO59" s="54" t="s">
        <v>97</v>
      </c>
      <c r="CP59" s="54" t="s">
        <v>98</v>
      </c>
      <c r="CQ59" s="54" t="s">
        <v>99</v>
      </c>
      <c r="CR59" s="54" t="s">
        <v>100</v>
      </c>
      <c r="CS59" s="54" t="s">
        <v>101</v>
      </c>
      <c r="CT59" s="54" t="s">
        <v>102</v>
      </c>
      <c r="CU59" s="54" t="s">
        <v>103</v>
      </c>
      <c r="CV59" s="54" t="s">
        <v>104</v>
      </c>
      <c r="CW59" s="54" t="s">
        <v>105</v>
      </c>
      <c r="CX59" s="54" t="s">
        <v>106</v>
      </c>
    </row>
    <row r="60" spans="1:102" x14ac:dyDescent="0.2">
      <c r="A60" s="55"/>
      <c r="B60" s="55" t="s">
        <v>286</v>
      </c>
      <c r="C60" s="55" t="s">
        <v>286</v>
      </c>
      <c r="D60" s="55" t="s">
        <v>286</v>
      </c>
      <c r="E60" s="55" t="s">
        <v>286</v>
      </c>
      <c r="F60" s="55" t="s">
        <v>286</v>
      </c>
      <c r="G60" s="55" t="s">
        <v>286</v>
      </c>
      <c r="H60" s="55" t="s">
        <v>286</v>
      </c>
      <c r="I60" s="55" t="s">
        <v>286</v>
      </c>
      <c r="J60" s="55" t="s">
        <v>286</v>
      </c>
      <c r="K60" s="55" t="s">
        <v>286</v>
      </c>
      <c r="L60" s="55" t="s">
        <v>286</v>
      </c>
      <c r="M60" s="55" t="s">
        <v>286</v>
      </c>
      <c r="N60" s="55" t="s">
        <v>286</v>
      </c>
      <c r="O60" s="55" t="s">
        <v>286</v>
      </c>
      <c r="P60" s="55" t="s">
        <v>286</v>
      </c>
      <c r="Q60" s="55" t="s">
        <v>286</v>
      </c>
      <c r="R60" s="55" t="s">
        <v>286</v>
      </c>
      <c r="S60" s="55" t="s">
        <v>286</v>
      </c>
      <c r="T60" s="55" t="s">
        <v>286</v>
      </c>
      <c r="U60" s="55" t="s">
        <v>286</v>
      </c>
      <c r="V60" s="55" t="s">
        <v>286</v>
      </c>
      <c r="W60" s="55" t="s">
        <v>286</v>
      </c>
      <c r="X60" s="55" t="s">
        <v>286</v>
      </c>
      <c r="Y60" s="55" t="s">
        <v>286</v>
      </c>
      <c r="Z60" s="55" t="s">
        <v>286</v>
      </c>
      <c r="AA60" s="55" t="s">
        <v>286</v>
      </c>
      <c r="AB60" s="55" t="s">
        <v>286</v>
      </c>
      <c r="AC60" s="55" t="s">
        <v>286</v>
      </c>
      <c r="AD60" s="55" t="s">
        <v>286</v>
      </c>
      <c r="AE60" s="55" t="s">
        <v>286</v>
      </c>
      <c r="AF60" s="55" t="s">
        <v>286</v>
      </c>
      <c r="AG60" s="55" t="s">
        <v>286</v>
      </c>
      <c r="AH60" s="55" t="s">
        <v>286</v>
      </c>
      <c r="AI60" s="55" t="s">
        <v>286</v>
      </c>
      <c r="AJ60" s="55" t="s">
        <v>286</v>
      </c>
      <c r="AK60" s="55" t="s">
        <v>286</v>
      </c>
      <c r="AL60" s="55" t="s">
        <v>286</v>
      </c>
      <c r="AM60" s="55" t="s">
        <v>286</v>
      </c>
      <c r="AN60" s="55" t="s">
        <v>286</v>
      </c>
      <c r="AO60" s="55" t="s">
        <v>286</v>
      </c>
      <c r="AP60" s="55" t="s">
        <v>286</v>
      </c>
      <c r="AQ60" s="55" t="s">
        <v>286</v>
      </c>
      <c r="AR60" s="55" t="s">
        <v>286</v>
      </c>
      <c r="AS60" s="55" t="s">
        <v>286</v>
      </c>
      <c r="AT60" s="55" t="s">
        <v>286</v>
      </c>
      <c r="AU60" s="55" t="s">
        <v>286</v>
      </c>
      <c r="AV60" s="55" t="s">
        <v>286</v>
      </c>
      <c r="AW60" s="55" t="s">
        <v>286</v>
      </c>
      <c r="AX60" s="55" t="s">
        <v>286</v>
      </c>
      <c r="AY60" s="55" t="s">
        <v>286</v>
      </c>
      <c r="AZ60" s="57" t="s">
        <v>286</v>
      </c>
      <c r="BA60" s="55" t="s">
        <v>286</v>
      </c>
      <c r="BB60" s="55" t="s">
        <v>286</v>
      </c>
      <c r="BC60" s="55" t="s">
        <v>286</v>
      </c>
      <c r="BD60" s="55" t="s">
        <v>286</v>
      </c>
      <c r="BE60" s="55" t="s">
        <v>286</v>
      </c>
      <c r="BF60" s="55" t="s">
        <v>286</v>
      </c>
      <c r="BG60" s="55" t="s">
        <v>286</v>
      </c>
      <c r="BH60" s="55" t="s">
        <v>286</v>
      </c>
      <c r="BI60" s="55" t="s">
        <v>286</v>
      </c>
      <c r="BJ60" s="55" t="s">
        <v>286</v>
      </c>
      <c r="BK60" s="55" t="s">
        <v>286</v>
      </c>
      <c r="BL60" s="55" t="s">
        <v>286</v>
      </c>
      <c r="BM60" s="55" t="s">
        <v>286</v>
      </c>
      <c r="BN60" s="55" t="s">
        <v>286</v>
      </c>
      <c r="BO60" s="55" t="s">
        <v>286</v>
      </c>
      <c r="BP60" s="55" t="s">
        <v>286</v>
      </c>
      <c r="BQ60" s="55" t="s">
        <v>286</v>
      </c>
      <c r="BR60" s="55" t="s">
        <v>286</v>
      </c>
      <c r="BS60" s="55" t="s">
        <v>286</v>
      </c>
      <c r="BT60" s="55" t="s">
        <v>286</v>
      </c>
      <c r="BU60" s="55" t="s">
        <v>286</v>
      </c>
      <c r="BV60" s="55" t="s">
        <v>286</v>
      </c>
      <c r="BW60" s="55" t="s">
        <v>286</v>
      </c>
      <c r="BX60" s="55" t="s">
        <v>286</v>
      </c>
      <c r="BY60" s="57" t="s">
        <v>286</v>
      </c>
      <c r="BZ60" s="55" t="s">
        <v>286</v>
      </c>
      <c r="CA60" s="55" t="s">
        <v>286</v>
      </c>
      <c r="CB60" s="55" t="s">
        <v>286</v>
      </c>
      <c r="CC60" s="55" t="s">
        <v>286</v>
      </c>
      <c r="CD60" s="55" t="s">
        <v>286</v>
      </c>
      <c r="CE60" s="55" t="s">
        <v>286</v>
      </c>
      <c r="CF60" s="55" t="s">
        <v>286</v>
      </c>
      <c r="CG60" s="55" t="s">
        <v>286</v>
      </c>
      <c r="CH60" s="55" t="s">
        <v>286</v>
      </c>
      <c r="CI60" s="55" t="s">
        <v>286</v>
      </c>
      <c r="CJ60" s="55" t="s">
        <v>286</v>
      </c>
      <c r="CK60" s="55" t="s">
        <v>286</v>
      </c>
      <c r="CL60" s="55" t="s">
        <v>286</v>
      </c>
      <c r="CM60" s="55" t="s">
        <v>286</v>
      </c>
      <c r="CN60" s="55" t="s">
        <v>286</v>
      </c>
      <c r="CO60" s="55" t="s">
        <v>286</v>
      </c>
      <c r="CP60" s="55" t="s">
        <v>286</v>
      </c>
      <c r="CQ60" s="55" t="s">
        <v>286</v>
      </c>
      <c r="CR60" s="55" t="s">
        <v>286</v>
      </c>
      <c r="CS60" s="55" t="s">
        <v>286</v>
      </c>
      <c r="CT60" s="55" t="s">
        <v>286</v>
      </c>
      <c r="CU60" s="55" t="s">
        <v>286</v>
      </c>
      <c r="CV60" s="55" t="s">
        <v>286</v>
      </c>
      <c r="CW60" s="55" t="s">
        <v>286</v>
      </c>
      <c r="CX60" s="57" t="s">
        <v>286</v>
      </c>
    </row>
    <row r="61" spans="1:102" ht="14.45" customHeight="1" x14ac:dyDescent="0.2">
      <c r="A61" s="65" t="s">
        <v>304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</row>
    <row r="62" spans="1:102" x14ac:dyDescent="0.2">
      <c r="A62" s="55" t="s">
        <v>140</v>
      </c>
      <c r="B62" s="10"/>
      <c r="C62" s="10"/>
      <c r="D62" s="10">
        <v>12294.36</v>
      </c>
      <c r="E62" s="10">
        <v>12266.138000000001</v>
      </c>
      <c r="F62" s="10">
        <v>12239.834999999999</v>
      </c>
      <c r="G62" s="10">
        <v>12200.849</v>
      </c>
      <c r="H62" s="10">
        <v>12138.879000000001</v>
      </c>
      <c r="I62" s="10">
        <v>12069.233</v>
      </c>
      <c r="J62" s="10">
        <v>12019.491</v>
      </c>
      <c r="K62" s="10">
        <v>11987.119000000001</v>
      </c>
      <c r="L62" s="10">
        <v>11957.321</v>
      </c>
      <c r="M62" s="10">
        <v>11920.097</v>
      </c>
      <c r="N62" s="10">
        <v>11903.468999999999</v>
      </c>
      <c r="O62" s="10">
        <v>11902.726000000001</v>
      </c>
      <c r="P62" s="10">
        <v>11911.647000000001</v>
      </c>
      <c r="Q62" s="10">
        <v>11933.239</v>
      </c>
      <c r="R62" s="10">
        <v>11982.278</v>
      </c>
      <c r="S62" s="10">
        <v>12021.245999999999</v>
      </c>
      <c r="T62" s="10">
        <v>12095.29</v>
      </c>
      <c r="U62" s="10">
        <v>12128.418</v>
      </c>
      <c r="V62" s="10">
        <v>12157.953</v>
      </c>
      <c r="W62" s="10">
        <v>12187.117</v>
      </c>
      <c r="X62" s="10">
        <v>12216.442999999999</v>
      </c>
      <c r="Y62" s="10">
        <v>12246.397000000001</v>
      </c>
      <c r="Z62" s="10">
        <v>12275.978999999999</v>
      </c>
      <c r="AA62" s="10">
        <v>12303.54</v>
      </c>
      <c r="AB62" s="10">
        <v>12328.611999999999</v>
      </c>
      <c r="AC62" s="10">
        <v>12350.606</v>
      </c>
      <c r="AD62" s="10">
        <v>12369.212</v>
      </c>
      <c r="AE62" s="10">
        <v>12384.338</v>
      </c>
      <c r="AF62" s="10">
        <v>12395.814</v>
      </c>
      <c r="AG62" s="10">
        <v>12402.441000000001</v>
      </c>
      <c r="AH62" s="10">
        <v>12402.773999999999</v>
      </c>
      <c r="AI62" s="10">
        <v>12396.849</v>
      </c>
      <c r="AJ62" s="10">
        <v>12385.268</v>
      </c>
      <c r="AK62" s="10">
        <v>12368.762000000001</v>
      </c>
      <c r="AL62" s="10">
        <v>12348.812</v>
      </c>
      <c r="AM62" s="10">
        <v>12326.633</v>
      </c>
      <c r="AN62" s="10">
        <v>12302.957</v>
      </c>
      <c r="AO62" s="10">
        <v>12278.709000000001</v>
      </c>
      <c r="AP62" s="10">
        <v>12255.638000000001</v>
      </c>
      <c r="AQ62" s="10">
        <v>12235.587</v>
      </c>
      <c r="AR62" s="10">
        <v>12218.956</v>
      </c>
      <c r="AS62" s="10">
        <v>12206.251</v>
      </c>
      <c r="AT62" s="10">
        <v>12198.172</v>
      </c>
      <c r="AU62" s="10">
        <v>12194.71</v>
      </c>
      <c r="AV62" s="10">
        <v>12195.636</v>
      </c>
      <c r="AW62" s="10">
        <v>12200.666999999999</v>
      </c>
      <c r="AX62" s="10">
        <v>12209.596</v>
      </c>
      <c r="AY62" s="10">
        <v>12222.038</v>
      </c>
      <c r="AZ62" s="10">
        <v>12237.316999999999</v>
      </c>
      <c r="BA62" s="10">
        <v>12254.659</v>
      </c>
      <c r="BB62" s="10">
        <v>12273.365</v>
      </c>
      <c r="BC62" s="10">
        <v>12292.989</v>
      </c>
      <c r="BD62" s="10">
        <v>12312.951999999999</v>
      </c>
      <c r="BE62" s="10">
        <v>12332.564</v>
      </c>
      <c r="BF62" s="10">
        <v>12351.445</v>
      </c>
      <c r="BG62" s="10">
        <v>12369.165000000001</v>
      </c>
      <c r="BH62" s="10">
        <v>12385.459000000001</v>
      </c>
      <c r="BI62" s="10">
        <v>12399.933999999999</v>
      </c>
      <c r="BJ62" s="10">
        <v>12412.088</v>
      </c>
      <c r="BK62" s="10">
        <v>12421.851000000001</v>
      </c>
      <c r="BL62" s="10">
        <v>12429.235000000001</v>
      </c>
      <c r="BM62" s="10">
        <v>12434.259</v>
      </c>
      <c r="BN62" s="10">
        <v>12437.048000000001</v>
      </c>
      <c r="BO62" s="10">
        <v>12437.683000000001</v>
      </c>
      <c r="BP62" s="10">
        <v>12436.315000000001</v>
      </c>
      <c r="BQ62" s="10">
        <v>12433.245000000001</v>
      </c>
      <c r="BR62" s="10">
        <v>12428.76</v>
      </c>
      <c r="BS62" s="10">
        <v>12423.184999999999</v>
      </c>
      <c r="BT62" s="10">
        <v>12416.901</v>
      </c>
      <c r="BU62" s="10">
        <v>12410.3</v>
      </c>
      <c r="BV62" s="10">
        <v>12403.761</v>
      </c>
      <c r="BW62" s="10">
        <v>12397.664000000001</v>
      </c>
      <c r="BX62" s="10">
        <v>12392.346</v>
      </c>
      <c r="BY62" s="10">
        <v>12388.114</v>
      </c>
      <c r="BZ62" s="10">
        <v>12385.21</v>
      </c>
      <c r="CA62" s="10">
        <v>12383.821</v>
      </c>
      <c r="CB62" s="10">
        <v>12384.078</v>
      </c>
      <c r="CC62" s="10">
        <v>12386.021000000001</v>
      </c>
      <c r="CD62" s="10">
        <v>12389.627</v>
      </c>
      <c r="CE62" s="10">
        <v>12394.833000000001</v>
      </c>
      <c r="CF62" s="10">
        <v>12401.465</v>
      </c>
      <c r="CG62" s="10">
        <v>12409.361000000001</v>
      </c>
      <c r="CH62" s="10">
        <v>12418.311</v>
      </c>
      <c r="CI62" s="10">
        <v>12428.058000000001</v>
      </c>
      <c r="CJ62" s="10">
        <v>12438.339</v>
      </c>
      <c r="CK62" s="10">
        <v>12448.874</v>
      </c>
      <c r="CL62" s="10">
        <v>12459.406000000001</v>
      </c>
      <c r="CM62" s="10">
        <v>12469.710999999999</v>
      </c>
      <c r="CN62" s="10">
        <v>12479.558999999999</v>
      </c>
      <c r="CO62" s="10">
        <v>12488.745999999999</v>
      </c>
      <c r="CP62" s="10">
        <v>12497.141</v>
      </c>
      <c r="CQ62" s="10">
        <v>12504.602000000001</v>
      </c>
      <c r="CR62" s="10">
        <v>12511.058999999999</v>
      </c>
      <c r="CS62" s="10">
        <v>12516.471</v>
      </c>
      <c r="CT62" s="10">
        <v>12520.825000000001</v>
      </c>
      <c r="CU62" s="10">
        <v>12524.173000000001</v>
      </c>
      <c r="CV62" s="10">
        <v>12526.553</v>
      </c>
      <c r="CW62" s="10">
        <v>12528.071</v>
      </c>
      <c r="CX62" s="10">
        <v>12528.829</v>
      </c>
    </row>
    <row r="63" spans="1:102" x14ac:dyDescent="0.2">
      <c r="A63" s="76" t="s">
        <v>141</v>
      </c>
      <c r="B63" s="10"/>
      <c r="C63" s="10"/>
      <c r="D63" s="10">
        <v>43884.752999999997</v>
      </c>
      <c r="E63" s="10">
        <v>44364.506000000001</v>
      </c>
      <c r="F63" s="10">
        <v>44764.26</v>
      </c>
      <c r="G63" s="10">
        <v>45214.791136612017</v>
      </c>
      <c r="H63" s="10">
        <v>45879.42242465754</v>
      </c>
      <c r="I63" s="10">
        <v>46359.85</v>
      </c>
      <c r="J63" s="10">
        <v>46509.866999999998</v>
      </c>
      <c r="K63" s="10">
        <v>46626.214999999997</v>
      </c>
      <c r="L63" s="10">
        <v>46724.464999999997</v>
      </c>
      <c r="M63" s="10">
        <v>46822.337</v>
      </c>
      <c r="N63" s="10">
        <v>46908.339</v>
      </c>
      <c r="O63" s="10">
        <v>46978.284</v>
      </c>
      <c r="P63" s="10">
        <v>47047.245999999999</v>
      </c>
      <c r="Q63" s="10">
        <v>47106.945</v>
      </c>
      <c r="R63" s="10">
        <v>47164.945</v>
      </c>
      <c r="S63" s="10">
        <v>47217.936000000002</v>
      </c>
      <c r="T63" s="10">
        <v>47272.05</v>
      </c>
      <c r="U63" s="10">
        <v>47403.021000000001</v>
      </c>
      <c r="V63" s="10">
        <v>47571.758999999998</v>
      </c>
      <c r="W63" s="10">
        <v>47752.603999999999</v>
      </c>
      <c r="X63" s="10">
        <v>47948.360999999997</v>
      </c>
      <c r="Y63" s="10">
        <v>48272.722197260271</v>
      </c>
      <c r="Z63" s="10">
        <v>48842.865635616443</v>
      </c>
      <c r="AA63" s="10">
        <v>49301.91</v>
      </c>
      <c r="AB63" s="10">
        <v>49442.434999999998</v>
      </c>
      <c r="AC63" s="10">
        <v>49547.743000000002</v>
      </c>
      <c r="AD63" s="10">
        <v>49653.150999999998</v>
      </c>
      <c r="AE63" s="10">
        <v>49763.14</v>
      </c>
      <c r="AF63" s="10">
        <v>49867.080999999998</v>
      </c>
      <c r="AG63" s="10">
        <v>49969.578999999998</v>
      </c>
      <c r="AH63" s="10">
        <v>50044.565000000002</v>
      </c>
      <c r="AI63" s="10">
        <v>50114.124000000003</v>
      </c>
      <c r="AJ63" s="10">
        <v>50174.116999999998</v>
      </c>
      <c r="AK63" s="10">
        <v>50211.014000000003</v>
      </c>
      <c r="AL63" s="10">
        <v>50252.326000000001</v>
      </c>
      <c r="AM63" s="10">
        <v>50281.228000000003</v>
      </c>
      <c r="AN63" s="10">
        <v>50298.733999999997</v>
      </c>
      <c r="AO63" s="10">
        <v>50318.290999999997</v>
      </c>
      <c r="AP63" s="10">
        <v>50354.127999999997</v>
      </c>
      <c r="AQ63" s="10">
        <v>50381.544000000002</v>
      </c>
      <c r="AR63" s="10">
        <v>50419.266000000003</v>
      </c>
      <c r="AS63" s="10">
        <v>50459.28</v>
      </c>
      <c r="AT63" s="10">
        <v>50480.589</v>
      </c>
      <c r="AU63" s="10">
        <v>50506.199000000001</v>
      </c>
      <c r="AV63" s="10">
        <v>50524.175000000003</v>
      </c>
      <c r="AW63" s="10">
        <v>50553.688000000002</v>
      </c>
      <c r="AX63" s="10">
        <v>50581.565999999999</v>
      </c>
      <c r="AY63" s="10">
        <v>50601.506999999998</v>
      </c>
      <c r="AZ63" s="10">
        <v>50613.722999999998</v>
      </c>
      <c r="BA63" s="10">
        <v>50615.027000000002</v>
      </c>
      <c r="BB63" s="10">
        <v>50615.413</v>
      </c>
      <c r="BC63" s="10">
        <v>50617.760000000002</v>
      </c>
      <c r="BD63" s="10">
        <v>50607.468999999997</v>
      </c>
      <c r="BE63" s="10">
        <v>50569.743000000002</v>
      </c>
      <c r="BF63" s="10">
        <v>50539.120999999999</v>
      </c>
      <c r="BG63" s="10">
        <v>50504.997000000003</v>
      </c>
      <c r="BH63" s="10">
        <v>50458.773000000001</v>
      </c>
      <c r="BI63" s="10">
        <v>50415.599000000002</v>
      </c>
      <c r="BJ63" s="10">
        <v>50392.485999999997</v>
      </c>
      <c r="BK63" s="10">
        <v>50386.936000000002</v>
      </c>
      <c r="BL63" s="10">
        <v>50385.112999999998</v>
      </c>
      <c r="BM63" s="10">
        <v>50377.495000000003</v>
      </c>
      <c r="BN63" s="10">
        <v>50389.881000000001</v>
      </c>
      <c r="BO63" s="10">
        <v>50417.815000000002</v>
      </c>
      <c r="BP63" s="10">
        <v>50455.12</v>
      </c>
      <c r="BQ63" s="10">
        <v>50503.021999999997</v>
      </c>
      <c r="BR63" s="10">
        <v>50573.624000000003</v>
      </c>
      <c r="BS63" s="10">
        <v>50631.648999999998</v>
      </c>
      <c r="BT63" s="10">
        <v>50718.77</v>
      </c>
      <c r="BU63" s="10">
        <v>50764.152999999998</v>
      </c>
      <c r="BV63" s="10">
        <v>50803.324999999997</v>
      </c>
      <c r="BW63" s="10">
        <v>50839.974000000002</v>
      </c>
      <c r="BX63" s="10">
        <v>50874.722000000002</v>
      </c>
      <c r="BY63" s="10">
        <v>50908.211000000003</v>
      </c>
      <c r="BZ63" s="10">
        <v>50940.856</v>
      </c>
      <c r="CA63" s="10">
        <v>50972.499000000003</v>
      </c>
      <c r="CB63" s="10">
        <v>51002.964</v>
      </c>
      <c r="CC63" s="10">
        <v>51031.963000000003</v>
      </c>
      <c r="CD63" s="10">
        <v>51059.531999999999</v>
      </c>
      <c r="CE63" s="10">
        <v>51085.718999999997</v>
      </c>
      <c r="CF63" s="10">
        <v>51110.28</v>
      </c>
      <c r="CG63" s="10">
        <v>51132.017</v>
      </c>
      <c r="CH63" s="10">
        <v>51149.608</v>
      </c>
      <c r="CI63" s="10">
        <v>51162.947</v>
      </c>
      <c r="CJ63" s="10">
        <v>51172.19</v>
      </c>
      <c r="CK63" s="10">
        <v>51177.688999999998</v>
      </c>
      <c r="CL63" s="10">
        <v>51180.451000000001</v>
      </c>
      <c r="CM63" s="10">
        <v>51181.517</v>
      </c>
      <c r="CN63" s="10">
        <v>51181.360999999997</v>
      </c>
      <c r="CO63" s="10">
        <v>51180.523999999998</v>
      </c>
      <c r="CP63" s="10">
        <v>51180.59</v>
      </c>
      <c r="CQ63" s="10">
        <v>51183.186000000002</v>
      </c>
      <c r="CR63" s="10">
        <v>51188.701999999997</v>
      </c>
      <c r="CS63" s="10">
        <v>51197.423000000003</v>
      </c>
      <c r="CT63" s="10">
        <v>51209.67</v>
      </c>
      <c r="CU63" s="10">
        <v>51225.5</v>
      </c>
      <c r="CV63" s="10">
        <v>51244.697999999997</v>
      </c>
      <c r="CW63" s="10">
        <v>51266.957999999999</v>
      </c>
      <c r="CX63" s="10">
        <v>51291.603000000003</v>
      </c>
    </row>
    <row r="64" spans="1:102" x14ac:dyDescent="0.2">
      <c r="A64" s="55" t="s">
        <v>142</v>
      </c>
      <c r="B64" s="10"/>
      <c r="C64" s="10"/>
      <c r="D64" s="10">
        <v>12171.123</v>
      </c>
      <c r="E64" s="10">
        <v>12394.558999999999</v>
      </c>
      <c r="F64" s="10">
        <v>12626.281000000001</v>
      </c>
      <c r="G64" s="10">
        <v>12744.546863387979</v>
      </c>
      <c r="H64" s="10">
        <v>12594.531575342469</v>
      </c>
      <c r="I64" s="10">
        <v>12556.876</v>
      </c>
      <c r="J64" s="10">
        <v>12820.793</v>
      </c>
      <c r="K64" s="10">
        <v>13091.948</v>
      </c>
      <c r="L64" s="10">
        <v>13369.672</v>
      </c>
      <c r="M64" s="10">
        <v>13646.554</v>
      </c>
      <c r="N64" s="10">
        <v>13906.129000000001</v>
      </c>
      <c r="O64" s="10">
        <v>14157.599</v>
      </c>
      <c r="P64" s="10">
        <v>14392.722</v>
      </c>
      <c r="Q64" s="10">
        <v>14618.611000000001</v>
      </c>
      <c r="R64" s="10">
        <v>14814.898999999999</v>
      </c>
      <c r="S64" s="10">
        <v>15023.226000000001</v>
      </c>
      <c r="T64" s="10">
        <v>15192.870999999999</v>
      </c>
      <c r="U64" s="10">
        <v>15324.411</v>
      </c>
      <c r="V64" s="10">
        <v>15419.199000000001</v>
      </c>
      <c r="W64" s="10">
        <v>15499.174000000001</v>
      </c>
      <c r="X64" s="10">
        <v>15560.953</v>
      </c>
      <c r="Y64" s="10">
        <v>15490.214802739731</v>
      </c>
      <c r="Z64" s="10">
        <v>15169.333364383559</v>
      </c>
      <c r="AA64" s="10">
        <v>14955.181</v>
      </c>
      <c r="AB64" s="10">
        <v>15055.165999999999</v>
      </c>
      <c r="AC64" s="10">
        <v>15186.142</v>
      </c>
      <c r="AD64" s="10">
        <v>15312.598</v>
      </c>
      <c r="AE64" s="10">
        <v>15429.989</v>
      </c>
      <c r="AF64" s="10">
        <v>15549.286</v>
      </c>
      <c r="AG64" s="10">
        <v>15667.328</v>
      </c>
      <c r="AH64" s="10">
        <v>15811.955</v>
      </c>
      <c r="AI64" s="10">
        <v>15961.683999999999</v>
      </c>
      <c r="AJ64" s="10">
        <v>16121.067999999999</v>
      </c>
      <c r="AK64" s="10">
        <v>16303.965</v>
      </c>
      <c r="AL64" s="10">
        <v>16482.563999999998</v>
      </c>
      <c r="AM64" s="10">
        <v>16673.289000000001</v>
      </c>
      <c r="AN64" s="10">
        <v>16875.388999999999</v>
      </c>
      <c r="AO64" s="10">
        <v>17075.491000000002</v>
      </c>
      <c r="AP64" s="10">
        <v>17258.222000000002</v>
      </c>
      <c r="AQ64" s="10">
        <v>17446.987000000001</v>
      </c>
      <c r="AR64" s="10">
        <v>17622.937999999998</v>
      </c>
      <c r="AS64" s="10">
        <v>17793.847000000002</v>
      </c>
      <c r="AT64" s="10">
        <v>17980.310000000001</v>
      </c>
      <c r="AU64" s="10">
        <v>18159.089</v>
      </c>
      <c r="AV64" s="10">
        <v>18341.960999999999</v>
      </c>
      <c r="AW64" s="10">
        <v>18509.572</v>
      </c>
      <c r="AX64" s="10">
        <v>18674.677</v>
      </c>
      <c r="AY64" s="10">
        <v>18843.333999999999</v>
      </c>
      <c r="AZ64" s="10">
        <v>19015.219000000001</v>
      </c>
      <c r="BA64" s="10">
        <v>19193.432000000001</v>
      </c>
      <c r="BB64" s="10">
        <v>19367.879000000001</v>
      </c>
      <c r="BC64" s="10">
        <v>19535.325000000001</v>
      </c>
      <c r="BD64" s="10">
        <v>19710.298999999999</v>
      </c>
      <c r="BE64" s="10">
        <v>19907.646000000001</v>
      </c>
      <c r="BF64" s="10">
        <v>20092.793000000001</v>
      </c>
      <c r="BG64" s="10">
        <v>20276.449000000001</v>
      </c>
      <c r="BH64" s="10">
        <v>20467.328000000001</v>
      </c>
      <c r="BI64" s="10">
        <v>20650.633999999998</v>
      </c>
      <c r="BJ64" s="10">
        <v>20810.085999999999</v>
      </c>
      <c r="BK64" s="10">
        <v>20948.422999999999</v>
      </c>
      <c r="BL64" s="10">
        <v>21079.826000000001</v>
      </c>
      <c r="BM64" s="10">
        <v>21214.266</v>
      </c>
      <c r="BN64" s="10">
        <v>21326.321</v>
      </c>
      <c r="BO64" s="10">
        <v>21420.865000000002</v>
      </c>
      <c r="BP64" s="10">
        <v>21504.530999999999</v>
      </c>
      <c r="BQ64" s="10">
        <v>21576.359</v>
      </c>
      <c r="BR64" s="10">
        <v>21624.516</v>
      </c>
      <c r="BS64" s="10">
        <v>21684.476999999999</v>
      </c>
      <c r="BT64" s="10">
        <v>21714.657999999999</v>
      </c>
      <c r="BU64" s="10">
        <v>21785.927</v>
      </c>
      <c r="BV64" s="10">
        <v>21862.714</v>
      </c>
      <c r="BW64" s="10">
        <v>21941.195</v>
      </c>
      <c r="BX64" s="10">
        <v>22020.575000000001</v>
      </c>
      <c r="BY64" s="10">
        <v>22099.993999999999</v>
      </c>
      <c r="BZ64" s="10">
        <v>22178.827000000001</v>
      </c>
      <c r="CA64" s="10">
        <v>22257.085999999999</v>
      </c>
      <c r="CB64" s="10">
        <v>22334.787</v>
      </c>
      <c r="CC64" s="10">
        <v>22412.191999999999</v>
      </c>
      <c r="CD64" s="10">
        <v>22489.223999999998</v>
      </c>
      <c r="CE64" s="10">
        <v>22565.965</v>
      </c>
      <c r="CF64" s="10">
        <v>22642.805</v>
      </c>
      <c r="CG64" s="10">
        <v>22721.198</v>
      </c>
      <c r="CH64" s="10">
        <v>22802.797999999999</v>
      </c>
      <c r="CI64" s="10">
        <v>22888.177</v>
      </c>
      <c r="CJ64" s="10">
        <v>22977.644</v>
      </c>
      <c r="CK64" s="10">
        <v>23071.370999999999</v>
      </c>
      <c r="CL64" s="10">
        <v>23168.882000000001</v>
      </c>
      <c r="CM64" s="10">
        <v>23269.587</v>
      </c>
      <c r="CN64" s="10">
        <v>23373.505000000001</v>
      </c>
      <c r="CO64" s="10">
        <v>23480.465</v>
      </c>
      <c r="CP64" s="10">
        <v>23589.147000000001</v>
      </c>
      <c r="CQ64" s="10">
        <v>23698.076000000001</v>
      </c>
      <c r="CR64" s="10">
        <v>23806.916000000001</v>
      </c>
      <c r="CS64" s="10">
        <v>23915.215</v>
      </c>
      <c r="CT64" s="10">
        <v>24022.377</v>
      </c>
      <c r="CU64" s="10">
        <v>24127.931</v>
      </c>
      <c r="CV64" s="10">
        <v>24231.621999999999</v>
      </c>
      <c r="CW64" s="10">
        <v>24333.237000000001</v>
      </c>
      <c r="CX64" s="10">
        <v>24424.350999999999</v>
      </c>
    </row>
    <row r="65" spans="1:102" x14ac:dyDescent="0.2">
      <c r="A65" s="5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</row>
    <row r="66" spans="1:102" x14ac:dyDescent="0.2">
      <c r="A66" s="55" t="s">
        <v>313</v>
      </c>
      <c r="B66" s="10"/>
      <c r="C66" s="10"/>
      <c r="D66" s="10">
        <v>43128.942999999999</v>
      </c>
      <c r="E66" s="10">
        <v>43590.832999999999</v>
      </c>
      <c r="F66" s="10">
        <v>43974.434000000001</v>
      </c>
      <c r="G66" s="10">
        <v>44275.292000000001</v>
      </c>
      <c r="H66" s="10">
        <v>44505.398000000001</v>
      </c>
      <c r="I66" s="10">
        <v>44656.906999999999</v>
      </c>
      <c r="J66" s="10">
        <v>44772.519</v>
      </c>
      <c r="K66" s="10">
        <v>44862.328999999998</v>
      </c>
      <c r="L66" s="10">
        <v>44958.173000000003</v>
      </c>
      <c r="M66" s="10">
        <v>45061.171999999999</v>
      </c>
      <c r="N66" s="10">
        <v>45151.978999999999</v>
      </c>
      <c r="O66" s="10">
        <v>45228.533000000003</v>
      </c>
      <c r="P66" s="10">
        <v>45318.557000000001</v>
      </c>
      <c r="Q66" s="10">
        <v>45378.597000000002</v>
      </c>
      <c r="R66" s="10">
        <v>45447.565000000002</v>
      </c>
      <c r="S66" s="10">
        <v>45563.233</v>
      </c>
      <c r="T66" s="10">
        <v>45679.624000000003</v>
      </c>
      <c r="U66" s="10">
        <v>45850.767999999996</v>
      </c>
      <c r="V66" s="10">
        <v>46042.239999999998</v>
      </c>
      <c r="W66" s="10">
        <v>46251.966</v>
      </c>
      <c r="X66" s="10">
        <v>46447.624000000003</v>
      </c>
      <c r="Y66" s="10">
        <v>46586.705999999998</v>
      </c>
      <c r="Z66" s="10">
        <v>46689.449000000001</v>
      </c>
      <c r="AA66" s="10">
        <v>46792.082999999999</v>
      </c>
      <c r="AB66" s="10">
        <v>46899.307999999997</v>
      </c>
      <c r="AC66" s="10">
        <v>47000.173999999999</v>
      </c>
      <c r="AD66" s="10">
        <v>47097.906000000003</v>
      </c>
      <c r="AE66" s="10">
        <v>47164.216999999997</v>
      </c>
      <c r="AF66" s="10">
        <v>47221.716999999997</v>
      </c>
      <c r="AG66" s="10">
        <v>47267.55</v>
      </c>
      <c r="AH66" s="10">
        <v>47289.572999999997</v>
      </c>
      <c r="AI66" s="10">
        <v>47317.084999999999</v>
      </c>
      <c r="AJ66" s="10">
        <v>47333.928999999996</v>
      </c>
      <c r="AK66" s="10">
        <v>47341.275999999998</v>
      </c>
      <c r="AL66" s="10">
        <v>47352.463000000003</v>
      </c>
      <c r="AM66" s="10">
        <v>47382.697999999997</v>
      </c>
      <c r="AN66" s="10">
        <v>47408.086000000003</v>
      </c>
      <c r="AO66" s="10">
        <v>47447.648000000001</v>
      </c>
      <c r="AP66" s="10">
        <v>47491.921000000002</v>
      </c>
      <c r="AQ66" s="10">
        <v>47518.222999999998</v>
      </c>
      <c r="AR66" s="10">
        <v>47549.758000000002</v>
      </c>
      <c r="AS66" s="10">
        <v>47573.868000000002</v>
      </c>
      <c r="AT66" s="10">
        <v>47609.5</v>
      </c>
      <c r="AU66" s="10">
        <v>47643.09</v>
      </c>
      <c r="AV66" s="10">
        <v>47668.006999999998</v>
      </c>
      <c r="AW66" s="10">
        <v>47684.055</v>
      </c>
      <c r="AX66" s="10">
        <v>47687.495999999999</v>
      </c>
      <c r="AY66" s="10">
        <v>47688.281999999999</v>
      </c>
      <c r="AZ66" s="10">
        <v>47689.703999999998</v>
      </c>
      <c r="BA66" s="10">
        <v>47677.067000000003</v>
      </c>
      <c r="BB66" s="10">
        <v>47635.392999999996</v>
      </c>
      <c r="BC66" s="10">
        <v>47599.889000000003</v>
      </c>
      <c r="BD66" s="10">
        <v>47559.972999999998</v>
      </c>
      <c r="BE66" s="10">
        <v>47507.249000000003</v>
      </c>
      <c r="BF66" s="10">
        <v>47457.14</v>
      </c>
      <c r="BG66" s="10">
        <v>47426.743999999999</v>
      </c>
      <c r="BH66" s="10">
        <v>47413.712</v>
      </c>
      <c r="BI66" s="10">
        <v>47404.245999999999</v>
      </c>
      <c r="BJ66" s="10">
        <v>47389.063999999998</v>
      </c>
      <c r="BK66" s="10">
        <v>47394.394</v>
      </c>
      <c r="BL66" s="10">
        <v>47415.697999999997</v>
      </c>
      <c r="BM66" s="10">
        <v>47446.732000000004</v>
      </c>
      <c r="BN66" s="10">
        <v>47488.834000000003</v>
      </c>
      <c r="BO66" s="10">
        <v>47554.383999999998</v>
      </c>
      <c r="BP66" s="10">
        <v>47607.695</v>
      </c>
      <c r="BQ66" s="10">
        <v>47691.093999999997</v>
      </c>
      <c r="BR66" s="10">
        <v>47732.785000000003</v>
      </c>
      <c r="BS66" s="10">
        <v>47768.862000000001</v>
      </c>
      <c r="BT66" s="10">
        <v>47803.076000000001</v>
      </c>
      <c r="BU66" s="10">
        <v>47836.04</v>
      </c>
      <c r="BV66" s="10">
        <v>47868.387999999999</v>
      </c>
      <c r="BW66" s="10">
        <v>47900.499000000003</v>
      </c>
      <c r="BX66" s="10">
        <v>47932.131000000001</v>
      </c>
      <c r="BY66" s="10">
        <v>47962.985000000001</v>
      </c>
      <c r="BZ66" s="10">
        <v>47992.603999999999</v>
      </c>
      <c r="CA66" s="10">
        <v>48020.930999999997</v>
      </c>
      <c r="CB66" s="10">
        <v>48047.853000000003</v>
      </c>
      <c r="CC66" s="10">
        <v>48073.01</v>
      </c>
      <c r="CD66" s="10">
        <v>48095.069000000003</v>
      </c>
      <c r="CE66" s="10">
        <v>48112.637000000002</v>
      </c>
      <c r="CF66" s="10">
        <v>48125.512000000002</v>
      </c>
      <c r="CG66" s="10">
        <v>48133.790999999997</v>
      </c>
      <c r="CH66" s="10">
        <v>48137.760000000002</v>
      </c>
      <c r="CI66" s="10">
        <v>48138.46</v>
      </c>
      <c r="CJ66" s="10">
        <v>48136.976999999999</v>
      </c>
      <c r="CK66" s="10">
        <v>48133.826999999997</v>
      </c>
      <c r="CL66" s="10">
        <v>48129.618000000002</v>
      </c>
      <c r="CM66" s="10">
        <v>48125.991000000002</v>
      </c>
      <c r="CN66" s="10">
        <v>48124.697999999997</v>
      </c>
      <c r="CO66" s="10">
        <v>48126.152000000002</v>
      </c>
      <c r="CP66" s="10">
        <v>48130.714</v>
      </c>
      <c r="CQ66" s="10">
        <v>48138.781999999999</v>
      </c>
      <c r="CR66" s="10">
        <v>48150.491000000002</v>
      </c>
      <c r="CS66" s="10">
        <v>48165.703999999998</v>
      </c>
      <c r="CT66" s="10">
        <v>48184.171999999999</v>
      </c>
      <c r="CU66" s="10">
        <v>48205.756000000001</v>
      </c>
      <c r="CV66" s="10">
        <v>48230.067000000003</v>
      </c>
      <c r="CW66" s="10">
        <v>48256.476000000002</v>
      </c>
      <c r="CX66" s="10">
        <v>48283.925000000003</v>
      </c>
    </row>
    <row r="67" spans="1:102" x14ac:dyDescent="0.2">
      <c r="A67" s="55" t="s">
        <v>314</v>
      </c>
      <c r="B67" s="10"/>
      <c r="C67" s="10"/>
      <c r="D67" s="10">
        <v>12926.933000000001</v>
      </c>
      <c r="E67" s="10">
        <v>13168.232</v>
      </c>
      <c r="F67" s="10">
        <v>13416.107</v>
      </c>
      <c r="G67" s="10">
        <v>13684.046</v>
      </c>
      <c r="H67" s="10">
        <v>13968.556</v>
      </c>
      <c r="I67" s="10">
        <v>14259.819</v>
      </c>
      <c r="J67" s="10">
        <v>14558.141</v>
      </c>
      <c r="K67" s="10">
        <v>14855.834000000001</v>
      </c>
      <c r="L67" s="10">
        <v>15135.964</v>
      </c>
      <c r="M67" s="10">
        <v>15407.718999999999</v>
      </c>
      <c r="N67" s="10">
        <v>15662.489</v>
      </c>
      <c r="O67" s="10">
        <v>15907.35</v>
      </c>
      <c r="P67" s="10">
        <v>16121.411</v>
      </c>
      <c r="Q67" s="10">
        <v>16346.959000000001</v>
      </c>
      <c r="R67" s="10">
        <v>16532.278999999999</v>
      </c>
      <c r="S67" s="10">
        <v>16677.929</v>
      </c>
      <c r="T67" s="10">
        <v>16785.296999999999</v>
      </c>
      <c r="U67" s="10">
        <v>16876.664000000001</v>
      </c>
      <c r="V67" s="10">
        <v>16948.718000000001</v>
      </c>
      <c r="W67" s="10">
        <v>16999.812000000002</v>
      </c>
      <c r="X67" s="10">
        <v>17061.689999999999</v>
      </c>
      <c r="Y67" s="10">
        <v>17176.231</v>
      </c>
      <c r="Z67" s="10">
        <v>17322.75</v>
      </c>
      <c r="AA67" s="10">
        <v>17465.008000000002</v>
      </c>
      <c r="AB67" s="10">
        <v>17598.293000000001</v>
      </c>
      <c r="AC67" s="10">
        <v>17733.710999999999</v>
      </c>
      <c r="AD67" s="10">
        <v>17867.843000000001</v>
      </c>
      <c r="AE67" s="10">
        <v>18028.912</v>
      </c>
      <c r="AF67" s="10">
        <v>18194.650000000001</v>
      </c>
      <c r="AG67" s="10">
        <v>18369.357</v>
      </c>
      <c r="AH67" s="10">
        <v>18566.947</v>
      </c>
      <c r="AI67" s="10">
        <v>18758.723000000002</v>
      </c>
      <c r="AJ67" s="10">
        <v>18961.256000000001</v>
      </c>
      <c r="AK67" s="10">
        <v>19173.703000000001</v>
      </c>
      <c r="AL67" s="10">
        <v>19382.427</v>
      </c>
      <c r="AM67" s="10">
        <v>19571.819</v>
      </c>
      <c r="AN67" s="10">
        <v>19766.037</v>
      </c>
      <c r="AO67" s="10">
        <v>19946.133999999998</v>
      </c>
      <c r="AP67" s="10">
        <v>20120.429</v>
      </c>
      <c r="AQ67" s="10">
        <v>20310.308000000001</v>
      </c>
      <c r="AR67" s="10">
        <v>20492.446</v>
      </c>
      <c r="AS67" s="10">
        <v>20679.258999999998</v>
      </c>
      <c r="AT67" s="10">
        <v>20851.399000000001</v>
      </c>
      <c r="AU67" s="10">
        <v>21022.198</v>
      </c>
      <c r="AV67" s="10">
        <v>21198.129000000001</v>
      </c>
      <c r="AW67" s="10">
        <v>21379.205000000002</v>
      </c>
      <c r="AX67" s="10">
        <v>21568.746999999999</v>
      </c>
      <c r="AY67" s="10">
        <v>21756.559000000001</v>
      </c>
      <c r="AZ67" s="10">
        <v>21939.238000000001</v>
      </c>
      <c r="BA67" s="10">
        <v>22131.392</v>
      </c>
      <c r="BB67" s="10">
        <v>22347.899000000001</v>
      </c>
      <c r="BC67" s="10">
        <v>22553.196</v>
      </c>
      <c r="BD67" s="10">
        <v>22757.794999999998</v>
      </c>
      <c r="BE67" s="10">
        <v>22970.14</v>
      </c>
      <c r="BF67" s="10">
        <v>23174.774000000001</v>
      </c>
      <c r="BG67" s="10">
        <v>23354.702000000001</v>
      </c>
      <c r="BH67" s="10">
        <v>23512.388999999999</v>
      </c>
      <c r="BI67" s="10">
        <v>23661.987000000001</v>
      </c>
      <c r="BJ67" s="10">
        <v>23813.508000000002</v>
      </c>
      <c r="BK67" s="10">
        <v>23940.965</v>
      </c>
      <c r="BL67" s="10">
        <v>24049.241000000002</v>
      </c>
      <c r="BM67" s="10">
        <v>24145.028999999999</v>
      </c>
      <c r="BN67" s="10">
        <v>24227.367999999999</v>
      </c>
      <c r="BO67" s="10">
        <v>24284.295999999998</v>
      </c>
      <c r="BP67" s="10">
        <v>24351.955999999998</v>
      </c>
      <c r="BQ67" s="10">
        <v>24388.287</v>
      </c>
      <c r="BR67" s="10">
        <v>24465.355</v>
      </c>
      <c r="BS67" s="10">
        <v>24547.263999999999</v>
      </c>
      <c r="BT67" s="10">
        <v>24630.351999999999</v>
      </c>
      <c r="BU67" s="10">
        <v>24714.04</v>
      </c>
      <c r="BV67" s="10">
        <v>24797.651000000002</v>
      </c>
      <c r="BW67" s="10">
        <v>24880.67</v>
      </c>
      <c r="BX67" s="10">
        <v>24963.166000000001</v>
      </c>
      <c r="BY67" s="10">
        <v>25045.22</v>
      </c>
      <c r="BZ67" s="10">
        <v>25127.079000000002</v>
      </c>
      <c r="CA67" s="10">
        <v>25208.653999999999</v>
      </c>
      <c r="CB67" s="10">
        <v>25289.898000000001</v>
      </c>
      <c r="CC67" s="10">
        <v>25371.145</v>
      </c>
      <c r="CD67" s="10">
        <v>25453.687000000002</v>
      </c>
      <c r="CE67" s="10">
        <v>25539.046999999999</v>
      </c>
      <c r="CF67" s="10">
        <v>25627.573</v>
      </c>
      <c r="CG67" s="10">
        <v>25719.423999999999</v>
      </c>
      <c r="CH67" s="10">
        <v>25814.646000000001</v>
      </c>
      <c r="CI67" s="10">
        <v>25912.664000000001</v>
      </c>
      <c r="CJ67" s="10">
        <v>26012.857</v>
      </c>
      <c r="CK67" s="10">
        <v>26115.233</v>
      </c>
      <c r="CL67" s="10">
        <v>26219.715</v>
      </c>
      <c r="CM67" s="10">
        <v>26325.113000000001</v>
      </c>
      <c r="CN67" s="10">
        <v>26430.168000000001</v>
      </c>
      <c r="CO67" s="10">
        <v>26534.837</v>
      </c>
      <c r="CP67" s="10">
        <v>26639.023000000001</v>
      </c>
      <c r="CQ67" s="10">
        <v>26742.48</v>
      </c>
      <c r="CR67" s="10">
        <v>26845.127</v>
      </c>
      <c r="CS67" s="10">
        <v>26946.934000000001</v>
      </c>
      <c r="CT67" s="10">
        <v>27047.875</v>
      </c>
      <c r="CU67" s="10">
        <v>27147.674999999999</v>
      </c>
      <c r="CV67" s="10">
        <v>27246.253000000001</v>
      </c>
      <c r="CW67" s="10">
        <v>27343.719000000001</v>
      </c>
      <c r="CX67" s="10">
        <v>27432.028999999999</v>
      </c>
    </row>
    <row r="68" spans="1:102" x14ac:dyDescent="0.2">
      <c r="A68" s="5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</row>
    <row r="69" spans="1:102" ht="14.45" customHeight="1" x14ac:dyDescent="0.2">
      <c r="A69" s="77" t="s">
        <v>311</v>
      </c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</row>
    <row r="70" spans="1:102" x14ac:dyDescent="0.2">
      <c r="A70" s="55" t="s">
        <v>140</v>
      </c>
      <c r="B70" s="17"/>
      <c r="C70" s="17"/>
      <c r="D70" s="17">
        <v>17.987297073853551</v>
      </c>
      <c r="E70" s="17">
        <v>17.770520718352689</v>
      </c>
      <c r="F70" s="17">
        <v>17.578298011775779</v>
      </c>
      <c r="G70" s="17">
        <v>17.38998928266825</v>
      </c>
      <c r="H70" s="17">
        <v>17.190754830641051</v>
      </c>
      <c r="I70" s="17">
        <v>17.002282099196549</v>
      </c>
      <c r="J70" s="17">
        <v>16.845782148379762</v>
      </c>
      <c r="K70" s="17">
        <v>16.717205017058571</v>
      </c>
      <c r="L70" s="17">
        <v>16.595529545009349</v>
      </c>
      <c r="M70" s="17">
        <v>16.46672695576294</v>
      </c>
      <c r="N70" s="17">
        <v>16.369371149789359</v>
      </c>
      <c r="O70" s="17">
        <v>16.296485054911159</v>
      </c>
      <c r="P70" s="17">
        <v>16.239106664522659</v>
      </c>
      <c r="Q70" s="17">
        <v>16.20069809721975</v>
      </c>
      <c r="R70" s="17">
        <v>16.200560065055999</v>
      </c>
      <c r="S70" s="17">
        <v>16.18752518771004</v>
      </c>
      <c r="T70" s="17">
        <v>16.222177804727512</v>
      </c>
      <c r="U70" s="17">
        <v>16.20236494542511</v>
      </c>
      <c r="V70" s="17">
        <v>16.178481947662551</v>
      </c>
      <c r="W70" s="17">
        <v>16.154951633371621</v>
      </c>
      <c r="X70" s="17">
        <v>16.132480524427109</v>
      </c>
      <c r="Y70" s="17">
        <v>16.11170149181941</v>
      </c>
      <c r="Z70" s="17">
        <v>16.091587611385869</v>
      </c>
      <c r="AA70" s="17">
        <v>16.070322095438321</v>
      </c>
      <c r="AB70" s="17">
        <v>16.04740298731112</v>
      </c>
      <c r="AC70" s="17">
        <v>16.02216715681498</v>
      </c>
      <c r="AD70" s="17">
        <v>15.994334050288071</v>
      </c>
      <c r="AE70" s="17">
        <v>15.963833931314101</v>
      </c>
      <c r="AF70" s="17">
        <v>15.93042868185381</v>
      </c>
      <c r="AG70" s="17">
        <v>15.89254820529767</v>
      </c>
      <c r="AH70" s="17">
        <v>15.84830806165974</v>
      </c>
      <c r="AI70" s="17">
        <v>15.79766695041306</v>
      </c>
      <c r="AJ70" s="17">
        <v>15.741226095889409</v>
      </c>
      <c r="AK70" s="17">
        <v>15.6797355744069</v>
      </c>
      <c r="AL70" s="17">
        <v>15.614863350731859</v>
      </c>
      <c r="AM70" s="17">
        <v>15.547999745210561</v>
      </c>
      <c r="AN70" s="17">
        <v>15.479880488815139</v>
      </c>
      <c r="AO70" s="17">
        <v>15.411478724821089</v>
      </c>
      <c r="AP70" s="17">
        <v>15.34486883530858</v>
      </c>
      <c r="AQ70" s="17">
        <v>15.28223542036646</v>
      </c>
      <c r="AR70" s="17">
        <v>15.223996264195531</v>
      </c>
      <c r="AS70" s="17">
        <v>15.17070017618083</v>
      </c>
      <c r="AT70" s="17">
        <v>15.1231248373788</v>
      </c>
      <c r="AU70" s="17">
        <v>15.081264285957561</v>
      </c>
      <c r="AV70" s="17">
        <v>15.04486726492976</v>
      </c>
      <c r="AW70" s="17">
        <v>15.013632063338511</v>
      </c>
      <c r="AX70" s="17">
        <v>14.987381397986949</v>
      </c>
      <c r="AY70" s="17">
        <v>14.96572190544958</v>
      </c>
      <c r="AZ70" s="17">
        <v>14.947937220387709</v>
      </c>
      <c r="BA70" s="17">
        <v>14.93321153115337</v>
      </c>
      <c r="BB70" s="17">
        <v>14.92081668235071</v>
      </c>
      <c r="BC70" s="17">
        <v>14.910338847669079</v>
      </c>
      <c r="BD70" s="17">
        <v>14.901179609714159</v>
      </c>
      <c r="BE70" s="17">
        <v>14.89261079522651</v>
      </c>
      <c r="BF70" s="17">
        <v>14.88424323724953</v>
      </c>
      <c r="BG70" s="17">
        <v>14.87561528561708</v>
      </c>
      <c r="BH70" s="17">
        <v>14.866435102163489</v>
      </c>
      <c r="BI70" s="17">
        <v>14.856239894183711</v>
      </c>
      <c r="BJ70" s="17">
        <v>14.84439211975508</v>
      </c>
      <c r="BK70" s="17">
        <v>14.83078411995815</v>
      </c>
      <c r="BL70" s="17">
        <v>14.815373234379781</v>
      </c>
      <c r="BM70" s="17">
        <v>14.79810539639983</v>
      </c>
      <c r="BN70" s="17">
        <v>14.77904656088743</v>
      </c>
      <c r="BO70" s="17">
        <v>14.75821043677454</v>
      </c>
      <c r="BP70" s="17">
        <v>14.73567468852718</v>
      </c>
      <c r="BQ70" s="17">
        <v>14.71170118415206</v>
      </c>
      <c r="BR70" s="17">
        <v>14.68653584144049</v>
      </c>
      <c r="BS70" s="17">
        <v>14.660474404848539</v>
      </c>
      <c r="BT70" s="17">
        <v>14.63388668769923</v>
      </c>
      <c r="BU70" s="17">
        <v>14.60716159697026</v>
      </c>
      <c r="BV70" s="17">
        <v>14.580686683170761</v>
      </c>
      <c r="BW70" s="17">
        <v>14.554864821874229</v>
      </c>
      <c r="BX70" s="17">
        <v>14.530060351181239</v>
      </c>
      <c r="BY70" s="17">
        <v>14.50661356960831</v>
      </c>
      <c r="BZ70" s="17">
        <v>14.484796794026749</v>
      </c>
      <c r="CA70" s="17">
        <v>14.46481524166904</v>
      </c>
      <c r="CB70" s="17">
        <v>14.44681960764043</v>
      </c>
      <c r="CC70" s="17">
        <v>14.43084655914023</v>
      </c>
      <c r="CD70" s="17">
        <v>14.41687237703786</v>
      </c>
      <c r="CE70" s="17">
        <v>14.404805019591899</v>
      </c>
      <c r="CF70" s="17">
        <v>14.394439991851851</v>
      </c>
      <c r="CG70" s="17">
        <v>14.385567386719361</v>
      </c>
      <c r="CH70" s="17">
        <v>14.37791815483018</v>
      </c>
      <c r="CI70" s="17">
        <v>14.371155823374931</v>
      </c>
      <c r="CJ70" s="17">
        <v>14.36493988618977</v>
      </c>
      <c r="CK70" s="17">
        <v>14.35890502304242</v>
      </c>
      <c r="CL70" s="17">
        <v>14.35270935107121</v>
      </c>
      <c r="CM70" s="17">
        <v>14.346058536151549</v>
      </c>
      <c r="CN70" s="17">
        <v>14.338647035354111</v>
      </c>
      <c r="CO70" s="17">
        <v>14.33021683886933</v>
      </c>
      <c r="CP70" s="17">
        <v>14.320600537583109</v>
      </c>
      <c r="CQ70" s="17">
        <v>14.309639371420531</v>
      </c>
      <c r="CR70" s="17">
        <v>14.297262139207961</v>
      </c>
      <c r="CS70" s="17">
        <v>14.28346258775723</v>
      </c>
      <c r="CT70" s="17">
        <v>14.268279447309711</v>
      </c>
      <c r="CU70" s="17">
        <v>14.251837134749371</v>
      </c>
      <c r="CV70" s="17">
        <v>14.234254602119639</v>
      </c>
      <c r="CW70" s="17">
        <v>14.215723931298051</v>
      </c>
      <c r="CX70" s="17">
        <v>14.19781269109132</v>
      </c>
    </row>
    <row r="71" spans="1:102" x14ac:dyDescent="0.2">
      <c r="A71" s="55" t="s">
        <v>141</v>
      </c>
      <c r="B71" s="17"/>
      <c r="C71" s="17"/>
      <c r="D71" s="17">
        <v>64.205708082705087</v>
      </c>
      <c r="E71" s="17">
        <v>64.272909128568585</v>
      </c>
      <c r="F71" s="17">
        <v>64.288407691493717</v>
      </c>
      <c r="G71" s="17">
        <v>64.445083558018482</v>
      </c>
      <c r="H71" s="17">
        <v>64.973207383787496</v>
      </c>
      <c r="I71" s="17">
        <v>65.308478821847004</v>
      </c>
      <c r="J71" s="17">
        <v>65.185379916014469</v>
      </c>
      <c r="K71" s="17">
        <v>65.024798312626402</v>
      </c>
      <c r="L71" s="17">
        <v>64.848743241254041</v>
      </c>
      <c r="M71" s="17">
        <v>64.681574219548423</v>
      </c>
      <c r="N71" s="17">
        <v>64.507246678353923</v>
      </c>
      <c r="O71" s="17">
        <v>64.319795575515414</v>
      </c>
      <c r="P71" s="17">
        <v>64.139345807178202</v>
      </c>
      <c r="Q71" s="17">
        <v>63.952912887049003</v>
      </c>
      <c r="R71" s="17">
        <v>63.769053300012132</v>
      </c>
      <c r="S71" s="17">
        <v>63.582554446658932</v>
      </c>
      <c r="T71" s="17">
        <v>63.401175192489731</v>
      </c>
      <c r="U71" s="17">
        <v>63.325740072419187</v>
      </c>
      <c r="V71" s="17">
        <v>63.303324515241478</v>
      </c>
      <c r="W71" s="17">
        <v>63.299712966368347</v>
      </c>
      <c r="X71" s="17">
        <v>63.318430742131767</v>
      </c>
      <c r="Y71" s="17">
        <v>63.508939832653013</v>
      </c>
      <c r="Z71" s="17">
        <v>64.024160644676087</v>
      </c>
      <c r="AA71" s="17">
        <v>64.395903424568175</v>
      </c>
      <c r="AB71" s="17">
        <v>64.356204828161964</v>
      </c>
      <c r="AC71" s="17">
        <v>64.277187741954478</v>
      </c>
      <c r="AD71" s="17">
        <v>64.205309420146989</v>
      </c>
      <c r="AE71" s="17">
        <v>64.146384155595086</v>
      </c>
      <c r="AF71" s="17">
        <v>64.086471242850791</v>
      </c>
      <c r="AG71" s="17">
        <v>64.031261511820929</v>
      </c>
      <c r="AH71" s="17">
        <v>63.947120453194998</v>
      </c>
      <c r="AI71" s="17">
        <v>63.861892684479891</v>
      </c>
      <c r="AJ71" s="17">
        <v>63.76948160173913</v>
      </c>
      <c r="AK71" s="17">
        <v>63.651917826767367</v>
      </c>
      <c r="AL71" s="17">
        <v>63.543213998757921</v>
      </c>
      <c r="AM71" s="17">
        <v>63.421416061699411</v>
      </c>
      <c r="AN71" s="17">
        <v>63.287093587232953</v>
      </c>
      <c r="AO71" s="17">
        <v>63.156417438987823</v>
      </c>
      <c r="AP71" s="17">
        <v>63.046696506239783</v>
      </c>
      <c r="AQ71" s="17">
        <v>62.926495986629106</v>
      </c>
      <c r="AR71" s="17">
        <v>62.819009842369589</v>
      </c>
      <c r="AS71" s="17">
        <v>62.713982203541278</v>
      </c>
      <c r="AT71" s="17">
        <v>62.585135650768898</v>
      </c>
      <c r="AU71" s="17">
        <v>62.461291428674038</v>
      </c>
      <c r="AV71" s="17">
        <v>62.327992287165891</v>
      </c>
      <c r="AW71" s="17">
        <v>62.209260450827102</v>
      </c>
      <c r="AX71" s="17">
        <v>62.089296103609762</v>
      </c>
      <c r="AY71" s="17">
        <v>61.960867881335354</v>
      </c>
      <c r="AZ71" s="17">
        <v>61.824888077516768</v>
      </c>
      <c r="BA71" s="17">
        <v>61.678167042105322</v>
      </c>
      <c r="BB71" s="17">
        <v>61.533515761526758</v>
      </c>
      <c r="BC71" s="17">
        <v>61.394991349133257</v>
      </c>
      <c r="BD71" s="17">
        <v>61.245344346509391</v>
      </c>
      <c r="BE71" s="17">
        <v>61.067228235233998</v>
      </c>
      <c r="BF71" s="17">
        <v>60.902717856962141</v>
      </c>
      <c r="BG71" s="17">
        <v>60.739177250303072</v>
      </c>
      <c r="BH71" s="17">
        <v>60.566352376548949</v>
      </c>
      <c r="BI71" s="17">
        <v>60.402437073694777</v>
      </c>
      <c r="BJ71" s="17">
        <v>60.267524857483117</v>
      </c>
      <c r="BK71" s="17">
        <v>60.158326668235482</v>
      </c>
      <c r="BL71" s="17">
        <v>60.057940376169633</v>
      </c>
      <c r="BM71" s="17">
        <v>59.954636670878863</v>
      </c>
      <c r="BN71" s="17">
        <v>59.878710566733908</v>
      </c>
      <c r="BO71" s="17">
        <v>59.824383973475463</v>
      </c>
      <c r="BP71" s="17">
        <v>59.783805306523767</v>
      </c>
      <c r="BQ71" s="17">
        <v>59.757960899238903</v>
      </c>
      <c r="BR71" s="17">
        <v>59.760695476261091</v>
      </c>
      <c r="BS71" s="17">
        <v>59.749894591425218</v>
      </c>
      <c r="BT71" s="17">
        <v>59.774394039179271</v>
      </c>
      <c r="BU71" s="17">
        <v>59.750383649413997</v>
      </c>
      <c r="BV71" s="17">
        <v>59.719577335317588</v>
      </c>
      <c r="BW71" s="17">
        <v>59.686159353697647</v>
      </c>
      <c r="BX71" s="17">
        <v>59.65075386125983</v>
      </c>
      <c r="BY71" s="17">
        <v>59.61405783778573</v>
      </c>
      <c r="BZ71" s="17">
        <v>59.57653908765198</v>
      </c>
      <c r="CA71" s="17">
        <v>59.537987543679783</v>
      </c>
      <c r="CB71" s="17">
        <v>59.498221858985303</v>
      </c>
      <c r="CC71" s="17">
        <v>59.456901265121488</v>
      </c>
      <c r="CD71" s="17">
        <v>59.414117670796763</v>
      </c>
      <c r="CE71" s="17">
        <v>59.369885942042252</v>
      </c>
      <c r="CF71" s="17">
        <v>59.323947487393291</v>
      </c>
      <c r="CG71" s="17">
        <v>59.274855181695472</v>
      </c>
      <c r="CH71" s="17">
        <v>59.221006582589787</v>
      </c>
      <c r="CI71" s="17">
        <v>59.162154193364138</v>
      </c>
      <c r="CJ71" s="17">
        <v>59.098359772529207</v>
      </c>
      <c r="CK71" s="17">
        <v>59.029882995827791</v>
      </c>
      <c r="CL71" s="17">
        <v>58.9577173791224</v>
      </c>
      <c r="CM71" s="17">
        <v>58.882923497668543</v>
      </c>
      <c r="CN71" s="17">
        <v>58.805881695662379</v>
      </c>
      <c r="CO71" s="17">
        <v>58.727113742801393</v>
      </c>
      <c r="CP71" s="17">
        <v>58.648356825598817</v>
      </c>
      <c r="CQ71" s="17">
        <v>58.571471010459987</v>
      </c>
      <c r="CR71" s="17">
        <v>58.496909898658373</v>
      </c>
      <c r="CS71" s="17">
        <v>58.425132452276777</v>
      </c>
      <c r="CT71" s="17">
        <v>58.356688314429192</v>
      </c>
      <c r="CU71" s="17">
        <v>58.291871498908861</v>
      </c>
      <c r="CV71" s="17">
        <v>58.230710263288778</v>
      </c>
      <c r="CW71" s="17">
        <v>58.173115535939402</v>
      </c>
      <c r="CX71" s="17">
        <v>58.124232681267983</v>
      </c>
    </row>
    <row r="72" spans="1:102" x14ac:dyDescent="0.2">
      <c r="A72" s="55" t="s">
        <v>142</v>
      </c>
      <c r="B72" s="17"/>
      <c r="C72" s="17"/>
      <c r="D72" s="17">
        <v>17.806994843441359</v>
      </c>
      <c r="E72" s="17">
        <v>17.956570153078729</v>
      </c>
      <c r="F72" s="17">
        <v>18.133294296730501</v>
      </c>
      <c r="G72" s="17">
        <v>18.164927159313269</v>
      </c>
      <c r="H72" s="17">
        <v>17.836037785571449</v>
      </c>
      <c r="I72" s="17">
        <v>17.68923907895644</v>
      </c>
      <c r="J72" s="17">
        <v>17.968837935605769</v>
      </c>
      <c r="K72" s="17">
        <v>18.25799667031503</v>
      </c>
      <c r="L72" s="17">
        <v>18.55572721373661</v>
      </c>
      <c r="M72" s="17">
        <v>18.85169882468864</v>
      </c>
      <c r="N72" s="17">
        <v>19.123382171856719</v>
      </c>
      <c r="O72" s="17">
        <v>19.383719369573431</v>
      </c>
      <c r="P72" s="17">
        <v>19.621547528299139</v>
      </c>
      <c r="Q72" s="17">
        <v>19.846389015731251</v>
      </c>
      <c r="R72" s="17">
        <v>20.030386634931869</v>
      </c>
      <c r="S72" s="17">
        <v>20.22992036563102</v>
      </c>
      <c r="T72" s="17">
        <v>20.376647002782761</v>
      </c>
      <c r="U72" s="17">
        <v>20.4718949821557</v>
      </c>
      <c r="V72" s="17">
        <v>20.518193537095971</v>
      </c>
      <c r="W72" s="17">
        <v>20.54533540026004</v>
      </c>
      <c r="X72" s="17">
        <v>20.549088733441121</v>
      </c>
      <c r="Y72" s="17">
        <v>20.37935867552757</v>
      </c>
      <c r="Z72" s="17">
        <v>19.884251743938052</v>
      </c>
      <c r="AA72" s="17">
        <v>19.533774479993511</v>
      </c>
      <c r="AB72" s="17">
        <v>19.59639218452692</v>
      </c>
      <c r="AC72" s="17">
        <v>19.700645101230538</v>
      </c>
      <c r="AD72" s="17">
        <v>19.80035652956494</v>
      </c>
      <c r="AE72" s="17">
        <v>19.889781913090822</v>
      </c>
      <c r="AF72" s="17">
        <v>19.983100075295411</v>
      </c>
      <c r="AG72" s="17">
        <v>20.076190282881399</v>
      </c>
      <c r="AH72" s="17">
        <v>20.204571485145269</v>
      </c>
      <c r="AI72" s="17">
        <v>20.34044036510705</v>
      </c>
      <c r="AJ72" s="17">
        <v>20.489292302371471</v>
      </c>
      <c r="AK72" s="17">
        <v>20.668346598825732</v>
      </c>
      <c r="AL72" s="17">
        <v>20.84192265051021</v>
      </c>
      <c r="AM72" s="17">
        <v>21.030584193090039</v>
      </c>
      <c r="AN72" s="17">
        <v>21.23302592395191</v>
      </c>
      <c r="AO72" s="17">
        <v>21.432103836191089</v>
      </c>
      <c r="AP72" s="17">
        <v>21.60843465845165</v>
      </c>
      <c r="AQ72" s="17">
        <v>21.791268593004421</v>
      </c>
      <c r="AR72" s="17">
        <v>21.956993893434881</v>
      </c>
      <c r="AS72" s="17">
        <v>22.115317620277899</v>
      </c>
      <c r="AT72" s="17">
        <v>22.291739511852299</v>
      </c>
      <c r="AU72" s="17">
        <v>22.4574442853684</v>
      </c>
      <c r="AV72" s="17">
        <v>22.627140447904349</v>
      </c>
      <c r="AW72" s="17">
        <v>22.777107485834399</v>
      </c>
      <c r="AX72" s="17">
        <v>22.923322498403291</v>
      </c>
      <c r="AY72" s="17">
        <v>23.07341021321508</v>
      </c>
      <c r="AZ72" s="17">
        <v>23.227174702095521</v>
      </c>
      <c r="BA72" s="17">
        <v>23.38862142674131</v>
      </c>
      <c r="BB72" s="17">
        <v>23.545667556122542</v>
      </c>
      <c r="BC72" s="17">
        <v>23.694669803197659</v>
      </c>
      <c r="BD72" s="17">
        <v>23.85347604377646</v>
      </c>
      <c r="BE72" s="17">
        <v>24.0401609695395</v>
      </c>
      <c r="BF72" s="17">
        <v>24.213038905788331</v>
      </c>
      <c r="BG72" s="17">
        <v>24.385207464079851</v>
      </c>
      <c r="BH72" s="17">
        <v>24.567212521287559</v>
      </c>
      <c r="BI72" s="17">
        <v>24.74132303212151</v>
      </c>
      <c r="BJ72" s="17">
        <v>24.888083022761801</v>
      </c>
      <c r="BK72" s="17">
        <v>25.010889211806369</v>
      </c>
      <c r="BL72" s="17">
        <v>25.126686389450601</v>
      </c>
      <c r="BM72" s="17">
        <v>25.247257932721318</v>
      </c>
      <c r="BN72" s="17">
        <v>25.342242872378669</v>
      </c>
      <c r="BO72" s="17">
        <v>25.41740558975</v>
      </c>
      <c r="BP72" s="17">
        <v>25.480520004949049</v>
      </c>
      <c r="BQ72" s="17">
        <v>25.530337916609049</v>
      </c>
      <c r="BR72" s="17">
        <v>25.552768682298421</v>
      </c>
      <c r="BS72" s="17">
        <v>25.58963100372624</v>
      </c>
      <c r="BT72" s="17">
        <v>25.591719273121502</v>
      </c>
      <c r="BU72" s="17">
        <v>25.642454753615741</v>
      </c>
      <c r="BV72" s="17">
        <v>25.699735981511651</v>
      </c>
      <c r="BW72" s="17">
        <v>25.75897582442812</v>
      </c>
      <c r="BX72" s="17">
        <v>25.819185787558929</v>
      </c>
      <c r="BY72" s="17">
        <v>25.879328592605969</v>
      </c>
      <c r="BZ72" s="17">
        <v>25.93866411832127</v>
      </c>
      <c r="CA72" s="17">
        <v>25.99719721465117</v>
      </c>
      <c r="CB72" s="17">
        <v>26.054958533374268</v>
      </c>
      <c r="CC72" s="17">
        <v>26.112252175738291</v>
      </c>
      <c r="CD72" s="17">
        <v>26.169009952165379</v>
      </c>
      <c r="CE72" s="17">
        <v>26.22530903836584</v>
      </c>
      <c r="CF72" s="17">
        <v>26.281612520754859</v>
      </c>
      <c r="CG72" s="17">
        <v>26.33957743158517</v>
      </c>
      <c r="CH72" s="17">
        <v>26.401075262580029</v>
      </c>
      <c r="CI72" s="17">
        <v>26.466689983260949</v>
      </c>
      <c r="CJ72" s="17">
        <v>26.536700341281019</v>
      </c>
      <c r="CK72" s="17">
        <v>26.611211981129792</v>
      </c>
      <c r="CL72" s="17">
        <v>26.689573269806399</v>
      </c>
      <c r="CM72" s="17">
        <v>26.771017966179901</v>
      </c>
      <c r="CN72" s="17">
        <v>26.855471268983511</v>
      </c>
      <c r="CO72" s="17">
        <v>26.94266941832927</v>
      </c>
      <c r="CP72" s="17">
        <v>27.031042636818061</v>
      </c>
      <c r="CQ72" s="17">
        <v>27.118889618119471</v>
      </c>
      <c r="CR72" s="17">
        <v>27.205827962133679</v>
      </c>
      <c r="CS72" s="17">
        <v>27.291404959965991</v>
      </c>
      <c r="CT72" s="17">
        <v>27.37503223826111</v>
      </c>
      <c r="CU72" s="17">
        <v>27.456291366341759</v>
      </c>
      <c r="CV72" s="17">
        <v>27.53503513459157</v>
      </c>
      <c r="CW72" s="17">
        <v>27.61116053276255</v>
      </c>
      <c r="CX72" s="17">
        <v>27.677954627640709</v>
      </c>
    </row>
    <row r="73" spans="1:102" ht="14.45" customHeight="1" x14ac:dyDescent="0.2">
      <c r="A73" s="78" t="s">
        <v>315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spans="1:102" x14ac:dyDescent="0.2">
      <c r="A74" s="55" t="s">
        <v>140</v>
      </c>
      <c r="B74" s="10"/>
      <c r="C74" s="10"/>
      <c r="D74" s="10">
        <v>280.15105838695268</v>
      </c>
      <c r="E74" s="10">
        <v>276.48539578013111</v>
      </c>
      <c r="F74" s="10">
        <v>273.42873533484078</v>
      </c>
      <c r="G74" s="10">
        <v>269.84198518436898</v>
      </c>
      <c r="H74" s="10">
        <v>264.58221046558009</v>
      </c>
      <c r="I74" s="10">
        <v>260.33805113692131</v>
      </c>
      <c r="J74" s="10">
        <v>258.4288404866864</v>
      </c>
      <c r="K74" s="10">
        <v>257.0896865636638</v>
      </c>
      <c r="L74" s="10">
        <v>255.9113517939692</v>
      </c>
      <c r="M74" s="10">
        <v>254.58141912053651</v>
      </c>
      <c r="N74" s="10">
        <v>253.76018963280711</v>
      </c>
      <c r="O74" s="10">
        <v>253.36655549189501</v>
      </c>
      <c r="P74" s="10">
        <v>253.18478790448219</v>
      </c>
      <c r="Q74" s="10">
        <v>253.32228612999629</v>
      </c>
      <c r="R74" s="10">
        <v>254.05050297418981</v>
      </c>
      <c r="S74" s="10">
        <v>254.59067079933359</v>
      </c>
      <c r="T74" s="10">
        <v>255.86556961248769</v>
      </c>
      <c r="U74" s="10">
        <v>255.85749060170659</v>
      </c>
      <c r="V74" s="10">
        <v>255.57081040455111</v>
      </c>
      <c r="W74" s="10">
        <v>255.2136633218997</v>
      </c>
      <c r="X74" s="10">
        <v>254.78332825599611</v>
      </c>
      <c r="Y74" s="10">
        <v>253.69186659821409</v>
      </c>
      <c r="Z74" s="10">
        <v>251.33617449030879</v>
      </c>
      <c r="AA74" s="10">
        <v>249.55503752288701</v>
      </c>
      <c r="AB74" s="10">
        <v>249.35284841857001</v>
      </c>
      <c r="AC74" s="10">
        <v>249.2667728578474</v>
      </c>
      <c r="AD74" s="10">
        <v>249.11232723176019</v>
      </c>
      <c r="AE74" s="10">
        <v>248.86568653023099</v>
      </c>
      <c r="AF74" s="10">
        <v>248.5770923708167</v>
      </c>
      <c r="AG74" s="10">
        <v>248.19982974041059</v>
      </c>
      <c r="AH74" s="10">
        <v>247.83458503435889</v>
      </c>
      <c r="AI74" s="10">
        <v>247.37235754135901</v>
      </c>
      <c r="AJ74" s="10">
        <v>246.84575913911951</v>
      </c>
      <c r="AK74" s="10">
        <v>246.33563464780849</v>
      </c>
      <c r="AL74" s="10">
        <v>245.73612771675491</v>
      </c>
      <c r="AM74" s="10">
        <v>245.1537778671595</v>
      </c>
      <c r="AN74" s="10">
        <v>244.5977467345401</v>
      </c>
      <c r="AO74" s="10">
        <v>244.02078758994421</v>
      </c>
      <c r="AP74" s="10">
        <v>243.38894320640409</v>
      </c>
      <c r="AQ74" s="10">
        <v>242.85851580888431</v>
      </c>
      <c r="AR74" s="10">
        <v>242.3469631628513</v>
      </c>
      <c r="AS74" s="10">
        <v>241.90299584139919</v>
      </c>
      <c r="AT74" s="10">
        <v>241.6408413935107</v>
      </c>
      <c r="AU74" s="10">
        <v>241.4497673839997</v>
      </c>
      <c r="AV74" s="10">
        <v>241.38218981309441</v>
      </c>
      <c r="AW74" s="10">
        <v>241.34079001318361</v>
      </c>
      <c r="AX74" s="10">
        <v>241.38430194114591</v>
      </c>
      <c r="AY74" s="10">
        <v>241.5350594202659</v>
      </c>
      <c r="AZ74" s="10">
        <v>241.7786377816941</v>
      </c>
      <c r="BA74" s="10">
        <v>242.11503433555421</v>
      </c>
      <c r="BB74" s="10">
        <v>242.48275915480531</v>
      </c>
      <c r="BC74" s="10">
        <v>242.8592059387851</v>
      </c>
      <c r="BD74" s="10">
        <v>243.30305868487511</v>
      </c>
      <c r="BE74" s="10">
        <v>243.87238827770989</v>
      </c>
      <c r="BF74" s="10">
        <v>244.3937440067468</v>
      </c>
      <c r="BG74" s="10">
        <v>244.9097264573642</v>
      </c>
      <c r="BH74" s="10">
        <v>245.45699912282839</v>
      </c>
      <c r="BI74" s="10">
        <v>245.95431267215531</v>
      </c>
      <c r="BJ74" s="10">
        <v>246.30830874269631</v>
      </c>
      <c r="BK74" s="10">
        <v>246.5291995528365</v>
      </c>
      <c r="BL74" s="10">
        <v>246.68467052956689</v>
      </c>
      <c r="BM74" s="10">
        <v>246.8217008408219</v>
      </c>
      <c r="BN74" s="10">
        <v>246.8163796616229</v>
      </c>
      <c r="BO74" s="10">
        <v>246.69222575393241</v>
      </c>
      <c r="BP74" s="10">
        <v>246.48271572835421</v>
      </c>
      <c r="BQ74" s="10">
        <v>246.18813899889</v>
      </c>
      <c r="BR74" s="10">
        <v>245.75577182287751</v>
      </c>
      <c r="BS74" s="10">
        <v>245.3640212271182</v>
      </c>
      <c r="BT74" s="10">
        <v>244.81865392240391</v>
      </c>
      <c r="BU74" s="10">
        <v>244.469754080207</v>
      </c>
      <c r="BV74" s="10">
        <v>244.15254316523581</v>
      </c>
      <c r="BW74" s="10">
        <v>243.85661566231329</v>
      </c>
      <c r="BX74" s="10">
        <v>243.58552760248989</v>
      </c>
      <c r="BY74" s="10">
        <v>243.34215947993141</v>
      </c>
      <c r="BZ74" s="10">
        <v>243.12920850799989</v>
      </c>
      <c r="CA74" s="10">
        <v>242.9510273765467</v>
      </c>
      <c r="CB74" s="10">
        <v>242.8109472225967</v>
      </c>
      <c r="CC74" s="10">
        <v>242.71104366492821</v>
      </c>
      <c r="CD74" s="10">
        <v>242.65061810593949</v>
      </c>
      <c r="CE74" s="10">
        <v>242.62814036149709</v>
      </c>
      <c r="CF74" s="10">
        <v>242.64130425425179</v>
      </c>
      <c r="CG74" s="10">
        <v>242.69257752926109</v>
      </c>
      <c r="CH74" s="10">
        <v>242.7840893717113</v>
      </c>
      <c r="CI74" s="10">
        <v>242.91130063324931</v>
      </c>
      <c r="CJ74" s="10">
        <v>243.0683345778244</v>
      </c>
      <c r="CK74" s="10">
        <v>243.24806850891599</v>
      </c>
      <c r="CL74" s="10">
        <v>243.44072309952881</v>
      </c>
      <c r="CM74" s="10">
        <v>243.636994972228</v>
      </c>
      <c r="CN74" s="10">
        <v>243.83015137092579</v>
      </c>
      <c r="CO74" s="10">
        <v>244.0136408138377</v>
      </c>
      <c r="CP74" s="10">
        <v>244.17735317236469</v>
      </c>
      <c r="CQ74" s="10">
        <v>244.31073907747751</v>
      </c>
      <c r="CR74" s="10">
        <v>244.4105537194516</v>
      </c>
      <c r="CS74" s="10">
        <v>244.47462912342289</v>
      </c>
      <c r="CT74" s="10">
        <v>244.5011850300929</v>
      </c>
      <c r="CU74" s="10">
        <v>244.49098593473951</v>
      </c>
      <c r="CV74" s="10">
        <v>244.44583515742451</v>
      </c>
      <c r="CW74" s="10">
        <v>244.36930703007579</v>
      </c>
      <c r="CX74" s="10">
        <v>244.2666687566774</v>
      </c>
    </row>
    <row r="75" spans="1:102" x14ac:dyDescent="0.2">
      <c r="A75" s="55" t="s">
        <v>142</v>
      </c>
      <c r="B75" s="10"/>
      <c r="C75" s="10"/>
      <c r="D75" s="10">
        <v>277.34286210976279</v>
      </c>
      <c r="E75" s="10">
        <v>279.38007469304398</v>
      </c>
      <c r="F75" s="10">
        <v>282.06164918173562</v>
      </c>
      <c r="G75" s="10">
        <v>281.86676401714641</v>
      </c>
      <c r="H75" s="10">
        <v>274.51373425689928</v>
      </c>
      <c r="I75" s="10">
        <v>270.8567003560193</v>
      </c>
      <c r="J75" s="10">
        <v>275.65748575458201</v>
      </c>
      <c r="K75" s="10">
        <v>280.78513342762221</v>
      </c>
      <c r="L75" s="10">
        <v>286.13857857976541</v>
      </c>
      <c r="M75" s="10">
        <v>291.45392721426953</v>
      </c>
      <c r="N75" s="10">
        <v>296.45323830374809</v>
      </c>
      <c r="O75" s="10">
        <v>301.36475397866809</v>
      </c>
      <c r="P75" s="10">
        <v>305.92060585225329</v>
      </c>
      <c r="Q75" s="10">
        <v>310.32814800450342</v>
      </c>
      <c r="R75" s="10">
        <v>314.10826409317337</v>
      </c>
      <c r="S75" s="10">
        <v>318.16778268325828</v>
      </c>
      <c r="T75" s="10">
        <v>321.39226033142211</v>
      </c>
      <c r="U75" s="10">
        <v>323.27920619236482</v>
      </c>
      <c r="V75" s="10">
        <v>324.12505495119478</v>
      </c>
      <c r="W75" s="10">
        <v>324.57233117590818</v>
      </c>
      <c r="X75" s="10">
        <v>324.53566035343732</v>
      </c>
      <c r="Y75" s="10">
        <v>320.88960592363031</v>
      </c>
      <c r="Z75" s="10">
        <v>310.57418861439652</v>
      </c>
      <c r="AA75" s="10">
        <v>303.33877531316739</v>
      </c>
      <c r="AB75" s="10">
        <v>304.49887834205572</v>
      </c>
      <c r="AC75" s="10">
        <v>306.49513137258339</v>
      </c>
      <c r="AD75" s="10">
        <v>308.39126403075608</v>
      </c>
      <c r="AE75" s="10">
        <v>310.06863714789699</v>
      </c>
      <c r="AF75" s="10">
        <v>311.81464180748821</v>
      </c>
      <c r="AG75" s="10">
        <v>313.53732237768099</v>
      </c>
      <c r="AH75" s="10">
        <v>315.95748709175513</v>
      </c>
      <c r="AI75" s="10">
        <v>318.50669483916352</v>
      </c>
      <c r="AJ75" s="10">
        <v>321.30247553733727</v>
      </c>
      <c r="AK75" s="10">
        <v>324.70893736581382</v>
      </c>
      <c r="AL75" s="10">
        <v>327.99604141706789</v>
      </c>
      <c r="AM75" s="10">
        <v>331.60067212360048</v>
      </c>
      <c r="AN75" s="10">
        <v>335.50325540996721</v>
      </c>
      <c r="AO75" s="10">
        <v>339.34958164616518</v>
      </c>
      <c r="AP75" s="10">
        <v>342.73698474135028</v>
      </c>
      <c r="AQ75" s="10">
        <v>346.2971877162002</v>
      </c>
      <c r="AR75" s="10">
        <v>349.52785706955751</v>
      </c>
      <c r="AS75" s="10">
        <v>352.63775067737788</v>
      </c>
      <c r="AT75" s="10">
        <v>356.18265072144862</v>
      </c>
      <c r="AU75" s="10">
        <v>359.54178614787457</v>
      </c>
      <c r="AV75" s="10">
        <v>363.03335977282171</v>
      </c>
      <c r="AW75" s="10">
        <v>366.13692753731442</v>
      </c>
      <c r="AX75" s="10">
        <v>369.19926520266301</v>
      </c>
      <c r="AY75" s="10">
        <v>372.38681448756063</v>
      </c>
      <c r="AZ75" s="10">
        <v>375.69295188974741</v>
      </c>
      <c r="BA75" s="10">
        <v>379.20422328333439</v>
      </c>
      <c r="BB75" s="10">
        <v>382.64785076435118</v>
      </c>
      <c r="BC75" s="10">
        <v>385.93815688406602</v>
      </c>
      <c r="BD75" s="10">
        <v>389.47411102499512</v>
      </c>
      <c r="BE75" s="10">
        <v>393.66713807503442</v>
      </c>
      <c r="BF75" s="10">
        <v>397.56910295293818</v>
      </c>
      <c r="BG75" s="10">
        <v>401.47411552167802</v>
      </c>
      <c r="BH75" s="10">
        <v>405.62476618287963</v>
      </c>
      <c r="BI75" s="10">
        <v>409.60802627774001</v>
      </c>
      <c r="BJ75" s="10">
        <v>412.96009885283291</v>
      </c>
      <c r="BK75" s="10">
        <v>415.75107881138081</v>
      </c>
      <c r="BL75" s="10">
        <v>418.374093951124</v>
      </c>
      <c r="BM75" s="10">
        <v>421.10601172209931</v>
      </c>
      <c r="BN75" s="10">
        <v>423.2262624315386</v>
      </c>
      <c r="BO75" s="10">
        <v>424.86698402142179</v>
      </c>
      <c r="BP75" s="10">
        <v>426.21107629909511</v>
      </c>
      <c r="BQ75" s="10">
        <v>427.2290675991627</v>
      </c>
      <c r="BR75" s="10">
        <v>427.58486123122202</v>
      </c>
      <c r="BS75" s="10">
        <v>428.27909871155879</v>
      </c>
      <c r="BT75" s="10">
        <v>428.1384978381771</v>
      </c>
      <c r="BU75" s="10">
        <v>429.15966705876087</v>
      </c>
      <c r="BV75" s="10">
        <v>430.34021887346938</v>
      </c>
      <c r="BW75" s="10">
        <v>431.57368648536288</v>
      </c>
      <c r="BX75" s="10">
        <v>432.83922023200438</v>
      </c>
      <c r="BY75" s="10">
        <v>434.11452820449728</v>
      </c>
      <c r="BZ75" s="10">
        <v>435.38386948189492</v>
      </c>
      <c r="CA75" s="10">
        <v>436.6489074824446</v>
      </c>
      <c r="CB75" s="10">
        <v>437.9115496111167</v>
      </c>
      <c r="CC75" s="10">
        <v>439.17950011054842</v>
      </c>
      <c r="CD75" s="10">
        <v>440.4510405618289</v>
      </c>
      <c r="CE75" s="10">
        <v>441.72746203298033</v>
      </c>
      <c r="CF75" s="10">
        <v>443.01860604168093</v>
      </c>
      <c r="CG75" s="10">
        <v>444.36342106355778</v>
      </c>
      <c r="CH75" s="10">
        <v>445.80591898182291</v>
      </c>
      <c r="CI75" s="10">
        <v>447.35845650173349</v>
      </c>
      <c r="CJ75" s="10">
        <v>449.02600416358962</v>
      </c>
      <c r="CK75" s="10">
        <v>450.80916021823492</v>
      </c>
      <c r="CL75" s="10">
        <v>452.69007105857662</v>
      </c>
      <c r="CM75" s="10">
        <v>454.64824733506828</v>
      </c>
      <c r="CN75" s="10">
        <v>456.68002068174781</v>
      </c>
      <c r="CO75" s="10">
        <v>458.77734663287151</v>
      </c>
      <c r="CP75" s="10">
        <v>460.9002553507101</v>
      </c>
      <c r="CQ75" s="10">
        <v>463.00509702541768</v>
      </c>
      <c r="CR75" s="10">
        <v>465.08145488822908</v>
      </c>
      <c r="CS75" s="10">
        <v>467.11755394407248</v>
      </c>
      <c r="CT75" s="10">
        <v>469.09845347568148</v>
      </c>
      <c r="CU75" s="10">
        <v>471.01406526046588</v>
      </c>
      <c r="CV75" s="10">
        <v>472.86105579156703</v>
      </c>
      <c r="CW75" s="10">
        <v>474.63781642749308</v>
      </c>
      <c r="CX75" s="10">
        <v>476.18615078183461</v>
      </c>
    </row>
    <row r="76" spans="1:102" x14ac:dyDescent="0.2">
      <c r="A76" s="55" t="s">
        <v>316</v>
      </c>
      <c r="B76" s="10"/>
      <c r="C76" s="10"/>
      <c r="D76" s="10">
        <v>557.49392049671565</v>
      </c>
      <c r="E76" s="10">
        <v>555.86547047317515</v>
      </c>
      <c r="F76" s="10">
        <v>555.49038451657634</v>
      </c>
      <c r="G76" s="10">
        <v>551.70874920151539</v>
      </c>
      <c r="H76" s="10">
        <v>539.09594472247943</v>
      </c>
      <c r="I76" s="10">
        <v>531.19475149294055</v>
      </c>
      <c r="J76" s="10">
        <v>534.08632624126835</v>
      </c>
      <c r="K76" s="10">
        <v>537.87481999128602</v>
      </c>
      <c r="L76" s="10">
        <v>542.04993037373458</v>
      </c>
      <c r="M76" s="10">
        <v>546.03534633480604</v>
      </c>
      <c r="N76" s="10">
        <v>550.21342793655515</v>
      </c>
      <c r="O76" s="10">
        <v>554.73130947056302</v>
      </c>
      <c r="P76" s="10">
        <v>559.10539375673557</v>
      </c>
      <c r="Q76" s="10">
        <v>563.65043413449973</v>
      </c>
      <c r="R76" s="10">
        <v>568.15876706736321</v>
      </c>
      <c r="S76" s="10">
        <v>572.7584534825919</v>
      </c>
      <c r="T76" s="10">
        <v>577.25782994390977</v>
      </c>
      <c r="U76" s="10">
        <v>579.13669679407144</v>
      </c>
      <c r="V76" s="10">
        <v>579.69586535574604</v>
      </c>
      <c r="W76" s="10">
        <v>579.78599449780791</v>
      </c>
      <c r="X76" s="10">
        <v>579.3189886094334</v>
      </c>
      <c r="Y76" s="10">
        <v>574.58147252184438</v>
      </c>
      <c r="Z76" s="10">
        <v>561.91036310470531</v>
      </c>
      <c r="AA76" s="10">
        <v>552.89381283605439</v>
      </c>
      <c r="AB76" s="10">
        <v>553.85172676062575</v>
      </c>
      <c r="AC76" s="10">
        <v>555.76190423043079</v>
      </c>
      <c r="AD76" s="10">
        <v>557.50359126251624</v>
      </c>
      <c r="AE76" s="10">
        <v>558.93432367812795</v>
      </c>
      <c r="AF76" s="10">
        <v>560.39173417830489</v>
      </c>
      <c r="AG76" s="10">
        <v>561.73715211809167</v>
      </c>
      <c r="AH76" s="10">
        <v>563.79207212611402</v>
      </c>
      <c r="AI76" s="10">
        <v>565.87905238052258</v>
      </c>
      <c r="AJ76" s="10">
        <v>568.14823467645681</v>
      </c>
      <c r="AK76" s="10">
        <v>571.04457201362243</v>
      </c>
      <c r="AL76" s="10">
        <v>573.73216913382282</v>
      </c>
      <c r="AM76" s="10">
        <v>576.75444999076001</v>
      </c>
      <c r="AN76" s="10">
        <v>580.10100214450722</v>
      </c>
      <c r="AO76" s="10">
        <v>583.37036923610935</v>
      </c>
      <c r="AP76" s="10">
        <v>586.12592794775435</v>
      </c>
      <c r="AQ76" s="10">
        <v>589.1557035250845</v>
      </c>
      <c r="AR76" s="10">
        <v>591.87482023240887</v>
      </c>
      <c r="AS76" s="10">
        <v>594.54074651877715</v>
      </c>
      <c r="AT76" s="10">
        <v>597.82349211495932</v>
      </c>
      <c r="AU76" s="10">
        <v>600.99155353187439</v>
      </c>
      <c r="AV76" s="10">
        <v>604.4155495859161</v>
      </c>
      <c r="AW76" s="10">
        <v>607.47771755049803</v>
      </c>
      <c r="AX76" s="10">
        <v>610.58356714380886</v>
      </c>
      <c r="AY76" s="10">
        <v>613.92187390782647</v>
      </c>
      <c r="AZ76" s="10">
        <v>617.47158967144151</v>
      </c>
      <c r="BA76" s="10">
        <v>621.31925761888863</v>
      </c>
      <c r="BB76" s="10">
        <v>625.13060991915643</v>
      </c>
      <c r="BC76" s="10">
        <v>628.79736282285103</v>
      </c>
      <c r="BD76" s="10">
        <v>632.77716970987024</v>
      </c>
      <c r="BE76" s="10">
        <v>637.53952635274425</v>
      </c>
      <c r="BF76" s="10">
        <v>641.96284695968495</v>
      </c>
      <c r="BG76" s="10">
        <v>646.38384197904224</v>
      </c>
      <c r="BH76" s="10">
        <v>651.08176530570813</v>
      </c>
      <c r="BI76" s="10">
        <v>655.56233894989532</v>
      </c>
      <c r="BJ76" s="10">
        <v>659.2684075955292</v>
      </c>
      <c r="BK76" s="10">
        <v>662.28027836421734</v>
      </c>
      <c r="BL76" s="10">
        <v>665.05876448069091</v>
      </c>
      <c r="BM76" s="10">
        <v>667.92771256292122</v>
      </c>
      <c r="BN76" s="10">
        <v>670.04264209316148</v>
      </c>
      <c r="BO76" s="10">
        <v>671.55920977535425</v>
      </c>
      <c r="BP76" s="10">
        <v>672.69379202744938</v>
      </c>
      <c r="BQ76" s="10">
        <v>673.41720659805264</v>
      </c>
      <c r="BR76" s="10">
        <v>673.3406330540995</v>
      </c>
      <c r="BS76" s="10">
        <v>673.64311993867705</v>
      </c>
      <c r="BT76" s="10">
        <v>672.95715176058093</v>
      </c>
      <c r="BU76" s="10">
        <v>673.62942113896793</v>
      </c>
      <c r="BV76" s="10">
        <v>674.49276203870511</v>
      </c>
      <c r="BW76" s="10">
        <v>675.43030214767623</v>
      </c>
      <c r="BX76" s="10">
        <v>676.42474783449438</v>
      </c>
      <c r="BY76" s="10">
        <v>677.45668768442874</v>
      </c>
      <c r="BZ76" s="10">
        <v>678.51307798989478</v>
      </c>
      <c r="CA76" s="10">
        <v>679.59993485899133</v>
      </c>
      <c r="CB76" s="10">
        <v>680.72249683371342</v>
      </c>
      <c r="CC76" s="10">
        <v>681.89054377547654</v>
      </c>
      <c r="CD76" s="10">
        <v>683.10165866776845</v>
      </c>
      <c r="CE76" s="10">
        <v>684.35560239447739</v>
      </c>
      <c r="CF76" s="10">
        <v>685.6599102959326</v>
      </c>
      <c r="CG76" s="10">
        <v>687.05599859281892</v>
      </c>
      <c r="CH76" s="10">
        <v>688.59000835353413</v>
      </c>
      <c r="CI76" s="10">
        <v>690.2697571349828</v>
      </c>
      <c r="CJ76" s="10">
        <v>692.09433874141405</v>
      </c>
      <c r="CK76" s="10">
        <v>694.05722872715091</v>
      </c>
      <c r="CL76" s="10">
        <v>696.13079415810535</v>
      </c>
      <c r="CM76" s="10">
        <v>698.28524230729624</v>
      </c>
      <c r="CN76" s="10">
        <v>700.51017205267362</v>
      </c>
      <c r="CO76" s="10">
        <v>702.79098744670921</v>
      </c>
      <c r="CP76" s="10">
        <v>705.07760852307479</v>
      </c>
      <c r="CQ76" s="10">
        <v>707.31583610289522</v>
      </c>
      <c r="CR76" s="10">
        <v>709.49200860768065</v>
      </c>
      <c r="CS76" s="10">
        <v>711.5921830674954</v>
      </c>
      <c r="CT76" s="10">
        <v>713.59963850577446</v>
      </c>
      <c r="CU76" s="10">
        <v>715.50505119520551</v>
      </c>
      <c r="CV76" s="10">
        <v>717.30689094899139</v>
      </c>
      <c r="CW76" s="10">
        <v>719.00712345756892</v>
      </c>
      <c r="CX76" s="10">
        <v>720.45281953851202</v>
      </c>
    </row>
    <row r="77" spans="1:102" ht="8.25" customHeight="1" thickBot="1" x14ac:dyDescent="0.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</row>
    <row r="78" spans="1:102" x14ac:dyDescent="0.2">
      <c r="A78" s="79" t="s">
        <v>317</v>
      </c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 spans="1:102" x14ac:dyDescent="0.2"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 spans="1:102" x14ac:dyDescent="0.2">
      <c r="A80" s="81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 spans="1:27" x14ac:dyDescent="0.2">
      <c r="A81" s="81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 spans="1:27" x14ac:dyDescent="0.2">
      <c r="A82" s="81"/>
      <c r="B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 spans="1:27" x14ac:dyDescent="0.2">
      <c r="A83" s="81"/>
      <c r="B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C02E-3CB7-4DA4-A74A-0DEC13326255}">
  <dimension ref="A1:WZF83"/>
  <sheetViews>
    <sheetView showGridLines="0" zoomScale="75" zoomScaleNormal="75" workbookViewId="0">
      <pane xSplit="2" topLeftCell="C1" activePane="topRight" state="frozen"/>
      <selection pane="topRight" activeCell="E21" sqref="E21"/>
    </sheetView>
  </sheetViews>
  <sheetFormatPr defaultColWidth="0" defaultRowHeight="14.25" zeroHeight="1" x14ac:dyDescent="0.2"/>
  <cols>
    <col min="1" max="1" width="12" style="36" customWidth="1"/>
    <col min="2" max="2" width="12.109375" style="36" customWidth="1"/>
    <col min="3" max="27" width="8.6640625" style="36" customWidth="1"/>
    <col min="28" max="102" width="8.88671875" style="31" customWidth="1"/>
    <col min="103" max="256" width="7.109375" style="31" hidden="1"/>
    <col min="257" max="257" width="12" style="31" customWidth="1"/>
    <col min="258" max="258" width="12.109375" style="31" customWidth="1"/>
    <col min="259" max="283" width="8.6640625" style="31" customWidth="1"/>
    <col min="284" max="358" width="8.88671875" style="31" customWidth="1"/>
    <col min="359" max="512" width="7.109375" style="31" hidden="1"/>
    <col min="513" max="513" width="12" style="31" customWidth="1"/>
    <col min="514" max="514" width="12.109375" style="31" customWidth="1"/>
    <col min="515" max="539" width="8.6640625" style="31" customWidth="1"/>
    <col min="540" max="614" width="8.88671875" style="31" customWidth="1"/>
    <col min="615" max="768" width="7.109375" style="31" hidden="1"/>
    <col min="769" max="769" width="12" style="31" customWidth="1"/>
    <col min="770" max="770" width="12.109375" style="31" customWidth="1"/>
    <col min="771" max="795" width="8.6640625" style="31" customWidth="1"/>
    <col min="796" max="870" width="8.88671875" style="31" customWidth="1"/>
    <col min="871" max="1024" width="7.109375" style="31" hidden="1"/>
    <col min="1025" max="1025" width="12" style="31" customWidth="1"/>
    <col min="1026" max="1026" width="12.109375" style="31" customWidth="1"/>
    <col min="1027" max="1051" width="8.6640625" style="31" customWidth="1"/>
    <col min="1052" max="1126" width="8.88671875" style="31" customWidth="1"/>
    <col min="1127" max="1280" width="7.109375" style="31" hidden="1"/>
    <col min="1281" max="1281" width="12" style="31" customWidth="1"/>
    <col min="1282" max="1282" width="12.109375" style="31" customWidth="1"/>
    <col min="1283" max="1307" width="8.6640625" style="31" customWidth="1"/>
    <col min="1308" max="1382" width="8.88671875" style="31" customWidth="1"/>
    <col min="1383" max="1536" width="7.109375" style="31" hidden="1"/>
    <col min="1537" max="1537" width="12" style="31" customWidth="1"/>
    <col min="1538" max="1538" width="12.109375" style="31" customWidth="1"/>
    <col min="1539" max="1563" width="8.6640625" style="31" customWidth="1"/>
    <col min="1564" max="1638" width="8.88671875" style="31" customWidth="1"/>
    <col min="1639" max="1792" width="7.109375" style="31" hidden="1"/>
    <col min="1793" max="1793" width="12" style="31" customWidth="1"/>
    <col min="1794" max="1794" width="12.109375" style="31" customWidth="1"/>
    <col min="1795" max="1819" width="8.6640625" style="31" customWidth="1"/>
    <col min="1820" max="1894" width="8.88671875" style="31" customWidth="1"/>
    <col min="1895" max="2048" width="7.109375" style="31" hidden="1"/>
    <col min="2049" max="2049" width="12" style="31" customWidth="1"/>
    <col min="2050" max="2050" width="12.109375" style="31" customWidth="1"/>
    <col min="2051" max="2075" width="8.6640625" style="31" customWidth="1"/>
    <col min="2076" max="2150" width="8.88671875" style="31" customWidth="1"/>
    <col min="2151" max="2304" width="7.109375" style="31" hidden="1"/>
    <col min="2305" max="2305" width="12" style="31" customWidth="1"/>
    <col min="2306" max="2306" width="12.109375" style="31" customWidth="1"/>
    <col min="2307" max="2331" width="8.6640625" style="31" customWidth="1"/>
    <col min="2332" max="2406" width="8.88671875" style="31" customWidth="1"/>
    <col min="2407" max="2560" width="7.109375" style="31" hidden="1"/>
    <col min="2561" max="2561" width="12" style="31" customWidth="1"/>
    <col min="2562" max="2562" width="12.109375" style="31" customWidth="1"/>
    <col min="2563" max="2587" width="8.6640625" style="31" customWidth="1"/>
    <col min="2588" max="2662" width="8.88671875" style="31" customWidth="1"/>
    <col min="2663" max="2816" width="7.109375" style="31" hidden="1"/>
    <col min="2817" max="2817" width="12" style="31" customWidth="1"/>
    <col min="2818" max="2818" width="12.109375" style="31" customWidth="1"/>
    <col min="2819" max="2843" width="8.6640625" style="31" customWidth="1"/>
    <col min="2844" max="2918" width="8.88671875" style="31" customWidth="1"/>
    <col min="2919" max="3072" width="7.109375" style="31" hidden="1"/>
    <col min="3073" max="3073" width="12" style="31" customWidth="1"/>
    <col min="3074" max="3074" width="12.109375" style="31" customWidth="1"/>
    <col min="3075" max="3099" width="8.6640625" style="31" customWidth="1"/>
    <col min="3100" max="3174" width="8.88671875" style="31" customWidth="1"/>
    <col min="3175" max="3328" width="7.109375" style="31" hidden="1"/>
    <col min="3329" max="3329" width="12" style="31" customWidth="1"/>
    <col min="3330" max="3330" width="12.109375" style="31" customWidth="1"/>
    <col min="3331" max="3355" width="8.6640625" style="31" customWidth="1"/>
    <col min="3356" max="3430" width="8.88671875" style="31" customWidth="1"/>
    <col min="3431" max="3584" width="7.109375" style="31" hidden="1"/>
    <col min="3585" max="3585" width="12" style="31" customWidth="1"/>
    <col min="3586" max="3586" width="12.109375" style="31" customWidth="1"/>
    <col min="3587" max="3611" width="8.6640625" style="31" customWidth="1"/>
    <col min="3612" max="3686" width="8.88671875" style="31" customWidth="1"/>
    <col min="3687" max="3840" width="7.109375" style="31" hidden="1"/>
    <col min="3841" max="3841" width="12" style="31" customWidth="1"/>
    <col min="3842" max="3842" width="12.109375" style="31" customWidth="1"/>
    <col min="3843" max="3867" width="8.6640625" style="31" customWidth="1"/>
    <col min="3868" max="3942" width="8.88671875" style="31" customWidth="1"/>
    <col min="3943" max="4096" width="7.109375" style="31" hidden="1"/>
    <col min="4097" max="4097" width="12" style="31" customWidth="1"/>
    <col min="4098" max="4098" width="12.109375" style="31" customWidth="1"/>
    <col min="4099" max="4123" width="8.6640625" style="31" customWidth="1"/>
    <col min="4124" max="4198" width="8.88671875" style="31" customWidth="1"/>
    <col min="4199" max="4352" width="7.109375" style="31" hidden="1"/>
    <col min="4353" max="4353" width="12" style="31" customWidth="1"/>
    <col min="4354" max="4354" width="12.109375" style="31" customWidth="1"/>
    <col min="4355" max="4379" width="8.6640625" style="31" customWidth="1"/>
    <col min="4380" max="4454" width="8.88671875" style="31" customWidth="1"/>
    <col min="4455" max="4608" width="7.109375" style="31" hidden="1"/>
    <col min="4609" max="4609" width="12" style="31" customWidth="1"/>
    <col min="4610" max="4610" width="12.109375" style="31" customWidth="1"/>
    <col min="4611" max="4635" width="8.6640625" style="31" customWidth="1"/>
    <col min="4636" max="4710" width="8.88671875" style="31" customWidth="1"/>
    <col min="4711" max="4864" width="7.109375" style="31" hidden="1"/>
    <col min="4865" max="4865" width="12" style="31" customWidth="1"/>
    <col min="4866" max="4866" width="12.109375" style="31" customWidth="1"/>
    <col min="4867" max="4891" width="8.6640625" style="31" customWidth="1"/>
    <col min="4892" max="4966" width="8.88671875" style="31" customWidth="1"/>
    <col min="4967" max="5120" width="7.109375" style="31" hidden="1"/>
    <col min="5121" max="5121" width="12" style="31" customWidth="1"/>
    <col min="5122" max="5122" width="12.109375" style="31" customWidth="1"/>
    <col min="5123" max="5147" width="8.6640625" style="31" customWidth="1"/>
    <col min="5148" max="5222" width="8.88671875" style="31" customWidth="1"/>
    <col min="5223" max="5376" width="7.109375" style="31" hidden="1"/>
    <col min="5377" max="5377" width="12" style="31" customWidth="1"/>
    <col min="5378" max="5378" width="12.109375" style="31" customWidth="1"/>
    <col min="5379" max="5403" width="8.6640625" style="31" customWidth="1"/>
    <col min="5404" max="5478" width="8.88671875" style="31" customWidth="1"/>
    <col min="5479" max="5632" width="7.109375" style="31" hidden="1"/>
    <col min="5633" max="5633" width="12" style="31" customWidth="1"/>
    <col min="5634" max="5634" width="12.109375" style="31" customWidth="1"/>
    <col min="5635" max="5659" width="8.6640625" style="31" customWidth="1"/>
    <col min="5660" max="5734" width="8.88671875" style="31" customWidth="1"/>
    <col min="5735" max="5888" width="7.109375" style="31" hidden="1"/>
    <col min="5889" max="5889" width="12" style="31" customWidth="1"/>
    <col min="5890" max="5890" width="12.109375" style="31" customWidth="1"/>
    <col min="5891" max="5915" width="8.6640625" style="31" customWidth="1"/>
    <col min="5916" max="5990" width="8.88671875" style="31" customWidth="1"/>
    <col min="5991" max="6144" width="7.109375" style="31" hidden="1"/>
    <col min="6145" max="6145" width="12" style="31" customWidth="1"/>
    <col min="6146" max="6146" width="12.109375" style="31" customWidth="1"/>
    <col min="6147" max="6171" width="8.6640625" style="31" customWidth="1"/>
    <col min="6172" max="6246" width="8.88671875" style="31" customWidth="1"/>
    <col min="6247" max="6400" width="7.109375" style="31" hidden="1"/>
    <col min="6401" max="6401" width="12" style="31" customWidth="1"/>
    <col min="6402" max="6402" width="12.109375" style="31" customWidth="1"/>
    <col min="6403" max="6427" width="8.6640625" style="31" customWidth="1"/>
    <col min="6428" max="6502" width="8.88671875" style="31" customWidth="1"/>
    <col min="6503" max="6656" width="7.109375" style="31" hidden="1"/>
    <col min="6657" max="6657" width="12" style="31" customWidth="1"/>
    <col min="6658" max="6658" width="12.109375" style="31" customWidth="1"/>
    <col min="6659" max="6683" width="8.6640625" style="31" customWidth="1"/>
    <col min="6684" max="6758" width="8.88671875" style="31" customWidth="1"/>
    <col min="6759" max="6912" width="7.109375" style="31" hidden="1"/>
    <col min="6913" max="6913" width="12" style="31" customWidth="1"/>
    <col min="6914" max="6914" width="12.109375" style="31" customWidth="1"/>
    <col min="6915" max="6939" width="8.6640625" style="31" customWidth="1"/>
    <col min="6940" max="7014" width="8.88671875" style="31" customWidth="1"/>
    <col min="7015" max="7168" width="7.109375" style="31" hidden="1"/>
    <col min="7169" max="7169" width="12" style="31" customWidth="1"/>
    <col min="7170" max="7170" width="12.109375" style="31" customWidth="1"/>
    <col min="7171" max="7195" width="8.6640625" style="31" customWidth="1"/>
    <col min="7196" max="7270" width="8.88671875" style="31" customWidth="1"/>
    <col min="7271" max="7424" width="7.109375" style="31" hidden="1"/>
    <col min="7425" max="7425" width="12" style="31" customWidth="1"/>
    <col min="7426" max="7426" width="12.109375" style="31" customWidth="1"/>
    <col min="7427" max="7451" width="8.6640625" style="31" customWidth="1"/>
    <col min="7452" max="7526" width="8.88671875" style="31" customWidth="1"/>
    <col min="7527" max="7680" width="7.109375" style="31" hidden="1"/>
    <col min="7681" max="7681" width="12" style="31" customWidth="1"/>
    <col min="7682" max="7682" width="12.109375" style="31" customWidth="1"/>
    <col min="7683" max="7707" width="8.6640625" style="31" customWidth="1"/>
    <col min="7708" max="7782" width="8.88671875" style="31" customWidth="1"/>
    <col min="7783" max="7936" width="7.109375" style="31" hidden="1"/>
    <col min="7937" max="7937" width="12" style="31" customWidth="1"/>
    <col min="7938" max="7938" width="12.109375" style="31" customWidth="1"/>
    <col min="7939" max="7963" width="8.6640625" style="31" customWidth="1"/>
    <col min="7964" max="8038" width="8.88671875" style="31" customWidth="1"/>
    <col min="8039" max="8192" width="7.109375" style="31" hidden="1"/>
    <col min="8193" max="8193" width="12" style="31" customWidth="1"/>
    <col min="8194" max="8194" width="12.109375" style="31" customWidth="1"/>
    <col min="8195" max="8219" width="8.6640625" style="31" customWidth="1"/>
    <col min="8220" max="8294" width="8.88671875" style="31" customWidth="1"/>
    <col min="8295" max="8448" width="7.109375" style="31" hidden="1"/>
    <col min="8449" max="8449" width="12" style="31" customWidth="1"/>
    <col min="8450" max="8450" width="12.109375" style="31" customWidth="1"/>
    <col min="8451" max="8475" width="8.6640625" style="31" customWidth="1"/>
    <col min="8476" max="8550" width="8.88671875" style="31" customWidth="1"/>
    <col min="8551" max="8704" width="7.109375" style="31" hidden="1"/>
    <col min="8705" max="8705" width="12" style="31" customWidth="1"/>
    <col min="8706" max="8706" width="12.109375" style="31" customWidth="1"/>
    <col min="8707" max="8731" width="8.6640625" style="31" customWidth="1"/>
    <col min="8732" max="8806" width="8.88671875" style="31" customWidth="1"/>
    <col min="8807" max="8960" width="7.109375" style="31" hidden="1"/>
    <col min="8961" max="8961" width="12" style="31" customWidth="1"/>
    <col min="8962" max="8962" width="12.109375" style="31" customWidth="1"/>
    <col min="8963" max="8987" width="8.6640625" style="31" customWidth="1"/>
    <col min="8988" max="9062" width="8.88671875" style="31" customWidth="1"/>
    <col min="9063" max="9216" width="7.109375" style="31" hidden="1"/>
    <col min="9217" max="9217" width="12" style="31" customWidth="1"/>
    <col min="9218" max="9218" width="12.109375" style="31" customWidth="1"/>
    <col min="9219" max="9243" width="8.6640625" style="31" customWidth="1"/>
    <col min="9244" max="9318" width="8.88671875" style="31" customWidth="1"/>
    <col min="9319" max="9472" width="7.109375" style="31" hidden="1"/>
    <col min="9473" max="9473" width="12" style="31" customWidth="1"/>
    <col min="9474" max="9474" width="12.109375" style="31" customWidth="1"/>
    <col min="9475" max="9499" width="8.6640625" style="31" customWidth="1"/>
    <col min="9500" max="9574" width="8.88671875" style="31" customWidth="1"/>
    <col min="9575" max="9728" width="7.109375" style="31" hidden="1"/>
    <col min="9729" max="9729" width="12" style="31" customWidth="1"/>
    <col min="9730" max="9730" width="12.109375" style="31" customWidth="1"/>
    <col min="9731" max="9755" width="8.6640625" style="31" customWidth="1"/>
    <col min="9756" max="9830" width="8.88671875" style="31" customWidth="1"/>
    <col min="9831" max="9984" width="7.109375" style="31" hidden="1"/>
    <col min="9985" max="9985" width="12" style="31" customWidth="1"/>
    <col min="9986" max="9986" width="12.109375" style="31" customWidth="1"/>
    <col min="9987" max="10011" width="8.6640625" style="31" customWidth="1"/>
    <col min="10012" max="10086" width="8.88671875" style="31" customWidth="1"/>
    <col min="10087" max="10240" width="7.109375" style="31" hidden="1"/>
    <col min="10241" max="10241" width="12" style="31" customWidth="1"/>
    <col min="10242" max="10242" width="12.109375" style="31" customWidth="1"/>
    <col min="10243" max="10267" width="8.6640625" style="31" customWidth="1"/>
    <col min="10268" max="10342" width="8.88671875" style="31" customWidth="1"/>
    <col min="10343" max="10496" width="7.109375" style="31" hidden="1"/>
    <col min="10497" max="10497" width="12" style="31" customWidth="1"/>
    <col min="10498" max="10498" width="12.109375" style="31" customWidth="1"/>
    <col min="10499" max="10523" width="8.6640625" style="31" customWidth="1"/>
    <col min="10524" max="10598" width="8.88671875" style="31" customWidth="1"/>
    <col min="10599" max="10752" width="7.109375" style="31" hidden="1"/>
    <col min="10753" max="10753" width="12" style="31" customWidth="1"/>
    <col min="10754" max="10754" width="12.109375" style="31" customWidth="1"/>
    <col min="10755" max="10779" width="8.6640625" style="31" customWidth="1"/>
    <col min="10780" max="10854" width="8.88671875" style="31" customWidth="1"/>
    <col min="10855" max="11008" width="7.109375" style="31" hidden="1"/>
    <col min="11009" max="11009" width="12" style="31" customWidth="1"/>
    <col min="11010" max="11010" width="12.109375" style="31" customWidth="1"/>
    <col min="11011" max="11035" width="8.6640625" style="31" customWidth="1"/>
    <col min="11036" max="11110" width="8.88671875" style="31" customWidth="1"/>
    <col min="11111" max="11264" width="7.109375" style="31" hidden="1"/>
    <col min="11265" max="11265" width="12" style="31" customWidth="1"/>
    <col min="11266" max="11266" width="12.109375" style="31" customWidth="1"/>
    <col min="11267" max="11291" width="8.6640625" style="31" customWidth="1"/>
    <col min="11292" max="11366" width="8.88671875" style="31" customWidth="1"/>
    <col min="11367" max="11520" width="7.109375" style="31" hidden="1"/>
    <col min="11521" max="11521" width="12" style="31" customWidth="1"/>
    <col min="11522" max="11522" width="12.109375" style="31" customWidth="1"/>
    <col min="11523" max="11547" width="8.6640625" style="31" customWidth="1"/>
    <col min="11548" max="11622" width="8.88671875" style="31" customWidth="1"/>
    <col min="11623" max="11776" width="7.109375" style="31" hidden="1"/>
    <col min="11777" max="11777" width="12" style="31" customWidth="1"/>
    <col min="11778" max="11778" width="12.109375" style="31" customWidth="1"/>
    <col min="11779" max="11803" width="8.6640625" style="31" customWidth="1"/>
    <col min="11804" max="11878" width="8.88671875" style="31" customWidth="1"/>
    <col min="11879" max="12032" width="7.109375" style="31" hidden="1"/>
    <col min="12033" max="12033" width="12" style="31" customWidth="1"/>
    <col min="12034" max="12034" width="12.109375" style="31" customWidth="1"/>
    <col min="12035" max="12059" width="8.6640625" style="31" customWidth="1"/>
    <col min="12060" max="12134" width="8.88671875" style="31" customWidth="1"/>
    <col min="12135" max="12288" width="7.109375" style="31" hidden="1"/>
    <col min="12289" max="12289" width="12" style="31" customWidth="1"/>
    <col min="12290" max="12290" width="12.109375" style="31" customWidth="1"/>
    <col min="12291" max="12315" width="8.6640625" style="31" customWidth="1"/>
    <col min="12316" max="12390" width="8.88671875" style="31" customWidth="1"/>
    <col min="12391" max="12544" width="7.109375" style="31" hidden="1"/>
    <col min="12545" max="12545" width="12" style="31" customWidth="1"/>
    <col min="12546" max="12546" width="12.109375" style="31" customWidth="1"/>
    <col min="12547" max="12571" width="8.6640625" style="31" customWidth="1"/>
    <col min="12572" max="12646" width="8.88671875" style="31" customWidth="1"/>
    <col min="12647" max="12800" width="7.109375" style="31" hidden="1"/>
    <col min="12801" max="12801" width="12" style="31" customWidth="1"/>
    <col min="12802" max="12802" width="12.109375" style="31" customWidth="1"/>
    <col min="12803" max="12827" width="8.6640625" style="31" customWidth="1"/>
    <col min="12828" max="12902" width="8.88671875" style="31" customWidth="1"/>
    <col min="12903" max="13056" width="7.109375" style="31" hidden="1"/>
    <col min="13057" max="13057" width="12" style="31" customWidth="1"/>
    <col min="13058" max="13058" width="12.109375" style="31" customWidth="1"/>
    <col min="13059" max="13083" width="8.6640625" style="31" customWidth="1"/>
    <col min="13084" max="13158" width="8.88671875" style="31" customWidth="1"/>
    <col min="13159" max="13312" width="7.109375" style="31" hidden="1"/>
    <col min="13313" max="13313" width="12" style="31" customWidth="1"/>
    <col min="13314" max="13314" width="12.109375" style="31" customWidth="1"/>
    <col min="13315" max="13339" width="8.6640625" style="31" customWidth="1"/>
    <col min="13340" max="13414" width="8.88671875" style="31" customWidth="1"/>
    <col min="13415" max="13568" width="7.109375" style="31" hidden="1"/>
    <col min="13569" max="13569" width="12" style="31" customWidth="1"/>
    <col min="13570" max="13570" width="12.109375" style="31" customWidth="1"/>
    <col min="13571" max="13595" width="8.6640625" style="31" customWidth="1"/>
    <col min="13596" max="13670" width="8.88671875" style="31" customWidth="1"/>
    <col min="13671" max="13824" width="7.109375" style="31" hidden="1"/>
    <col min="13825" max="13825" width="12" style="31" customWidth="1"/>
    <col min="13826" max="13826" width="12.109375" style="31" customWidth="1"/>
    <col min="13827" max="13851" width="8.6640625" style="31" customWidth="1"/>
    <col min="13852" max="13926" width="8.88671875" style="31" customWidth="1"/>
    <col min="13927" max="14080" width="7.109375" style="31" hidden="1"/>
    <col min="14081" max="14081" width="12" style="31" customWidth="1"/>
    <col min="14082" max="14082" width="12.109375" style="31" customWidth="1"/>
    <col min="14083" max="14107" width="8.6640625" style="31" customWidth="1"/>
    <col min="14108" max="14182" width="8.88671875" style="31" customWidth="1"/>
    <col min="14183" max="14336" width="7.109375" style="31" hidden="1"/>
    <col min="14337" max="14337" width="12" style="31" customWidth="1"/>
    <col min="14338" max="14338" width="12.109375" style="31" customWidth="1"/>
    <col min="14339" max="14363" width="8.6640625" style="31" customWidth="1"/>
    <col min="14364" max="14438" width="8.88671875" style="31" customWidth="1"/>
    <col min="14439" max="14592" width="7.109375" style="31" hidden="1"/>
    <col min="14593" max="14593" width="12" style="31" customWidth="1"/>
    <col min="14594" max="14594" width="12.109375" style="31" customWidth="1"/>
    <col min="14595" max="14619" width="8.6640625" style="31" customWidth="1"/>
    <col min="14620" max="14694" width="8.88671875" style="31" customWidth="1"/>
    <col min="14695" max="14848" width="7.109375" style="31" hidden="1"/>
    <col min="14849" max="14849" width="12" style="31" customWidth="1"/>
    <col min="14850" max="14850" width="12.109375" style="31" customWidth="1"/>
    <col min="14851" max="14875" width="8.6640625" style="31" customWidth="1"/>
    <col min="14876" max="14950" width="8.88671875" style="31" customWidth="1"/>
    <col min="14951" max="15104" width="7.109375" style="31" hidden="1"/>
    <col min="15105" max="15105" width="12" style="31" customWidth="1"/>
    <col min="15106" max="15106" width="12.109375" style="31" customWidth="1"/>
    <col min="15107" max="15131" width="8.6640625" style="31" customWidth="1"/>
    <col min="15132" max="15206" width="8.88671875" style="31" customWidth="1"/>
    <col min="15207" max="15360" width="7.109375" style="31" hidden="1"/>
    <col min="15361" max="15361" width="12" style="31" customWidth="1"/>
    <col min="15362" max="15362" width="12.109375" style="31" customWidth="1"/>
    <col min="15363" max="15387" width="8.6640625" style="31" customWidth="1"/>
    <col min="15388" max="15462" width="8.88671875" style="31" customWidth="1"/>
    <col min="15463" max="15616" width="7.109375" style="31" hidden="1"/>
    <col min="15617" max="15617" width="12" style="31" customWidth="1"/>
    <col min="15618" max="15618" width="12.109375" style="31" customWidth="1"/>
    <col min="15619" max="15643" width="8.6640625" style="31" customWidth="1"/>
    <col min="15644" max="15718" width="8.88671875" style="31" customWidth="1"/>
    <col min="15719" max="15872" width="7.109375" style="31" hidden="1"/>
    <col min="15873" max="15873" width="12" style="31" customWidth="1"/>
    <col min="15874" max="15874" width="12.109375" style="31" customWidth="1"/>
    <col min="15875" max="15899" width="8.6640625" style="31" customWidth="1"/>
    <col min="15900" max="15974" width="8.88671875" style="31" customWidth="1"/>
    <col min="15975" max="16128" width="7.109375" style="31" hidden="1"/>
    <col min="16129" max="16129" width="12" style="31" customWidth="1"/>
    <col min="16130" max="16130" width="12.109375" style="31" customWidth="1"/>
    <col min="16131" max="16155" width="8.6640625" style="31" customWidth="1"/>
    <col min="16156" max="16230" width="8.88671875" style="31" customWidth="1"/>
    <col min="16231" max="16384" width="7.109375" style="31" hidden="1"/>
  </cols>
  <sheetData>
    <row r="1" spans="1:102" ht="15" x14ac:dyDescent="0.25">
      <c r="A1" s="35" t="s">
        <v>181</v>
      </c>
      <c r="L1" s="37"/>
      <c r="V1" s="37"/>
    </row>
    <row r="2" spans="1:102" ht="15" x14ac:dyDescent="0.25">
      <c r="A2" s="38" t="s">
        <v>318</v>
      </c>
      <c r="B2" s="39"/>
      <c r="C2" s="40">
        <v>2012</v>
      </c>
      <c r="D2" s="40"/>
      <c r="E2" s="40">
        <v>2012</v>
      </c>
      <c r="F2" s="39"/>
      <c r="G2" s="39"/>
      <c r="H2" s="39"/>
      <c r="I2" s="39"/>
      <c r="J2" s="41"/>
      <c r="K2" s="41"/>
      <c r="L2" s="41" t="s">
        <v>319</v>
      </c>
      <c r="M2" s="42"/>
      <c r="N2" s="42"/>
      <c r="O2" s="39"/>
      <c r="P2" s="39"/>
      <c r="Q2" s="39"/>
      <c r="R2" s="35"/>
      <c r="S2" s="39"/>
      <c r="T2" s="39"/>
      <c r="U2" s="39"/>
      <c r="V2" s="43"/>
      <c r="W2" s="39"/>
      <c r="X2" s="42"/>
      <c r="Y2" s="39"/>
      <c r="Z2" s="39"/>
      <c r="AA2" s="39"/>
    </row>
    <row r="3" spans="1:102" ht="15" x14ac:dyDescent="0.25">
      <c r="A3" s="35" t="s">
        <v>183</v>
      </c>
      <c r="B3" s="35"/>
      <c r="C3" s="40"/>
      <c r="D3" s="39"/>
      <c r="E3" s="39"/>
      <c r="F3" s="39"/>
      <c r="G3" s="39"/>
      <c r="H3" s="39"/>
      <c r="I3" s="42"/>
      <c r="J3" s="39"/>
      <c r="K3" s="39"/>
      <c r="L3" s="44" t="s">
        <v>2</v>
      </c>
      <c r="M3" s="39"/>
      <c r="N3" s="39"/>
      <c r="O3" s="39"/>
      <c r="P3" s="39"/>
      <c r="Q3" s="39"/>
      <c r="R3" s="39"/>
      <c r="S3" s="39"/>
      <c r="T3" s="39"/>
      <c r="U3" s="39"/>
      <c r="V3" s="43"/>
      <c r="W3" s="39"/>
      <c r="X3" s="39"/>
      <c r="Y3" s="39"/>
      <c r="Z3" s="39"/>
      <c r="AA3" s="39"/>
    </row>
    <row r="4" spans="1:102" ht="15" x14ac:dyDescent="0.25">
      <c r="A4" s="45"/>
      <c r="B4" s="46"/>
      <c r="C4" s="35" t="s">
        <v>184</v>
      </c>
      <c r="D4" s="46"/>
      <c r="E4" s="46"/>
      <c r="F4" s="46"/>
      <c r="G4" s="46"/>
      <c r="H4" s="46"/>
      <c r="I4" s="47"/>
      <c r="J4" s="46"/>
      <c r="K4" s="46"/>
      <c r="M4" s="39"/>
      <c r="S4" s="48"/>
      <c r="W4" s="39"/>
    </row>
    <row r="5" spans="1:102" ht="15.75" thickBot="1" x14ac:dyDescent="0.3">
      <c r="A5" s="49"/>
      <c r="B5" s="50"/>
      <c r="C5" s="51" t="s">
        <v>185</v>
      </c>
      <c r="D5" s="49"/>
      <c r="E5" s="50"/>
      <c r="F5" s="50"/>
      <c r="G5" s="50"/>
      <c r="H5" s="50"/>
      <c r="I5" s="50"/>
      <c r="J5" s="50"/>
      <c r="K5" s="50"/>
      <c r="L5" s="52"/>
      <c r="M5" s="53"/>
      <c r="N5" s="53"/>
      <c r="O5" s="52"/>
      <c r="P5" s="52"/>
      <c r="Q5" s="52"/>
      <c r="R5" s="52"/>
      <c r="S5" s="52"/>
      <c r="T5" s="52"/>
      <c r="U5" s="52"/>
      <c r="V5" s="52"/>
      <c r="W5" s="53"/>
      <c r="X5" s="53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</row>
    <row r="6" spans="1:102" ht="23.25" customHeight="1" x14ac:dyDescent="0.2">
      <c r="C6" s="54" t="s">
        <v>169</v>
      </c>
      <c r="D6" s="54" t="s">
        <v>170</v>
      </c>
      <c r="E6" s="54" t="s">
        <v>128</v>
      </c>
      <c r="F6" s="54" t="s">
        <v>8</v>
      </c>
      <c r="G6" s="54" t="s">
        <v>9</v>
      </c>
      <c r="H6" s="54" t="s">
        <v>10</v>
      </c>
      <c r="I6" s="54" t="s">
        <v>11</v>
      </c>
      <c r="J6" s="54" t="s">
        <v>12</v>
      </c>
      <c r="K6" s="54" t="s">
        <v>13</v>
      </c>
      <c r="L6" s="54" t="s">
        <v>14</v>
      </c>
      <c r="M6" s="54" t="s">
        <v>15</v>
      </c>
      <c r="N6" s="54" t="s">
        <v>16</v>
      </c>
      <c r="O6" s="54" t="s">
        <v>17</v>
      </c>
      <c r="P6" s="54" t="s">
        <v>18</v>
      </c>
      <c r="Q6" s="54" t="s">
        <v>19</v>
      </c>
      <c r="R6" s="54" t="s">
        <v>20</v>
      </c>
      <c r="S6" s="54" t="s">
        <v>21</v>
      </c>
      <c r="T6" s="54" t="s">
        <v>22</v>
      </c>
      <c r="U6" s="54" t="s">
        <v>23</v>
      </c>
      <c r="V6" s="54" t="s">
        <v>24</v>
      </c>
      <c r="W6" s="54" t="s">
        <v>25</v>
      </c>
      <c r="X6" s="54" t="s">
        <v>26</v>
      </c>
      <c r="Y6" s="54" t="s">
        <v>27</v>
      </c>
      <c r="Z6" s="54" t="s">
        <v>28</v>
      </c>
      <c r="AA6" s="54" t="s">
        <v>29</v>
      </c>
      <c r="AB6" s="54" t="s">
        <v>30</v>
      </c>
      <c r="AC6" s="54" t="s">
        <v>31</v>
      </c>
      <c r="AD6" s="54" t="s">
        <v>32</v>
      </c>
      <c r="AE6" s="54" t="s">
        <v>33</v>
      </c>
      <c r="AF6" s="54" t="s">
        <v>34</v>
      </c>
      <c r="AG6" s="54" t="s">
        <v>35</v>
      </c>
      <c r="AH6" s="54" t="s">
        <v>36</v>
      </c>
      <c r="AI6" s="54" t="s">
        <v>37</v>
      </c>
      <c r="AJ6" s="54" t="s">
        <v>38</v>
      </c>
      <c r="AK6" s="54" t="s">
        <v>39</v>
      </c>
      <c r="AL6" s="54" t="s">
        <v>40</v>
      </c>
      <c r="AM6" s="54" t="s">
        <v>41</v>
      </c>
      <c r="AN6" s="54" t="s">
        <v>42</v>
      </c>
      <c r="AO6" s="54" t="s">
        <v>43</v>
      </c>
      <c r="AP6" s="54" t="s">
        <v>44</v>
      </c>
      <c r="AQ6" s="54" t="s">
        <v>45</v>
      </c>
      <c r="AR6" s="54" t="s">
        <v>46</v>
      </c>
      <c r="AS6" s="54" t="s">
        <v>47</v>
      </c>
      <c r="AT6" s="54" t="s">
        <v>48</v>
      </c>
      <c r="AU6" s="54" t="s">
        <v>49</v>
      </c>
      <c r="AV6" s="54" t="s">
        <v>50</v>
      </c>
      <c r="AW6" s="54" t="s">
        <v>51</v>
      </c>
      <c r="AX6" s="54" t="s">
        <v>52</v>
      </c>
      <c r="AY6" s="54" t="s">
        <v>53</v>
      </c>
      <c r="AZ6" s="54" t="s">
        <v>54</v>
      </c>
      <c r="BA6" s="54" t="s">
        <v>55</v>
      </c>
      <c r="BB6" s="54" t="s">
        <v>56</v>
      </c>
      <c r="BC6" s="54" t="s">
        <v>57</v>
      </c>
      <c r="BD6" s="54" t="s">
        <v>58</v>
      </c>
      <c r="BE6" s="54" t="s">
        <v>59</v>
      </c>
      <c r="BF6" s="54" t="s">
        <v>60</v>
      </c>
      <c r="BG6" s="54" t="s">
        <v>61</v>
      </c>
      <c r="BH6" s="54" t="s">
        <v>62</v>
      </c>
      <c r="BI6" s="54" t="s">
        <v>63</v>
      </c>
      <c r="BJ6" s="54" t="s">
        <v>64</v>
      </c>
      <c r="BK6" s="54" t="s">
        <v>65</v>
      </c>
      <c r="BL6" s="54" t="s">
        <v>66</v>
      </c>
      <c r="BM6" s="54" t="s">
        <v>67</v>
      </c>
      <c r="BN6" s="54" t="s">
        <v>68</v>
      </c>
      <c r="BO6" s="54" t="s">
        <v>69</v>
      </c>
      <c r="BP6" s="54" t="s">
        <v>70</v>
      </c>
      <c r="BQ6" s="54" t="s">
        <v>71</v>
      </c>
      <c r="BR6" s="54" t="s">
        <v>72</v>
      </c>
      <c r="BS6" s="54" t="s">
        <v>73</v>
      </c>
      <c r="BT6" s="54" t="s">
        <v>74</v>
      </c>
      <c r="BU6" s="54" t="s">
        <v>75</v>
      </c>
      <c r="BV6" s="54" t="s">
        <v>76</v>
      </c>
      <c r="BW6" s="54" t="s">
        <v>77</v>
      </c>
      <c r="BX6" s="54" t="s">
        <v>78</v>
      </c>
      <c r="BY6" s="54" t="s">
        <v>79</v>
      </c>
      <c r="BZ6" s="54" t="s">
        <v>80</v>
      </c>
      <c r="CA6" s="54" t="s">
        <v>81</v>
      </c>
      <c r="CB6" s="54" t="s">
        <v>82</v>
      </c>
      <c r="CC6" s="54" t="s">
        <v>83</v>
      </c>
      <c r="CD6" s="54" t="s">
        <v>84</v>
      </c>
      <c r="CE6" s="54" t="s">
        <v>85</v>
      </c>
      <c r="CF6" s="54" t="s">
        <v>86</v>
      </c>
      <c r="CG6" s="54" t="s">
        <v>87</v>
      </c>
      <c r="CH6" s="54" t="s">
        <v>88</v>
      </c>
      <c r="CI6" s="54" t="s">
        <v>89</v>
      </c>
      <c r="CJ6" s="54" t="s">
        <v>90</v>
      </c>
      <c r="CK6" s="54" t="s">
        <v>91</v>
      </c>
      <c r="CL6" s="54" t="s">
        <v>92</v>
      </c>
      <c r="CM6" s="54" t="s">
        <v>93</v>
      </c>
      <c r="CN6" s="54" t="s">
        <v>94</v>
      </c>
      <c r="CO6" s="54" t="s">
        <v>95</v>
      </c>
      <c r="CP6" s="54" t="s">
        <v>96</v>
      </c>
      <c r="CQ6" s="54" t="s">
        <v>97</v>
      </c>
      <c r="CR6" s="54" t="s">
        <v>98</v>
      </c>
      <c r="CS6" s="54" t="s">
        <v>99</v>
      </c>
      <c r="CT6" s="54" t="s">
        <v>100</v>
      </c>
      <c r="CU6" s="54" t="s">
        <v>101</v>
      </c>
      <c r="CV6" s="54" t="s">
        <v>102</v>
      </c>
      <c r="CW6" s="54" t="s">
        <v>103</v>
      </c>
      <c r="CX6" s="54" t="s">
        <v>104</v>
      </c>
    </row>
    <row r="7" spans="1:102" x14ac:dyDescent="0.2">
      <c r="C7" s="54" t="s">
        <v>320</v>
      </c>
      <c r="D7" s="54" t="s">
        <v>186</v>
      </c>
      <c r="E7" s="54" t="s">
        <v>187</v>
      </c>
      <c r="F7" s="54" t="s">
        <v>188</v>
      </c>
      <c r="G7" s="54" t="s">
        <v>189</v>
      </c>
      <c r="H7" s="54" t="s">
        <v>190</v>
      </c>
      <c r="I7" s="54" t="s">
        <v>191</v>
      </c>
      <c r="J7" s="54" t="s">
        <v>192</v>
      </c>
      <c r="K7" s="54" t="s">
        <v>193</v>
      </c>
      <c r="L7" s="54" t="s">
        <v>194</v>
      </c>
      <c r="M7" s="54" t="s">
        <v>195</v>
      </c>
      <c r="N7" s="54" t="s">
        <v>196</v>
      </c>
      <c r="O7" s="54" t="s">
        <v>197</v>
      </c>
      <c r="P7" s="54" t="s">
        <v>198</v>
      </c>
      <c r="Q7" s="54" t="s">
        <v>199</v>
      </c>
      <c r="R7" s="54" t="s">
        <v>200</v>
      </c>
      <c r="S7" s="54" t="s">
        <v>201</v>
      </c>
      <c r="T7" s="54" t="s">
        <v>202</v>
      </c>
      <c r="U7" s="54" t="s">
        <v>203</v>
      </c>
      <c r="V7" s="54" t="s">
        <v>204</v>
      </c>
      <c r="W7" s="54" t="s">
        <v>205</v>
      </c>
      <c r="X7" s="54" t="s">
        <v>206</v>
      </c>
      <c r="Y7" s="54" t="s">
        <v>207</v>
      </c>
      <c r="Z7" s="54" t="s">
        <v>208</v>
      </c>
      <c r="AA7" s="54" t="s">
        <v>209</v>
      </c>
      <c r="AB7" s="54" t="s">
        <v>210</v>
      </c>
      <c r="AC7" s="54" t="s">
        <v>211</v>
      </c>
      <c r="AD7" s="54" t="s">
        <v>212</v>
      </c>
      <c r="AE7" s="54" t="s">
        <v>213</v>
      </c>
      <c r="AF7" s="54" t="s">
        <v>214</v>
      </c>
      <c r="AG7" s="54" t="s">
        <v>215</v>
      </c>
      <c r="AH7" s="54" t="s">
        <v>216</v>
      </c>
      <c r="AI7" s="54" t="s">
        <v>217</v>
      </c>
      <c r="AJ7" s="54" t="s">
        <v>218</v>
      </c>
      <c r="AK7" s="54" t="s">
        <v>219</v>
      </c>
      <c r="AL7" s="54" t="s">
        <v>220</v>
      </c>
      <c r="AM7" s="54" t="s">
        <v>221</v>
      </c>
      <c r="AN7" s="54" t="s">
        <v>222</v>
      </c>
      <c r="AO7" s="54" t="s">
        <v>223</v>
      </c>
      <c r="AP7" s="54" t="s">
        <v>224</v>
      </c>
      <c r="AQ7" s="54" t="s">
        <v>225</v>
      </c>
      <c r="AR7" s="54" t="s">
        <v>226</v>
      </c>
      <c r="AS7" s="54" t="s">
        <v>227</v>
      </c>
      <c r="AT7" s="54" t="s">
        <v>228</v>
      </c>
      <c r="AU7" s="54" t="s">
        <v>229</v>
      </c>
      <c r="AV7" s="54" t="s">
        <v>230</v>
      </c>
      <c r="AW7" s="54" t="s">
        <v>231</v>
      </c>
      <c r="AX7" s="54" t="s">
        <v>232</v>
      </c>
      <c r="AY7" s="54" t="s">
        <v>233</v>
      </c>
      <c r="AZ7" s="54" t="s">
        <v>234</v>
      </c>
      <c r="BA7" s="54" t="s">
        <v>235</v>
      </c>
      <c r="BB7" s="54" t="s">
        <v>236</v>
      </c>
      <c r="BC7" s="54" t="s">
        <v>237</v>
      </c>
      <c r="BD7" s="54" t="s">
        <v>238</v>
      </c>
      <c r="BE7" s="54" t="s">
        <v>239</v>
      </c>
      <c r="BF7" s="54" t="s">
        <v>240</v>
      </c>
      <c r="BG7" s="54" t="s">
        <v>241</v>
      </c>
      <c r="BH7" s="54" t="s">
        <v>242</v>
      </c>
      <c r="BI7" s="54" t="s">
        <v>243</v>
      </c>
      <c r="BJ7" s="54" t="s">
        <v>244</v>
      </c>
      <c r="BK7" s="54" t="s">
        <v>245</v>
      </c>
      <c r="BL7" s="54" t="s">
        <v>246</v>
      </c>
      <c r="BM7" s="54" t="s">
        <v>247</v>
      </c>
      <c r="BN7" s="54" t="s">
        <v>248</v>
      </c>
      <c r="BO7" s="54" t="s">
        <v>249</v>
      </c>
      <c r="BP7" s="54" t="s">
        <v>250</v>
      </c>
      <c r="BQ7" s="54" t="s">
        <v>251</v>
      </c>
      <c r="BR7" s="54" t="s">
        <v>252</v>
      </c>
      <c r="BS7" s="54" t="s">
        <v>253</v>
      </c>
      <c r="BT7" s="54" t="s">
        <v>254</v>
      </c>
      <c r="BU7" s="54" t="s">
        <v>255</v>
      </c>
      <c r="BV7" s="54" t="s">
        <v>256</v>
      </c>
      <c r="BW7" s="54" t="s">
        <v>257</v>
      </c>
      <c r="BX7" s="54" t="s">
        <v>258</v>
      </c>
      <c r="BY7" s="54" t="s">
        <v>259</v>
      </c>
      <c r="BZ7" s="54" t="s">
        <v>260</v>
      </c>
      <c r="CA7" s="54" t="s">
        <v>261</v>
      </c>
      <c r="CB7" s="54" t="s">
        <v>262</v>
      </c>
      <c r="CC7" s="54" t="s">
        <v>263</v>
      </c>
      <c r="CD7" s="54" t="s">
        <v>264</v>
      </c>
      <c r="CE7" s="54" t="s">
        <v>265</v>
      </c>
      <c r="CF7" s="54" t="s">
        <v>266</v>
      </c>
      <c r="CG7" s="54" t="s">
        <v>267</v>
      </c>
      <c r="CH7" s="54" t="s">
        <v>268</v>
      </c>
      <c r="CI7" s="54" t="s">
        <v>269</v>
      </c>
      <c r="CJ7" s="54" t="s">
        <v>270</v>
      </c>
      <c r="CK7" s="54" t="s">
        <v>271</v>
      </c>
      <c r="CL7" s="54" t="s">
        <v>272</v>
      </c>
      <c r="CM7" s="54" t="s">
        <v>273</v>
      </c>
      <c r="CN7" s="54" t="s">
        <v>274</v>
      </c>
      <c r="CO7" s="54" t="s">
        <v>275</v>
      </c>
      <c r="CP7" s="54" t="s">
        <v>276</v>
      </c>
      <c r="CQ7" s="54" t="s">
        <v>277</v>
      </c>
      <c r="CR7" s="54" t="s">
        <v>278</v>
      </c>
      <c r="CS7" s="54" t="s">
        <v>279</v>
      </c>
      <c r="CT7" s="54" t="s">
        <v>280</v>
      </c>
      <c r="CU7" s="54" t="s">
        <v>281</v>
      </c>
      <c r="CV7" s="54" t="s">
        <v>282</v>
      </c>
      <c r="CW7" s="54" t="s">
        <v>283</v>
      </c>
      <c r="CX7" s="54" t="s">
        <v>284</v>
      </c>
    </row>
    <row r="8" spans="1:102" x14ac:dyDescent="0.2">
      <c r="C8" s="55" t="s">
        <v>286</v>
      </c>
      <c r="D8" s="55" t="s">
        <v>286</v>
      </c>
      <c r="E8" s="55" t="s">
        <v>286</v>
      </c>
      <c r="F8" s="55" t="s">
        <v>286</v>
      </c>
      <c r="G8" s="55" t="s">
        <v>286</v>
      </c>
      <c r="H8" s="55" t="s">
        <v>286</v>
      </c>
      <c r="I8" s="55" t="s">
        <v>286</v>
      </c>
      <c r="J8" s="55" t="s">
        <v>286</v>
      </c>
      <c r="K8" s="55" t="s">
        <v>286</v>
      </c>
      <c r="L8" s="55" t="s">
        <v>286</v>
      </c>
      <c r="M8" s="55" t="s">
        <v>286</v>
      </c>
      <c r="N8" s="55" t="s">
        <v>286</v>
      </c>
      <c r="O8" s="55" t="s">
        <v>286</v>
      </c>
      <c r="P8" s="55" t="s">
        <v>286</v>
      </c>
      <c r="Q8" s="55" t="s">
        <v>286</v>
      </c>
      <c r="R8" s="55" t="s">
        <v>286</v>
      </c>
      <c r="S8" s="55" t="s">
        <v>286</v>
      </c>
      <c r="T8" s="55" t="s">
        <v>286</v>
      </c>
      <c r="U8" s="55" t="s">
        <v>286</v>
      </c>
      <c r="V8" s="55" t="s">
        <v>286</v>
      </c>
      <c r="W8" s="55" t="s">
        <v>286</v>
      </c>
      <c r="X8" s="55" t="s">
        <v>286</v>
      </c>
      <c r="Y8" s="55" t="s">
        <v>286</v>
      </c>
      <c r="Z8" s="55" t="s">
        <v>286</v>
      </c>
      <c r="AA8" s="55" t="s">
        <v>286</v>
      </c>
      <c r="AB8" s="55" t="s">
        <v>286</v>
      </c>
      <c r="AC8" s="55" t="s">
        <v>286</v>
      </c>
      <c r="AD8" s="55" t="s">
        <v>286</v>
      </c>
      <c r="AE8" s="55" t="s">
        <v>286</v>
      </c>
      <c r="AF8" s="55" t="s">
        <v>286</v>
      </c>
      <c r="AG8" s="55" t="s">
        <v>286</v>
      </c>
      <c r="AH8" s="55" t="s">
        <v>286</v>
      </c>
      <c r="AI8" s="55" t="s">
        <v>286</v>
      </c>
      <c r="AJ8" s="55" t="s">
        <v>286</v>
      </c>
      <c r="AK8" s="55" t="s">
        <v>286</v>
      </c>
      <c r="AL8" s="55" t="s">
        <v>286</v>
      </c>
      <c r="AM8" s="55" t="s">
        <v>286</v>
      </c>
      <c r="AN8" s="55" t="s">
        <v>286</v>
      </c>
      <c r="AO8" s="55" t="s">
        <v>286</v>
      </c>
      <c r="AP8" s="55" t="s">
        <v>286</v>
      </c>
      <c r="AQ8" s="55" t="s">
        <v>286</v>
      </c>
      <c r="AR8" s="55" t="s">
        <v>286</v>
      </c>
      <c r="AS8" s="55" t="s">
        <v>286</v>
      </c>
      <c r="AT8" s="55" t="s">
        <v>286</v>
      </c>
      <c r="AU8" s="55" t="s">
        <v>286</v>
      </c>
      <c r="AV8" s="55" t="s">
        <v>286</v>
      </c>
      <c r="AW8" s="55" t="s">
        <v>286</v>
      </c>
      <c r="AX8" s="55" t="s">
        <v>286</v>
      </c>
      <c r="AY8" s="55" t="s">
        <v>286</v>
      </c>
      <c r="AZ8" s="55" t="s">
        <v>286</v>
      </c>
      <c r="BA8" s="55" t="s">
        <v>286</v>
      </c>
      <c r="BB8" s="55" t="s">
        <v>286</v>
      </c>
      <c r="BC8" s="55" t="s">
        <v>286</v>
      </c>
      <c r="BD8" s="55" t="s">
        <v>286</v>
      </c>
      <c r="BE8" s="55" t="s">
        <v>286</v>
      </c>
      <c r="BF8" s="55" t="s">
        <v>286</v>
      </c>
      <c r="BG8" s="55" t="s">
        <v>286</v>
      </c>
      <c r="BH8" s="55" t="s">
        <v>286</v>
      </c>
      <c r="BI8" s="55" t="s">
        <v>286</v>
      </c>
      <c r="BJ8" s="55" t="s">
        <v>286</v>
      </c>
      <c r="BK8" s="55" t="s">
        <v>286</v>
      </c>
      <c r="BL8" s="55" t="s">
        <v>286</v>
      </c>
      <c r="BM8" s="55" t="s">
        <v>286</v>
      </c>
      <c r="BN8" s="55" t="s">
        <v>286</v>
      </c>
      <c r="BO8" s="55" t="s">
        <v>286</v>
      </c>
      <c r="BP8" s="55" t="s">
        <v>286</v>
      </c>
      <c r="BQ8" s="55" t="s">
        <v>286</v>
      </c>
      <c r="BR8" s="55" t="s">
        <v>286</v>
      </c>
      <c r="BS8" s="55" t="s">
        <v>286</v>
      </c>
      <c r="BT8" s="55" t="s">
        <v>286</v>
      </c>
      <c r="BU8" s="55" t="s">
        <v>286</v>
      </c>
      <c r="BV8" s="55" t="s">
        <v>286</v>
      </c>
      <c r="BW8" s="55" t="s">
        <v>286</v>
      </c>
      <c r="BX8" s="55" t="s">
        <v>286</v>
      </c>
      <c r="BY8" s="55" t="s">
        <v>286</v>
      </c>
      <c r="BZ8" s="55" t="s">
        <v>286</v>
      </c>
      <c r="CA8" s="55" t="s">
        <v>286</v>
      </c>
      <c r="CB8" s="55" t="s">
        <v>286</v>
      </c>
      <c r="CC8" s="55" t="s">
        <v>286</v>
      </c>
      <c r="CD8" s="55" t="s">
        <v>286</v>
      </c>
      <c r="CE8" s="55" t="s">
        <v>286</v>
      </c>
      <c r="CF8" s="55" t="s">
        <v>286</v>
      </c>
      <c r="CG8" s="55" t="s">
        <v>286</v>
      </c>
      <c r="CH8" s="55" t="s">
        <v>286</v>
      </c>
      <c r="CI8" s="55" t="s">
        <v>286</v>
      </c>
      <c r="CJ8" s="55" t="s">
        <v>286</v>
      </c>
      <c r="CK8" s="55" t="s">
        <v>286</v>
      </c>
      <c r="CL8" s="55" t="s">
        <v>286</v>
      </c>
      <c r="CM8" s="55" t="s">
        <v>286</v>
      </c>
      <c r="CN8" s="55" t="s">
        <v>286</v>
      </c>
      <c r="CO8" s="55" t="s">
        <v>286</v>
      </c>
      <c r="CP8" s="55" t="s">
        <v>286</v>
      </c>
      <c r="CQ8" s="55" t="s">
        <v>286</v>
      </c>
      <c r="CR8" s="55" t="s">
        <v>286</v>
      </c>
      <c r="CS8" s="55" t="s">
        <v>286</v>
      </c>
      <c r="CT8" s="55" t="s">
        <v>286</v>
      </c>
      <c r="CU8" s="55" t="s">
        <v>286</v>
      </c>
      <c r="CV8" s="55" t="s">
        <v>286</v>
      </c>
      <c r="CW8" s="55" t="s">
        <v>286</v>
      </c>
      <c r="CX8" s="55" t="s">
        <v>286</v>
      </c>
    </row>
    <row r="9" spans="1:102" x14ac:dyDescent="0.2">
      <c r="A9" s="56" t="s">
        <v>108</v>
      </c>
      <c r="C9" s="10">
        <v>67081.233999999997</v>
      </c>
      <c r="D9" s="10">
        <v>67350.695000000007</v>
      </c>
      <c r="E9" s="10">
        <v>67595.823999999993</v>
      </c>
      <c r="F9" s="10">
        <v>67844.315000000002</v>
      </c>
      <c r="G9" s="10">
        <v>68081.792000000001</v>
      </c>
      <c r="H9" s="10">
        <v>68304.932000000001</v>
      </c>
      <c r="I9" s="10">
        <v>68512.085999999996</v>
      </c>
      <c r="J9" s="10">
        <v>68701.986000000004</v>
      </c>
      <c r="K9" s="10">
        <v>68881.062000000005</v>
      </c>
      <c r="L9" s="10">
        <v>69049.388999999996</v>
      </c>
      <c r="M9" s="10">
        <v>69207.197</v>
      </c>
      <c r="N9" s="10">
        <v>69355.073999999993</v>
      </c>
      <c r="O9" s="10">
        <v>69493.865999999995</v>
      </c>
      <c r="P9" s="10">
        <v>69624.160000000003</v>
      </c>
      <c r="Q9" s="10">
        <v>69746.769</v>
      </c>
      <c r="R9" s="10">
        <v>69862.985000000001</v>
      </c>
      <c r="S9" s="10">
        <v>69975.245999999999</v>
      </c>
      <c r="T9" s="10">
        <v>70086.048999999999</v>
      </c>
      <c r="U9" s="10">
        <v>70196.441999999995</v>
      </c>
      <c r="V9" s="10">
        <v>70307.057000000001</v>
      </c>
      <c r="W9" s="10">
        <v>70418.383000000002</v>
      </c>
      <c r="X9" s="10">
        <v>70530.082999999999</v>
      </c>
      <c r="Y9" s="10">
        <v>70641.542000000001</v>
      </c>
      <c r="Z9" s="10">
        <v>70752.322</v>
      </c>
      <c r="AA9" s="10">
        <v>70861.823999999993</v>
      </c>
      <c r="AB9" s="10">
        <v>70968.244000000006</v>
      </c>
      <c r="AC9" s="10">
        <v>71069.646999999997</v>
      </c>
      <c r="AD9" s="10">
        <v>71164.929000000004</v>
      </c>
      <c r="AE9" s="10">
        <v>71252.805999999997</v>
      </c>
      <c r="AF9" s="10">
        <v>71332.057000000001</v>
      </c>
      <c r="AG9" s="10">
        <v>71401.702000000005</v>
      </c>
      <c r="AH9" s="10">
        <v>71461.317999999999</v>
      </c>
      <c r="AI9" s="10">
        <v>71510.831999999995</v>
      </c>
      <c r="AJ9" s="10">
        <v>71550.289000000004</v>
      </c>
      <c r="AK9" s="10">
        <v>71580.008000000002</v>
      </c>
      <c r="AL9" s="10">
        <v>71600.763000000006</v>
      </c>
      <c r="AM9" s="10">
        <v>71613.707999999999</v>
      </c>
      <c r="AN9" s="10">
        <v>71620.146999999997</v>
      </c>
      <c r="AO9" s="10">
        <v>71621.411999999997</v>
      </c>
      <c r="AP9" s="10">
        <v>71618.834000000003</v>
      </c>
      <c r="AQ9" s="10">
        <v>71613.724000000002</v>
      </c>
      <c r="AR9" s="10">
        <v>71607.237999999998</v>
      </c>
      <c r="AS9" s="10">
        <v>71600.56</v>
      </c>
      <c r="AT9" s="10">
        <v>71594.707999999999</v>
      </c>
      <c r="AU9" s="10">
        <v>71590.570000000007</v>
      </c>
      <c r="AV9" s="10">
        <v>71588.794999999998</v>
      </c>
      <c r="AW9" s="10">
        <v>71589.793000000005</v>
      </c>
      <c r="AX9" s="10">
        <v>71593.744999999995</v>
      </c>
      <c r="AY9" s="10">
        <v>71600.680999999997</v>
      </c>
      <c r="AZ9" s="10">
        <v>71610.426999999996</v>
      </c>
      <c r="BA9" s="10">
        <v>71622.698000000004</v>
      </c>
      <c r="BB9" s="10">
        <v>71636.966</v>
      </c>
      <c r="BC9" s="10">
        <v>71652.646999999997</v>
      </c>
      <c r="BD9" s="10">
        <v>71669.076000000001</v>
      </c>
      <c r="BE9" s="10">
        <v>71685.604000000007</v>
      </c>
      <c r="BF9" s="10">
        <v>71701.538</v>
      </c>
      <c r="BG9" s="10">
        <v>71716.254000000001</v>
      </c>
      <c r="BH9" s="10">
        <v>71729.203999999998</v>
      </c>
      <c r="BI9" s="10">
        <v>71739.951000000001</v>
      </c>
      <c r="BJ9" s="10">
        <v>71748.126999999993</v>
      </c>
      <c r="BK9" s="10">
        <v>71753.517000000007</v>
      </c>
      <c r="BL9" s="10">
        <v>71755.944000000003</v>
      </c>
      <c r="BM9" s="10">
        <v>71755.354000000007</v>
      </c>
      <c r="BN9" s="10">
        <v>71751.754000000001</v>
      </c>
      <c r="BO9" s="10">
        <v>71745.251000000004</v>
      </c>
      <c r="BP9" s="10">
        <v>71735.974000000002</v>
      </c>
      <c r="BQ9" s="10">
        <v>71724.088000000003</v>
      </c>
      <c r="BR9" s="10">
        <v>71709.884000000005</v>
      </c>
      <c r="BS9" s="10">
        <v>71693.557000000001</v>
      </c>
      <c r="BT9" s="10">
        <v>71675.400999999998</v>
      </c>
      <c r="BU9" s="10">
        <v>71655.672000000006</v>
      </c>
      <c r="BV9" s="10">
        <v>71634.626000000004</v>
      </c>
      <c r="BW9" s="10">
        <v>71612.489000000001</v>
      </c>
      <c r="BX9" s="10">
        <v>71589.481</v>
      </c>
      <c r="BY9" s="10">
        <v>71565.792000000001</v>
      </c>
      <c r="BZ9" s="10">
        <v>71541.525999999998</v>
      </c>
      <c r="CA9" s="10">
        <v>71516.698000000004</v>
      </c>
      <c r="CB9" s="10">
        <v>71491.25</v>
      </c>
      <c r="CC9" s="10">
        <v>71465.107999999993</v>
      </c>
      <c r="CD9" s="10">
        <v>71438.095000000001</v>
      </c>
      <c r="CE9" s="10">
        <v>71410.100000000006</v>
      </c>
      <c r="CF9" s="10">
        <v>71380.987999999998</v>
      </c>
      <c r="CG9" s="10">
        <v>71350.678</v>
      </c>
      <c r="CH9" s="10">
        <v>71319.118000000002</v>
      </c>
      <c r="CI9" s="10">
        <v>71286.404999999999</v>
      </c>
      <c r="CJ9" s="10">
        <v>71252.778000000006</v>
      </c>
      <c r="CK9" s="10">
        <v>71218.562999999995</v>
      </c>
      <c r="CL9" s="10">
        <v>71184.244000000006</v>
      </c>
      <c r="CM9" s="10">
        <v>71150.39</v>
      </c>
      <c r="CN9" s="10">
        <v>71117.573000000004</v>
      </c>
      <c r="CO9" s="10">
        <v>71086.466</v>
      </c>
      <c r="CP9" s="10">
        <v>71057.664999999994</v>
      </c>
      <c r="CQ9" s="10">
        <v>71031.774000000005</v>
      </c>
      <c r="CR9" s="10">
        <v>71009.274999999994</v>
      </c>
      <c r="CS9" s="10">
        <v>70990.512000000002</v>
      </c>
      <c r="CT9" s="10">
        <v>70975.691999999995</v>
      </c>
      <c r="CU9" s="10">
        <v>70964.828999999998</v>
      </c>
      <c r="CV9" s="10">
        <v>70957.823000000004</v>
      </c>
      <c r="CW9" s="10">
        <v>70954.404999999999</v>
      </c>
      <c r="CX9" s="10">
        <v>70954.2</v>
      </c>
    </row>
    <row r="10" spans="1:102" x14ac:dyDescent="0.2">
      <c r="A10" s="56" t="s">
        <v>287</v>
      </c>
      <c r="C10" s="10">
        <v>671.37400000000002</v>
      </c>
      <c r="D10" s="10">
        <v>663.44299999999998</v>
      </c>
      <c r="E10" s="10">
        <v>659.31600000000003</v>
      </c>
      <c r="F10" s="10">
        <v>662.48500000000001</v>
      </c>
      <c r="G10" s="10">
        <v>662.63199999999995</v>
      </c>
      <c r="H10" s="10">
        <v>659.85500000000002</v>
      </c>
      <c r="I10" s="10">
        <v>657.13499999999999</v>
      </c>
      <c r="J10" s="10">
        <v>654.59799999999996</v>
      </c>
      <c r="K10" s="10">
        <v>652.40800000000002</v>
      </c>
      <c r="L10" s="10">
        <v>650.62400000000002</v>
      </c>
      <c r="M10" s="10">
        <v>649.51599999999996</v>
      </c>
      <c r="N10" s="10">
        <v>649.25199999999995</v>
      </c>
      <c r="O10" s="10">
        <v>649.45100000000002</v>
      </c>
      <c r="P10" s="10">
        <v>650.27300000000002</v>
      </c>
      <c r="Q10" s="10">
        <v>652.06100000000004</v>
      </c>
      <c r="R10" s="10">
        <v>655.89499999999998</v>
      </c>
      <c r="S10" s="10">
        <v>661.75400000000002</v>
      </c>
      <c r="T10" s="10">
        <v>668.13599999999997</v>
      </c>
      <c r="U10" s="10">
        <v>674.65599999999995</v>
      </c>
      <c r="V10" s="10">
        <v>681.08299999999997</v>
      </c>
      <c r="W10" s="10">
        <v>686.7</v>
      </c>
      <c r="X10" s="10">
        <v>691.17899999999997</v>
      </c>
      <c r="Y10" s="10">
        <v>694.86400000000003</v>
      </c>
      <c r="Z10" s="10">
        <v>697.60199999999998</v>
      </c>
      <c r="AA10" s="10">
        <v>698.34199999999998</v>
      </c>
      <c r="AB10" s="10">
        <v>697.11500000000001</v>
      </c>
      <c r="AC10" s="10">
        <v>694.83799999999997</v>
      </c>
      <c r="AD10" s="10">
        <v>691.40700000000004</v>
      </c>
      <c r="AE10" s="10">
        <v>686.78599999999994</v>
      </c>
      <c r="AF10" s="10">
        <v>681.27599999999995</v>
      </c>
      <c r="AG10" s="10">
        <v>675.29200000000003</v>
      </c>
      <c r="AH10" s="10">
        <v>669.10799999999995</v>
      </c>
      <c r="AI10" s="10">
        <v>662.74199999999996</v>
      </c>
      <c r="AJ10" s="10">
        <v>656.322</v>
      </c>
      <c r="AK10" s="10">
        <v>650.24599999999998</v>
      </c>
      <c r="AL10" s="10">
        <v>644.76700000000005</v>
      </c>
      <c r="AM10" s="10">
        <v>639.96500000000003</v>
      </c>
      <c r="AN10" s="10">
        <v>635.82799999999997</v>
      </c>
      <c r="AO10" s="10">
        <v>632.346</v>
      </c>
      <c r="AP10" s="10">
        <v>629.52599999999995</v>
      </c>
      <c r="AQ10" s="10">
        <v>627.35</v>
      </c>
      <c r="AR10" s="10">
        <v>625.88599999999997</v>
      </c>
      <c r="AS10" s="10">
        <v>625.13499999999999</v>
      </c>
      <c r="AT10" s="10">
        <v>625.04300000000001</v>
      </c>
      <c r="AU10" s="10">
        <v>625.54200000000003</v>
      </c>
      <c r="AV10" s="10">
        <v>626.48599999999999</v>
      </c>
      <c r="AW10" s="10">
        <v>627.76499999999999</v>
      </c>
      <c r="AX10" s="10">
        <v>629.33699999999999</v>
      </c>
      <c r="AY10" s="10">
        <v>631.12300000000005</v>
      </c>
      <c r="AZ10" s="10">
        <v>633.03</v>
      </c>
      <c r="BA10" s="10">
        <v>634.95399999999995</v>
      </c>
      <c r="BB10" s="10">
        <v>636.81700000000001</v>
      </c>
      <c r="BC10" s="10">
        <v>638.51900000000001</v>
      </c>
      <c r="BD10" s="10">
        <v>639.98</v>
      </c>
      <c r="BE10" s="10">
        <v>641.11300000000006</v>
      </c>
      <c r="BF10" s="10">
        <v>641.84500000000003</v>
      </c>
      <c r="BG10" s="10">
        <v>642.14499999999998</v>
      </c>
      <c r="BH10" s="10">
        <v>641.98800000000006</v>
      </c>
      <c r="BI10" s="10">
        <v>641.34100000000001</v>
      </c>
      <c r="BJ10" s="10">
        <v>640.22799999999995</v>
      </c>
      <c r="BK10" s="10">
        <v>638.65200000000004</v>
      </c>
      <c r="BL10" s="10">
        <v>636.67700000000002</v>
      </c>
      <c r="BM10" s="10">
        <v>634.36099999999999</v>
      </c>
      <c r="BN10" s="10">
        <v>631.78</v>
      </c>
      <c r="BO10" s="10">
        <v>629.00900000000001</v>
      </c>
      <c r="BP10" s="10">
        <v>626.12699999999995</v>
      </c>
      <c r="BQ10" s="10">
        <v>623.226</v>
      </c>
      <c r="BR10" s="10">
        <v>620.37199999999996</v>
      </c>
      <c r="BS10" s="10">
        <v>617.65800000000002</v>
      </c>
      <c r="BT10" s="10">
        <v>615.12900000000002</v>
      </c>
      <c r="BU10" s="10">
        <v>612.851</v>
      </c>
      <c r="BV10" s="10">
        <v>610.851</v>
      </c>
      <c r="BW10" s="10">
        <v>609.154</v>
      </c>
      <c r="BX10" s="10">
        <v>607.79200000000003</v>
      </c>
      <c r="BY10" s="10">
        <v>606.75599999999997</v>
      </c>
      <c r="BZ10" s="10">
        <v>606.03499999999997</v>
      </c>
      <c r="CA10" s="10">
        <v>605.60199999999998</v>
      </c>
      <c r="CB10" s="10">
        <v>605.44899999999996</v>
      </c>
      <c r="CC10" s="10">
        <v>605.52</v>
      </c>
      <c r="CD10" s="10">
        <v>605.79100000000005</v>
      </c>
      <c r="CE10" s="10">
        <v>606.20100000000002</v>
      </c>
      <c r="CF10" s="10">
        <v>606.72299999999996</v>
      </c>
      <c r="CG10" s="10">
        <v>607.28099999999995</v>
      </c>
      <c r="CH10" s="10">
        <v>607.85799999999995</v>
      </c>
      <c r="CI10" s="10">
        <v>608.39499999999998</v>
      </c>
      <c r="CJ10" s="10">
        <v>608.84799999999996</v>
      </c>
      <c r="CK10" s="10">
        <v>609.19200000000001</v>
      </c>
      <c r="CL10" s="10">
        <v>609.39300000000003</v>
      </c>
      <c r="CM10" s="10">
        <v>609.42700000000002</v>
      </c>
      <c r="CN10" s="10">
        <v>609.27300000000002</v>
      </c>
      <c r="CO10" s="10">
        <v>608.928</v>
      </c>
      <c r="CP10" s="10">
        <v>608.37800000000004</v>
      </c>
      <c r="CQ10" s="10">
        <v>607.65599999999995</v>
      </c>
      <c r="CR10" s="10">
        <v>606.73400000000004</v>
      </c>
      <c r="CS10" s="10">
        <v>605.66399999999999</v>
      </c>
      <c r="CT10" s="10">
        <v>604.45600000000002</v>
      </c>
      <c r="CU10" s="10">
        <v>603.149</v>
      </c>
      <c r="CV10" s="10">
        <v>601.74400000000003</v>
      </c>
      <c r="CW10" s="10">
        <v>600.303</v>
      </c>
      <c r="CX10" s="10">
        <v>598.84699999999998</v>
      </c>
    </row>
    <row r="11" spans="1:102" x14ac:dyDescent="0.2">
      <c r="A11" s="56" t="s">
        <v>288</v>
      </c>
      <c r="C11" s="10">
        <v>646.41099999999994</v>
      </c>
      <c r="D11" s="10">
        <v>655.303</v>
      </c>
      <c r="E11" s="10">
        <v>641.84</v>
      </c>
      <c r="F11" s="10">
        <v>649.01199999999994</v>
      </c>
      <c r="G11" s="10">
        <v>656.49199999999996</v>
      </c>
      <c r="H11" s="10">
        <v>664.21500000000003</v>
      </c>
      <c r="I11" s="10">
        <v>672.24599999999998</v>
      </c>
      <c r="J11" s="10">
        <v>680.53300000000002</v>
      </c>
      <c r="K11" s="10">
        <v>689.09199999999998</v>
      </c>
      <c r="L11" s="10">
        <v>697.827</v>
      </c>
      <c r="M11" s="10">
        <v>706.65</v>
      </c>
      <c r="N11" s="10">
        <v>715.471</v>
      </c>
      <c r="O11" s="10">
        <v>724.16800000000001</v>
      </c>
      <c r="P11" s="10">
        <v>732.67499999999995</v>
      </c>
      <c r="Q11" s="10">
        <v>740.85599999999999</v>
      </c>
      <c r="R11" s="10">
        <v>748.64499999999998</v>
      </c>
      <c r="S11" s="10">
        <v>755.96199999999999</v>
      </c>
      <c r="T11" s="10">
        <v>762.75400000000002</v>
      </c>
      <c r="U11" s="10">
        <v>769.05200000000002</v>
      </c>
      <c r="V11" s="10">
        <v>774.76800000000003</v>
      </c>
      <c r="W11" s="10">
        <v>780.01099999999997</v>
      </c>
      <c r="X11" s="10">
        <v>784.73099999999999</v>
      </c>
      <c r="Y11" s="10">
        <v>789.09500000000003</v>
      </c>
      <c r="Z11" s="10">
        <v>793.11099999999999</v>
      </c>
      <c r="AA11" s="10">
        <v>796.93299999999999</v>
      </c>
      <c r="AB11" s="10">
        <v>800.72299999999996</v>
      </c>
      <c r="AC11" s="10">
        <v>804.56700000000001</v>
      </c>
      <c r="AD11" s="10">
        <v>808.54100000000005</v>
      </c>
      <c r="AE11" s="10">
        <v>812.54600000000005</v>
      </c>
      <c r="AF11" s="10">
        <v>816.64200000000005</v>
      </c>
      <c r="AG11" s="10">
        <v>820.68700000000001</v>
      </c>
      <c r="AH11" s="10">
        <v>824.60500000000002</v>
      </c>
      <c r="AI11" s="10">
        <v>828.29600000000005</v>
      </c>
      <c r="AJ11" s="10">
        <v>831.61400000000003</v>
      </c>
      <c r="AK11" s="10">
        <v>834.50199999999995</v>
      </c>
      <c r="AL11" s="10">
        <v>836.83299999999997</v>
      </c>
      <c r="AM11" s="10">
        <v>838.53700000000003</v>
      </c>
      <c r="AN11" s="10">
        <v>839.57399999999996</v>
      </c>
      <c r="AO11" s="10">
        <v>839.93499999999995</v>
      </c>
      <c r="AP11" s="10">
        <v>839.64700000000005</v>
      </c>
      <c r="AQ11" s="10">
        <v>838.84699999999998</v>
      </c>
      <c r="AR11" s="10">
        <v>837.57500000000005</v>
      </c>
      <c r="AS11" s="10">
        <v>835.99800000000005</v>
      </c>
      <c r="AT11" s="10">
        <v>834.19200000000001</v>
      </c>
      <c r="AU11" s="10">
        <v>832.32799999999997</v>
      </c>
      <c r="AV11" s="10">
        <v>830.49900000000002</v>
      </c>
      <c r="AW11" s="10">
        <v>828.82399999999996</v>
      </c>
      <c r="AX11" s="10">
        <v>827.41200000000003</v>
      </c>
      <c r="AY11" s="10">
        <v>826.38800000000003</v>
      </c>
      <c r="AZ11" s="10">
        <v>825.77</v>
      </c>
      <c r="BA11" s="10">
        <v>825.697</v>
      </c>
      <c r="BB11" s="10">
        <v>826.14700000000005</v>
      </c>
      <c r="BC11" s="10">
        <v>827.101</v>
      </c>
      <c r="BD11" s="10">
        <v>828.46299999999997</v>
      </c>
      <c r="BE11" s="10">
        <v>830.19</v>
      </c>
      <c r="BF11" s="10">
        <v>832.14</v>
      </c>
      <c r="BG11" s="10">
        <v>834.20600000000002</v>
      </c>
      <c r="BH11" s="10">
        <v>836.25199999999995</v>
      </c>
      <c r="BI11" s="10">
        <v>838.17600000000004</v>
      </c>
      <c r="BJ11" s="10">
        <v>839.84900000000005</v>
      </c>
      <c r="BK11" s="10">
        <v>841.23599999999999</v>
      </c>
      <c r="BL11" s="10">
        <v>842.27800000000002</v>
      </c>
      <c r="BM11" s="10">
        <v>842.97199999999998</v>
      </c>
      <c r="BN11" s="10">
        <v>843.29399999999998</v>
      </c>
      <c r="BO11" s="10">
        <v>843.29700000000003</v>
      </c>
      <c r="BP11" s="10">
        <v>843.024</v>
      </c>
      <c r="BQ11" s="10">
        <v>842.44100000000003</v>
      </c>
      <c r="BR11" s="10">
        <v>841.71</v>
      </c>
      <c r="BS11" s="10">
        <v>840.82500000000005</v>
      </c>
      <c r="BT11" s="10">
        <v>839.86900000000003</v>
      </c>
      <c r="BU11" s="10">
        <v>838.90800000000002</v>
      </c>
      <c r="BV11" s="10">
        <v>837.99900000000002</v>
      </c>
      <c r="BW11" s="10">
        <v>837.173</v>
      </c>
      <c r="BX11" s="10">
        <v>836.49199999999996</v>
      </c>
      <c r="BY11" s="10">
        <v>836.03300000000002</v>
      </c>
      <c r="BZ11" s="10">
        <v>835.87400000000002</v>
      </c>
      <c r="CA11" s="10">
        <v>836.06100000000004</v>
      </c>
      <c r="CB11" s="10">
        <v>836.60199999999998</v>
      </c>
      <c r="CC11" s="10">
        <v>837.54399999999998</v>
      </c>
      <c r="CD11" s="10">
        <v>838.79700000000003</v>
      </c>
      <c r="CE11" s="10">
        <v>840.32399999999996</v>
      </c>
      <c r="CF11" s="10">
        <v>842.04399999999998</v>
      </c>
      <c r="CG11" s="10">
        <v>843.85199999999998</v>
      </c>
      <c r="CH11" s="10">
        <v>845.58199999999999</v>
      </c>
      <c r="CI11" s="10">
        <v>847.03300000000002</v>
      </c>
      <c r="CJ11" s="10">
        <v>848.07399999999996</v>
      </c>
      <c r="CK11" s="10">
        <v>848.52200000000005</v>
      </c>
      <c r="CL11" s="10">
        <v>848.25800000000004</v>
      </c>
      <c r="CM11" s="10">
        <v>847.255</v>
      </c>
      <c r="CN11" s="10">
        <v>845.39099999999996</v>
      </c>
      <c r="CO11" s="10">
        <v>842.74</v>
      </c>
      <c r="CP11" s="10">
        <v>839.28</v>
      </c>
      <c r="CQ11" s="10">
        <v>835.16600000000005</v>
      </c>
      <c r="CR11" s="10">
        <v>830.50800000000004</v>
      </c>
      <c r="CS11" s="10">
        <v>825.495</v>
      </c>
      <c r="CT11" s="10">
        <v>820.33</v>
      </c>
      <c r="CU11" s="10">
        <v>815.16600000000005</v>
      </c>
      <c r="CV11" s="10">
        <v>810.173</v>
      </c>
      <c r="CW11" s="10">
        <v>805.51900000000001</v>
      </c>
      <c r="CX11" s="10">
        <v>801.30700000000002</v>
      </c>
    </row>
    <row r="12" spans="1:102" x14ac:dyDescent="0.2">
      <c r="C12" s="55" t="s">
        <v>286</v>
      </c>
      <c r="D12" s="55" t="s">
        <v>286</v>
      </c>
      <c r="E12" s="55" t="s">
        <v>286</v>
      </c>
      <c r="F12" s="55" t="s">
        <v>286</v>
      </c>
      <c r="G12" s="55" t="s">
        <v>286</v>
      </c>
      <c r="H12" s="55" t="s">
        <v>286</v>
      </c>
      <c r="I12" s="55" t="s">
        <v>286</v>
      </c>
      <c r="J12" s="55" t="s">
        <v>286</v>
      </c>
      <c r="K12" s="55" t="s">
        <v>286</v>
      </c>
      <c r="L12" s="55" t="s">
        <v>286</v>
      </c>
      <c r="M12" s="55" t="s">
        <v>286</v>
      </c>
      <c r="N12" s="55" t="s">
        <v>286</v>
      </c>
      <c r="O12" s="55" t="s">
        <v>286</v>
      </c>
      <c r="P12" s="55" t="s">
        <v>286</v>
      </c>
      <c r="Q12" s="55" t="s">
        <v>286</v>
      </c>
      <c r="R12" s="55" t="s">
        <v>286</v>
      </c>
      <c r="S12" s="55" t="s">
        <v>286</v>
      </c>
      <c r="T12" s="55" t="s">
        <v>286</v>
      </c>
      <c r="U12" s="55" t="s">
        <v>286</v>
      </c>
      <c r="V12" s="55" t="s">
        <v>286</v>
      </c>
      <c r="W12" s="55" t="s">
        <v>286</v>
      </c>
      <c r="X12" s="55" t="s">
        <v>286</v>
      </c>
      <c r="Y12" s="55" t="s">
        <v>286</v>
      </c>
      <c r="Z12" s="55" t="s">
        <v>286</v>
      </c>
      <c r="AA12" s="57" t="s">
        <v>286</v>
      </c>
      <c r="AB12" s="55" t="s">
        <v>286</v>
      </c>
      <c r="AC12" s="55" t="s">
        <v>286</v>
      </c>
      <c r="AD12" s="55" t="s">
        <v>286</v>
      </c>
      <c r="AE12" s="55" t="s">
        <v>286</v>
      </c>
      <c r="AF12" s="55" t="s">
        <v>286</v>
      </c>
      <c r="AG12" s="55" t="s">
        <v>286</v>
      </c>
      <c r="AH12" s="55" t="s">
        <v>286</v>
      </c>
      <c r="AI12" s="55" t="s">
        <v>286</v>
      </c>
      <c r="AJ12" s="55" t="s">
        <v>286</v>
      </c>
      <c r="AK12" s="55" t="s">
        <v>286</v>
      </c>
      <c r="AL12" s="55" t="s">
        <v>286</v>
      </c>
      <c r="AM12" s="55" t="s">
        <v>286</v>
      </c>
      <c r="AN12" s="55" t="s">
        <v>286</v>
      </c>
      <c r="AO12" s="55" t="s">
        <v>286</v>
      </c>
      <c r="AP12" s="55" t="s">
        <v>286</v>
      </c>
      <c r="AQ12" s="55" t="s">
        <v>286</v>
      </c>
      <c r="AR12" s="55" t="s">
        <v>286</v>
      </c>
      <c r="AS12" s="55" t="s">
        <v>286</v>
      </c>
      <c r="AT12" s="55" t="s">
        <v>286</v>
      </c>
      <c r="AU12" s="55" t="s">
        <v>286</v>
      </c>
      <c r="AV12" s="55" t="s">
        <v>286</v>
      </c>
      <c r="AW12" s="55" t="s">
        <v>286</v>
      </c>
      <c r="AX12" s="55" t="s">
        <v>286</v>
      </c>
      <c r="AY12" s="55" t="s">
        <v>286</v>
      </c>
      <c r="AZ12" s="57" t="s">
        <v>286</v>
      </c>
      <c r="BA12" s="55" t="s">
        <v>286</v>
      </c>
      <c r="BB12" s="55" t="s">
        <v>286</v>
      </c>
      <c r="BC12" s="55" t="s">
        <v>286</v>
      </c>
      <c r="BD12" s="55" t="s">
        <v>286</v>
      </c>
      <c r="BE12" s="55" t="s">
        <v>286</v>
      </c>
      <c r="BF12" s="55" t="s">
        <v>286</v>
      </c>
      <c r="BG12" s="55" t="s">
        <v>286</v>
      </c>
      <c r="BH12" s="55" t="s">
        <v>286</v>
      </c>
      <c r="BI12" s="55" t="s">
        <v>286</v>
      </c>
      <c r="BJ12" s="55" t="s">
        <v>286</v>
      </c>
      <c r="BK12" s="55" t="s">
        <v>286</v>
      </c>
      <c r="BL12" s="55" t="s">
        <v>286</v>
      </c>
      <c r="BM12" s="55" t="s">
        <v>286</v>
      </c>
      <c r="BN12" s="55" t="s">
        <v>286</v>
      </c>
      <c r="BO12" s="55" t="s">
        <v>286</v>
      </c>
      <c r="BP12" s="55" t="s">
        <v>286</v>
      </c>
      <c r="BQ12" s="55" t="s">
        <v>286</v>
      </c>
      <c r="BR12" s="55" t="s">
        <v>286</v>
      </c>
      <c r="BS12" s="55" t="s">
        <v>286</v>
      </c>
      <c r="BT12" s="55" t="s">
        <v>286</v>
      </c>
      <c r="BU12" s="55" t="s">
        <v>286</v>
      </c>
      <c r="BV12" s="55" t="s">
        <v>286</v>
      </c>
      <c r="BW12" s="55" t="s">
        <v>286</v>
      </c>
      <c r="BX12" s="55" t="s">
        <v>286</v>
      </c>
      <c r="BY12" s="57" t="s">
        <v>286</v>
      </c>
      <c r="BZ12" s="55" t="s">
        <v>286</v>
      </c>
      <c r="CA12" s="55" t="s">
        <v>286</v>
      </c>
      <c r="CB12" s="55" t="s">
        <v>286</v>
      </c>
      <c r="CC12" s="55" t="s">
        <v>286</v>
      </c>
      <c r="CD12" s="55" t="s">
        <v>286</v>
      </c>
      <c r="CE12" s="55" t="s">
        <v>286</v>
      </c>
      <c r="CF12" s="55" t="s">
        <v>286</v>
      </c>
      <c r="CG12" s="55" t="s">
        <v>286</v>
      </c>
      <c r="CH12" s="55" t="s">
        <v>286</v>
      </c>
      <c r="CI12" s="55" t="s">
        <v>286</v>
      </c>
      <c r="CJ12" s="55" t="s">
        <v>286</v>
      </c>
      <c r="CK12" s="55" t="s">
        <v>286</v>
      </c>
      <c r="CL12" s="55" t="s">
        <v>286</v>
      </c>
      <c r="CM12" s="55" t="s">
        <v>286</v>
      </c>
      <c r="CN12" s="55" t="s">
        <v>286</v>
      </c>
      <c r="CO12" s="55" t="s">
        <v>286</v>
      </c>
      <c r="CP12" s="55" t="s">
        <v>286</v>
      </c>
      <c r="CQ12" s="55" t="s">
        <v>286</v>
      </c>
      <c r="CR12" s="55" t="s">
        <v>286</v>
      </c>
      <c r="CS12" s="55" t="s">
        <v>286</v>
      </c>
      <c r="CT12" s="55" t="s">
        <v>286</v>
      </c>
      <c r="CU12" s="55" t="s">
        <v>286</v>
      </c>
      <c r="CV12" s="55" t="s">
        <v>286</v>
      </c>
      <c r="CW12" s="55" t="s">
        <v>286</v>
      </c>
      <c r="CX12" s="57" t="s">
        <v>286</v>
      </c>
    </row>
    <row r="13" spans="1:102" x14ac:dyDescent="0.2">
      <c r="A13" s="56" t="s">
        <v>289</v>
      </c>
      <c r="C13" s="10">
        <v>24.963000000000001</v>
      </c>
      <c r="D13" s="10">
        <v>8.14</v>
      </c>
      <c r="E13" s="10">
        <v>17.475999999999999</v>
      </c>
      <c r="F13" s="10">
        <v>13.473000000000001</v>
      </c>
      <c r="G13" s="10">
        <v>6.14</v>
      </c>
      <c r="H13" s="10">
        <v>-4.3600000000000003</v>
      </c>
      <c r="I13" s="10">
        <v>-15.111000000000001</v>
      </c>
      <c r="J13" s="10">
        <v>-25.934999999999999</v>
      </c>
      <c r="K13" s="10">
        <v>-36.683999999999997</v>
      </c>
      <c r="L13" s="10">
        <v>-47.203000000000003</v>
      </c>
      <c r="M13" s="10">
        <v>-57.134</v>
      </c>
      <c r="N13" s="10">
        <v>-66.218999999999994</v>
      </c>
      <c r="O13" s="10">
        <v>-74.716999999999999</v>
      </c>
      <c r="P13" s="10">
        <v>-82.402000000000001</v>
      </c>
      <c r="Q13" s="10">
        <v>-88.795000000000002</v>
      </c>
      <c r="R13" s="10">
        <v>-92.75</v>
      </c>
      <c r="S13" s="10">
        <v>-94.207999999999998</v>
      </c>
      <c r="T13" s="10">
        <v>-94.617999999999995</v>
      </c>
      <c r="U13" s="10">
        <v>-94.396000000000001</v>
      </c>
      <c r="V13" s="10">
        <v>-93.685000000000002</v>
      </c>
      <c r="W13" s="10">
        <v>-93.311000000000007</v>
      </c>
      <c r="X13" s="10">
        <v>-93.552000000000007</v>
      </c>
      <c r="Y13" s="10">
        <v>-94.230999999999995</v>
      </c>
      <c r="Z13" s="10">
        <v>-95.509</v>
      </c>
      <c r="AA13" s="10">
        <v>-98.590999999999994</v>
      </c>
      <c r="AB13" s="10">
        <v>-103.608</v>
      </c>
      <c r="AC13" s="10">
        <v>-109.729</v>
      </c>
      <c r="AD13" s="10">
        <v>-117.134</v>
      </c>
      <c r="AE13" s="10">
        <v>-125.76</v>
      </c>
      <c r="AF13" s="10">
        <v>-135.36600000000001</v>
      </c>
      <c r="AG13" s="10">
        <v>-145.39500000000001</v>
      </c>
      <c r="AH13" s="10">
        <v>-155.49700000000001</v>
      </c>
      <c r="AI13" s="10">
        <v>-165.554</v>
      </c>
      <c r="AJ13" s="10">
        <v>-175.292</v>
      </c>
      <c r="AK13" s="10">
        <v>-184.256</v>
      </c>
      <c r="AL13" s="10">
        <v>-192.066</v>
      </c>
      <c r="AM13" s="10">
        <v>-198.572</v>
      </c>
      <c r="AN13" s="10">
        <v>-203.74600000000001</v>
      </c>
      <c r="AO13" s="10">
        <v>-207.589</v>
      </c>
      <c r="AP13" s="10">
        <v>-210.12100000000001</v>
      </c>
      <c r="AQ13" s="10">
        <v>-211.49700000000001</v>
      </c>
      <c r="AR13" s="10">
        <v>-211.68899999999999</v>
      </c>
      <c r="AS13" s="10">
        <v>-210.863</v>
      </c>
      <c r="AT13" s="10">
        <v>-209.149</v>
      </c>
      <c r="AU13" s="10">
        <v>-206.786</v>
      </c>
      <c r="AV13" s="10">
        <v>-204.01300000000001</v>
      </c>
      <c r="AW13" s="10">
        <v>-201.059</v>
      </c>
      <c r="AX13" s="10">
        <v>-198.07499999999999</v>
      </c>
      <c r="AY13" s="10">
        <v>-195.26499999999999</v>
      </c>
      <c r="AZ13" s="10">
        <v>-192.74</v>
      </c>
      <c r="BA13" s="10">
        <v>-190.74299999999999</v>
      </c>
      <c r="BB13" s="10">
        <v>-189.33</v>
      </c>
      <c r="BC13" s="10">
        <v>-188.58199999999999</v>
      </c>
      <c r="BD13" s="10">
        <v>-188.483</v>
      </c>
      <c r="BE13" s="10">
        <v>-189.077</v>
      </c>
      <c r="BF13" s="10">
        <v>-190.29499999999999</v>
      </c>
      <c r="BG13" s="10">
        <v>-192.06100000000001</v>
      </c>
      <c r="BH13" s="10">
        <v>-194.26400000000001</v>
      </c>
      <c r="BI13" s="10">
        <v>-196.83500000000001</v>
      </c>
      <c r="BJ13" s="10">
        <v>-199.62100000000001</v>
      </c>
      <c r="BK13" s="10">
        <v>-202.584</v>
      </c>
      <c r="BL13" s="10">
        <v>-205.601</v>
      </c>
      <c r="BM13" s="10">
        <v>-208.61099999999999</v>
      </c>
      <c r="BN13" s="10">
        <v>-211.51400000000001</v>
      </c>
      <c r="BO13" s="10">
        <v>-214.28800000000001</v>
      </c>
      <c r="BP13" s="10">
        <v>-216.89699999999999</v>
      </c>
      <c r="BQ13" s="10">
        <v>-219.215</v>
      </c>
      <c r="BR13" s="10">
        <v>-221.33799999999999</v>
      </c>
      <c r="BS13" s="10">
        <v>-223.167</v>
      </c>
      <c r="BT13" s="10">
        <v>-224.74</v>
      </c>
      <c r="BU13" s="10">
        <v>-226.05699999999999</v>
      </c>
      <c r="BV13" s="10">
        <v>-227.148</v>
      </c>
      <c r="BW13" s="10">
        <v>-228.01900000000001</v>
      </c>
      <c r="BX13" s="10">
        <v>-228.7</v>
      </c>
      <c r="BY13" s="10">
        <v>-229.27699999999999</v>
      </c>
      <c r="BZ13" s="10">
        <v>-229.839</v>
      </c>
      <c r="CA13" s="10">
        <v>-230.459</v>
      </c>
      <c r="CB13" s="10">
        <v>-231.15299999999999</v>
      </c>
      <c r="CC13" s="10">
        <v>-232.024</v>
      </c>
      <c r="CD13" s="10">
        <v>-233.006</v>
      </c>
      <c r="CE13" s="10">
        <v>-234.12299999999999</v>
      </c>
      <c r="CF13" s="10">
        <v>-235.321</v>
      </c>
      <c r="CG13" s="10">
        <v>-236.571</v>
      </c>
      <c r="CH13" s="10">
        <v>-237.72399999999999</v>
      </c>
      <c r="CI13" s="10">
        <v>-238.63800000000001</v>
      </c>
      <c r="CJ13" s="10">
        <v>-239.226</v>
      </c>
      <c r="CK13" s="10">
        <v>-239.33</v>
      </c>
      <c r="CL13" s="10">
        <v>-238.86500000000001</v>
      </c>
      <c r="CM13" s="10">
        <v>-237.828</v>
      </c>
      <c r="CN13" s="10">
        <v>-236.11799999999999</v>
      </c>
      <c r="CO13" s="10">
        <v>-233.81200000000001</v>
      </c>
      <c r="CP13" s="10">
        <v>-230.90199999999999</v>
      </c>
      <c r="CQ13" s="10">
        <v>-227.51</v>
      </c>
      <c r="CR13" s="10">
        <v>-223.774</v>
      </c>
      <c r="CS13" s="10">
        <v>-219.83099999999999</v>
      </c>
      <c r="CT13" s="10">
        <v>-215.874</v>
      </c>
      <c r="CU13" s="10">
        <v>-212.017</v>
      </c>
      <c r="CV13" s="10">
        <v>-208.429</v>
      </c>
      <c r="CW13" s="10">
        <v>-205.21600000000001</v>
      </c>
      <c r="CX13" s="10">
        <v>-202.46</v>
      </c>
    </row>
    <row r="14" spans="1:102" x14ac:dyDescent="0.2">
      <c r="A14" s="56"/>
      <c r="C14" s="55" t="s">
        <v>286</v>
      </c>
      <c r="D14" s="55" t="s">
        <v>286</v>
      </c>
      <c r="E14" s="55" t="s">
        <v>286</v>
      </c>
      <c r="F14" s="55" t="s">
        <v>286</v>
      </c>
      <c r="G14" s="55" t="s">
        <v>286</v>
      </c>
      <c r="H14" s="55" t="s">
        <v>286</v>
      </c>
      <c r="I14" s="55" t="s">
        <v>286</v>
      </c>
      <c r="J14" s="55" t="s">
        <v>286</v>
      </c>
      <c r="K14" s="55" t="s">
        <v>286</v>
      </c>
      <c r="L14" s="55" t="s">
        <v>286</v>
      </c>
      <c r="M14" s="55" t="s">
        <v>286</v>
      </c>
      <c r="N14" s="55" t="s">
        <v>286</v>
      </c>
      <c r="O14" s="55" t="s">
        <v>286</v>
      </c>
      <c r="P14" s="55" t="s">
        <v>286</v>
      </c>
      <c r="Q14" s="55" t="s">
        <v>286</v>
      </c>
      <c r="R14" s="55" t="s">
        <v>286</v>
      </c>
      <c r="S14" s="55" t="s">
        <v>286</v>
      </c>
      <c r="T14" s="55" t="s">
        <v>286</v>
      </c>
      <c r="U14" s="55" t="s">
        <v>286</v>
      </c>
      <c r="V14" s="55" t="s">
        <v>286</v>
      </c>
      <c r="W14" s="55" t="s">
        <v>286</v>
      </c>
      <c r="X14" s="55" t="s">
        <v>286</v>
      </c>
      <c r="Y14" s="55" t="s">
        <v>286</v>
      </c>
      <c r="Z14" s="55" t="s">
        <v>286</v>
      </c>
      <c r="AA14" s="57" t="s">
        <v>286</v>
      </c>
      <c r="AB14" s="55" t="s">
        <v>286</v>
      </c>
      <c r="AC14" s="55" t="s">
        <v>286</v>
      </c>
      <c r="AD14" s="55" t="s">
        <v>286</v>
      </c>
      <c r="AE14" s="55" t="s">
        <v>286</v>
      </c>
      <c r="AF14" s="55" t="s">
        <v>286</v>
      </c>
      <c r="AG14" s="55" t="s">
        <v>286</v>
      </c>
      <c r="AH14" s="55" t="s">
        <v>286</v>
      </c>
      <c r="AI14" s="55" t="s">
        <v>286</v>
      </c>
      <c r="AJ14" s="55" t="s">
        <v>286</v>
      </c>
      <c r="AK14" s="55" t="s">
        <v>286</v>
      </c>
      <c r="AL14" s="55" t="s">
        <v>286</v>
      </c>
      <c r="AM14" s="55" t="s">
        <v>286</v>
      </c>
      <c r="AN14" s="55" t="s">
        <v>286</v>
      </c>
      <c r="AO14" s="55" t="s">
        <v>286</v>
      </c>
      <c r="AP14" s="55" t="s">
        <v>286</v>
      </c>
      <c r="AQ14" s="55" t="s">
        <v>286</v>
      </c>
      <c r="AR14" s="55" t="s">
        <v>286</v>
      </c>
      <c r="AS14" s="55" t="s">
        <v>286</v>
      </c>
      <c r="AT14" s="55" t="s">
        <v>286</v>
      </c>
      <c r="AU14" s="55" t="s">
        <v>286</v>
      </c>
      <c r="AV14" s="55" t="s">
        <v>286</v>
      </c>
      <c r="AW14" s="55" t="s">
        <v>286</v>
      </c>
      <c r="AX14" s="55" t="s">
        <v>286</v>
      </c>
      <c r="AY14" s="55" t="s">
        <v>286</v>
      </c>
      <c r="AZ14" s="57" t="s">
        <v>286</v>
      </c>
      <c r="BA14" s="55" t="s">
        <v>286</v>
      </c>
      <c r="BB14" s="55" t="s">
        <v>286</v>
      </c>
      <c r="BC14" s="55" t="s">
        <v>286</v>
      </c>
      <c r="BD14" s="55" t="s">
        <v>286</v>
      </c>
      <c r="BE14" s="55" t="s">
        <v>286</v>
      </c>
      <c r="BF14" s="55" t="s">
        <v>286</v>
      </c>
      <c r="BG14" s="55" t="s">
        <v>286</v>
      </c>
      <c r="BH14" s="55" t="s">
        <v>286</v>
      </c>
      <c r="BI14" s="55" t="s">
        <v>286</v>
      </c>
      <c r="BJ14" s="55" t="s">
        <v>286</v>
      </c>
      <c r="BK14" s="55" t="s">
        <v>286</v>
      </c>
      <c r="BL14" s="55" t="s">
        <v>286</v>
      </c>
      <c r="BM14" s="55" t="s">
        <v>286</v>
      </c>
      <c r="BN14" s="55" t="s">
        <v>286</v>
      </c>
      <c r="BO14" s="55" t="s">
        <v>286</v>
      </c>
      <c r="BP14" s="55" t="s">
        <v>286</v>
      </c>
      <c r="BQ14" s="55" t="s">
        <v>286</v>
      </c>
      <c r="BR14" s="55" t="s">
        <v>286</v>
      </c>
      <c r="BS14" s="55" t="s">
        <v>286</v>
      </c>
      <c r="BT14" s="55" t="s">
        <v>286</v>
      </c>
      <c r="BU14" s="55" t="s">
        <v>286</v>
      </c>
      <c r="BV14" s="55" t="s">
        <v>286</v>
      </c>
      <c r="BW14" s="55" t="s">
        <v>286</v>
      </c>
      <c r="BX14" s="55" t="s">
        <v>286</v>
      </c>
      <c r="BY14" s="57" t="s">
        <v>286</v>
      </c>
      <c r="BZ14" s="55" t="s">
        <v>286</v>
      </c>
      <c r="CA14" s="55" t="s">
        <v>286</v>
      </c>
      <c r="CB14" s="55" t="s">
        <v>286</v>
      </c>
      <c r="CC14" s="55" t="s">
        <v>286</v>
      </c>
      <c r="CD14" s="55" t="s">
        <v>286</v>
      </c>
      <c r="CE14" s="55" t="s">
        <v>286</v>
      </c>
      <c r="CF14" s="55" t="s">
        <v>286</v>
      </c>
      <c r="CG14" s="55" t="s">
        <v>286</v>
      </c>
      <c r="CH14" s="55" t="s">
        <v>286</v>
      </c>
      <c r="CI14" s="55" t="s">
        <v>286</v>
      </c>
      <c r="CJ14" s="55" t="s">
        <v>286</v>
      </c>
      <c r="CK14" s="55" t="s">
        <v>286</v>
      </c>
      <c r="CL14" s="55" t="s">
        <v>286</v>
      </c>
      <c r="CM14" s="55" t="s">
        <v>286</v>
      </c>
      <c r="CN14" s="55" t="s">
        <v>286</v>
      </c>
      <c r="CO14" s="55" t="s">
        <v>286</v>
      </c>
      <c r="CP14" s="55" t="s">
        <v>286</v>
      </c>
      <c r="CQ14" s="55" t="s">
        <v>286</v>
      </c>
      <c r="CR14" s="55" t="s">
        <v>286</v>
      </c>
      <c r="CS14" s="55" t="s">
        <v>286</v>
      </c>
      <c r="CT14" s="55" t="s">
        <v>286</v>
      </c>
      <c r="CU14" s="55" t="s">
        <v>286</v>
      </c>
      <c r="CV14" s="55" t="s">
        <v>286</v>
      </c>
      <c r="CW14" s="55" t="s">
        <v>286</v>
      </c>
      <c r="CX14" s="57" t="s">
        <v>286</v>
      </c>
    </row>
    <row r="15" spans="1:102" x14ac:dyDescent="0.2">
      <c r="A15" s="56" t="s">
        <v>290</v>
      </c>
      <c r="C15" s="10">
        <v>610.98599999999999</v>
      </c>
      <c r="D15" s="10">
        <v>597.99699999999996</v>
      </c>
      <c r="E15" s="10">
        <v>585.00199999999995</v>
      </c>
      <c r="F15" s="10">
        <v>571.98900000000003</v>
      </c>
      <c r="G15" s="10">
        <v>558.99</v>
      </c>
      <c r="H15" s="10">
        <v>545.98199999999997</v>
      </c>
      <c r="I15" s="10">
        <v>533.48800000000006</v>
      </c>
      <c r="J15" s="10">
        <v>533.48800000000006</v>
      </c>
      <c r="K15" s="10">
        <v>533.48800000000006</v>
      </c>
      <c r="L15" s="10">
        <v>533.48800000000006</v>
      </c>
      <c r="M15" s="10">
        <v>533.48800000000006</v>
      </c>
      <c r="N15" s="10">
        <v>533.48800000000006</v>
      </c>
      <c r="O15" s="10">
        <v>533.48800000000006</v>
      </c>
      <c r="P15" s="10">
        <v>533.48800000000006</v>
      </c>
      <c r="Q15" s="10">
        <v>533.48800000000006</v>
      </c>
      <c r="R15" s="10">
        <v>533.48800000000006</v>
      </c>
      <c r="S15" s="10">
        <v>533.48800000000006</v>
      </c>
      <c r="T15" s="10">
        <v>533.48800000000006</v>
      </c>
      <c r="U15" s="10">
        <v>533.48800000000006</v>
      </c>
      <c r="V15" s="10">
        <v>533.48800000000006</v>
      </c>
      <c r="W15" s="10">
        <v>533.48800000000006</v>
      </c>
      <c r="X15" s="10">
        <v>533.48800000000006</v>
      </c>
      <c r="Y15" s="10">
        <v>533.48800000000006</v>
      </c>
      <c r="Z15" s="10">
        <v>533.48800000000006</v>
      </c>
      <c r="AA15" s="10">
        <v>533.48800000000006</v>
      </c>
      <c r="AB15" s="10">
        <v>533.48800000000006</v>
      </c>
      <c r="AC15" s="10">
        <v>533.48800000000006</v>
      </c>
      <c r="AD15" s="10">
        <v>533.48800000000006</v>
      </c>
      <c r="AE15" s="10">
        <v>533.48800000000006</v>
      </c>
      <c r="AF15" s="10">
        <v>533.48800000000006</v>
      </c>
      <c r="AG15" s="10">
        <v>533.48800000000006</v>
      </c>
      <c r="AH15" s="10">
        <v>533.48800000000006</v>
      </c>
      <c r="AI15" s="10">
        <v>533.48800000000006</v>
      </c>
      <c r="AJ15" s="10">
        <v>533.48800000000006</v>
      </c>
      <c r="AK15" s="10">
        <v>533.48800000000006</v>
      </c>
      <c r="AL15" s="10">
        <v>533.48800000000006</v>
      </c>
      <c r="AM15" s="10">
        <v>533.48800000000006</v>
      </c>
      <c r="AN15" s="10">
        <v>533.48800000000006</v>
      </c>
      <c r="AO15" s="10">
        <v>533.48800000000006</v>
      </c>
      <c r="AP15" s="10">
        <v>533.48800000000006</v>
      </c>
      <c r="AQ15" s="10">
        <v>533.48800000000006</v>
      </c>
      <c r="AR15" s="10">
        <v>533.48800000000006</v>
      </c>
      <c r="AS15" s="10">
        <v>533.48800000000006</v>
      </c>
      <c r="AT15" s="10">
        <v>533.48800000000006</v>
      </c>
      <c r="AU15" s="10">
        <v>533.48800000000006</v>
      </c>
      <c r="AV15" s="10">
        <v>533.48800000000006</v>
      </c>
      <c r="AW15" s="10">
        <v>533.48800000000006</v>
      </c>
      <c r="AX15" s="10">
        <v>533.48800000000006</v>
      </c>
      <c r="AY15" s="10">
        <v>533.48800000000006</v>
      </c>
      <c r="AZ15" s="10">
        <v>533.48800000000006</v>
      </c>
      <c r="BA15" s="10">
        <v>533.48800000000006</v>
      </c>
      <c r="BB15" s="10">
        <v>533.48800000000006</v>
      </c>
      <c r="BC15" s="10">
        <v>533.48800000000006</v>
      </c>
      <c r="BD15" s="10">
        <v>533.48800000000006</v>
      </c>
      <c r="BE15" s="10">
        <v>533.48800000000006</v>
      </c>
      <c r="BF15" s="10">
        <v>533.48800000000006</v>
      </c>
      <c r="BG15" s="10">
        <v>533.48800000000006</v>
      </c>
      <c r="BH15" s="10">
        <v>533.48800000000006</v>
      </c>
      <c r="BI15" s="10">
        <v>533.48800000000006</v>
      </c>
      <c r="BJ15" s="10">
        <v>533.48800000000006</v>
      </c>
      <c r="BK15" s="10">
        <v>533.48800000000006</v>
      </c>
      <c r="BL15" s="10">
        <v>533.48800000000006</v>
      </c>
      <c r="BM15" s="10">
        <v>533.48800000000006</v>
      </c>
      <c r="BN15" s="10">
        <v>533.48800000000006</v>
      </c>
      <c r="BO15" s="10">
        <v>533.48800000000006</v>
      </c>
      <c r="BP15" s="10">
        <v>533.48800000000006</v>
      </c>
      <c r="BQ15" s="10">
        <v>533.48800000000006</v>
      </c>
      <c r="BR15" s="10">
        <v>533.48800000000006</v>
      </c>
      <c r="BS15" s="10">
        <v>533.48800000000006</v>
      </c>
      <c r="BT15" s="10">
        <v>533.48800000000006</v>
      </c>
      <c r="BU15" s="10">
        <v>533.48800000000006</v>
      </c>
      <c r="BV15" s="10">
        <v>533.48800000000006</v>
      </c>
      <c r="BW15" s="10">
        <v>533.48800000000006</v>
      </c>
      <c r="BX15" s="10">
        <v>533.48800000000006</v>
      </c>
      <c r="BY15" s="10">
        <v>533.48800000000006</v>
      </c>
      <c r="BZ15" s="10">
        <v>533.48800000000006</v>
      </c>
      <c r="CA15" s="10">
        <v>533.48800000000006</v>
      </c>
      <c r="CB15" s="10">
        <v>533.48800000000006</v>
      </c>
      <c r="CC15" s="10">
        <v>533.48800000000006</v>
      </c>
      <c r="CD15" s="10">
        <v>533.48800000000006</v>
      </c>
      <c r="CE15" s="10">
        <v>533.48800000000006</v>
      </c>
      <c r="CF15" s="10">
        <v>533.48800000000006</v>
      </c>
      <c r="CG15" s="10">
        <v>533.48800000000006</v>
      </c>
      <c r="CH15" s="10">
        <v>533.48800000000006</v>
      </c>
      <c r="CI15" s="10">
        <v>533.48800000000006</v>
      </c>
      <c r="CJ15" s="10">
        <v>533.48800000000006</v>
      </c>
      <c r="CK15" s="10">
        <v>533.48800000000006</v>
      </c>
      <c r="CL15" s="10">
        <v>533.48800000000006</v>
      </c>
      <c r="CM15" s="10">
        <v>533.48800000000006</v>
      </c>
      <c r="CN15" s="10">
        <v>533.48800000000006</v>
      </c>
      <c r="CO15" s="10">
        <v>533.48800000000006</v>
      </c>
      <c r="CP15" s="10">
        <v>533.48800000000006</v>
      </c>
      <c r="CQ15" s="10">
        <v>533.48800000000006</v>
      </c>
      <c r="CR15" s="10">
        <v>533.48800000000006</v>
      </c>
      <c r="CS15" s="10">
        <v>533.48800000000006</v>
      </c>
      <c r="CT15" s="10">
        <v>533.48800000000006</v>
      </c>
      <c r="CU15" s="10">
        <v>533.48800000000006</v>
      </c>
      <c r="CV15" s="10">
        <v>533.48800000000006</v>
      </c>
      <c r="CW15" s="10">
        <v>533.48800000000006</v>
      </c>
      <c r="CX15" s="10">
        <v>533.48800000000006</v>
      </c>
    </row>
    <row r="16" spans="1:102" x14ac:dyDescent="0.2">
      <c r="A16" s="56" t="s">
        <v>291</v>
      </c>
      <c r="C16" s="10" t="s">
        <v>292</v>
      </c>
      <c r="D16" s="10" t="s">
        <v>292</v>
      </c>
      <c r="E16" s="10" t="s">
        <v>292</v>
      </c>
      <c r="F16" s="10" t="s">
        <v>292</v>
      </c>
      <c r="G16" s="10" t="s">
        <v>292</v>
      </c>
      <c r="H16" s="10" t="s">
        <v>292</v>
      </c>
      <c r="I16" s="10" t="s">
        <v>292</v>
      </c>
      <c r="J16" s="10" t="s">
        <v>292</v>
      </c>
      <c r="K16" s="10" t="s">
        <v>292</v>
      </c>
      <c r="L16" s="10" t="s">
        <v>292</v>
      </c>
      <c r="M16" s="10" t="s">
        <v>292</v>
      </c>
      <c r="N16" s="10" t="s">
        <v>292</v>
      </c>
      <c r="O16" s="10" t="s">
        <v>292</v>
      </c>
      <c r="P16" s="10" t="s">
        <v>292</v>
      </c>
      <c r="Q16" s="10" t="s">
        <v>292</v>
      </c>
      <c r="R16" s="10" t="s">
        <v>292</v>
      </c>
      <c r="S16" s="10" t="s">
        <v>292</v>
      </c>
      <c r="T16" s="10" t="s">
        <v>292</v>
      </c>
      <c r="U16" s="10" t="s">
        <v>292</v>
      </c>
      <c r="V16" s="10" t="s">
        <v>292</v>
      </c>
      <c r="W16" s="10" t="s">
        <v>292</v>
      </c>
      <c r="X16" s="10" t="s">
        <v>292</v>
      </c>
      <c r="Y16" s="10" t="s">
        <v>292</v>
      </c>
      <c r="Z16" s="10" t="s">
        <v>292</v>
      </c>
      <c r="AA16" s="10" t="s">
        <v>292</v>
      </c>
      <c r="AB16" s="10" t="s">
        <v>292</v>
      </c>
      <c r="AC16" s="10" t="s">
        <v>292</v>
      </c>
      <c r="AD16" s="10" t="s">
        <v>292</v>
      </c>
      <c r="AE16" s="10" t="s">
        <v>292</v>
      </c>
      <c r="AF16" s="10" t="s">
        <v>292</v>
      </c>
      <c r="AG16" s="10" t="s">
        <v>292</v>
      </c>
      <c r="AH16" s="10" t="s">
        <v>292</v>
      </c>
      <c r="AI16" s="10" t="s">
        <v>292</v>
      </c>
      <c r="AJ16" s="10" t="s">
        <v>292</v>
      </c>
      <c r="AK16" s="10" t="s">
        <v>292</v>
      </c>
      <c r="AL16" s="10" t="s">
        <v>292</v>
      </c>
      <c r="AM16" s="10" t="s">
        <v>292</v>
      </c>
      <c r="AN16" s="10" t="s">
        <v>292</v>
      </c>
      <c r="AO16" s="10" t="s">
        <v>292</v>
      </c>
      <c r="AP16" s="10" t="s">
        <v>292</v>
      </c>
      <c r="AQ16" s="10" t="s">
        <v>292</v>
      </c>
      <c r="AR16" s="10" t="s">
        <v>292</v>
      </c>
      <c r="AS16" s="10" t="s">
        <v>292</v>
      </c>
      <c r="AT16" s="10" t="s">
        <v>292</v>
      </c>
      <c r="AU16" s="10" t="s">
        <v>292</v>
      </c>
      <c r="AV16" s="10" t="s">
        <v>292</v>
      </c>
      <c r="AW16" s="10" t="s">
        <v>292</v>
      </c>
      <c r="AX16" s="10" t="s">
        <v>292</v>
      </c>
      <c r="AY16" s="10" t="s">
        <v>292</v>
      </c>
      <c r="AZ16" s="10" t="s">
        <v>292</v>
      </c>
      <c r="BA16" s="10" t="s">
        <v>292</v>
      </c>
      <c r="BB16" s="10" t="s">
        <v>292</v>
      </c>
      <c r="BC16" s="10" t="s">
        <v>292</v>
      </c>
      <c r="BD16" s="10" t="s">
        <v>292</v>
      </c>
      <c r="BE16" s="10" t="s">
        <v>292</v>
      </c>
      <c r="BF16" s="10" t="s">
        <v>292</v>
      </c>
      <c r="BG16" s="10" t="s">
        <v>292</v>
      </c>
      <c r="BH16" s="10" t="s">
        <v>292</v>
      </c>
      <c r="BI16" s="10" t="s">
        <v>292</v>
      </c>
      <c r="BJ16" s="10" t="s">
        <v>292</v>
      </c>
      <c r="BK16" s="10" t="s">
        <v>292</v>
      </c>
      <c r="BL16" s="10" t="s">
        <v>292</v>
      </c>
      <c r="BM16" s="10" t="s">
        <v>292</v>
      </c>
      <c r="BN16" s="10" t="s">
        <v>292</v>
      </c>
      <c r="BO16" s="10" t="s">
        <v>292</v>
      </c>
      <c r="BP16" s="10" t="s">
        <v>292</v>
      </c>
      <c r="BQ16" s="10" t="s">
        <v>292</v>
      </c>
      <c r="BR16" s="10" t="s">
        <v>292</v>
      </c>
      <c r="BS16" s="10" t="s">
        <v>292</v>
      </c>
      <c r="BT16" s="10" t="s">
        <v>292</v>
      </c>
      <c r="BU16" s="10" t="s">
        <v>292</v>
      </c>
      <c r="BV16" s="10" t="s">
        <v>292</v>
      </c>
      <c r="BW16" s="10" t="s">
        <v>292</v>
      </c>
      <c r="BX16" s="10" t="s">
        <v>292</v>
      </c>
      <c r="BY16" s="10" t="s">
        <v>292</v>
      </c>
      <c r="BZ16" s="10" t="s">
        <v>292</v>
      </c>
      <c r="CA16" s="10" t="s">
        <v>292</v>
      </c>
      <c r="CB16" s="10" t="s">
        <v>292</v>
      </c>
      <c r="CC16" s="10" t="s">
        <v>292</v>
      </c>
      <c r="CD16" s="10" t="s">
        <v>292</v>
      </c>
      <c r="CE16" s="10" t="s">
        <v>292</v>
      </c>
      <c r="CF16" s="10" t="s">
        <v>292</v>
      </c>
      <c r="CG16" s="10" t="s">
        <v>292</v>
      </c>
      <c r="CH16" s="10" t="s">
        <v>292</v>
      </c>
      <c r="CI16" s="10" t="s">
        <v>292</v>
      </c>
      <c r="CJ16" s="10" t="s">
        <v>292</v>
      </c>
      <c r="CK16" s="10" t="s">
        <v>292</v>
      </c>
      <c r="CL16" s="10" t="s">
        <v>292</v>
      </c>
      <c r="CM16" s="10" t="s">
        <v>292</v>
      </c>
      <c r="CN16" s="10" t="s">
        <v>292</v>
      </c>
      <c r="CO16" s="10" t="s">
        <v>292</v>
      </c>
      <c r="CP16" s="10" t="s">
        <v>292</v>
      </c>
      <c r="CQ16" s="10" t="s">
        <v>292</v>
      </c>
      <c r="CR16" s="10" t="s">
        <v>292</v>
      </c>
      <c r="CS16" s="10" t="s">
        <v>292</v>
      </c>
      <c r="CT16" s="10" t="s">
        <v>292</v>
      </c>
      <c r="CU16" s="10" t="s">
        <v>292</v>
      </c>
      <c r="CV16" s="10" t="s">
        <v>292</v>
      </c>
      <c r="CW16" s="10" t="s">
        <v>292</v>
      </c>
      <c r="CX16" s="10" t="s">
        <v>292</v>
      </c>
    </row>
    <row r="17" spans="1:102" x14ac:dyDescent="0.2">
      <c r="A17" s="56" t="s">
        <v>293</v>
      </c>
      <c r="C17" s="10">
        <v>366.488</v>
      </c>
      <c r="D17" s="10">
        <v>361.00799999999998</v>
      </c>
      <c r="E17" s="10">
        <v>353.98700000000002</v>
      </c>
      <c r="F17" s="10">
        <v>347.98500000000001</v>
      </c>
      <c r="G17" s="10">
        <v>341.99</v>
      </c>
      <c r="H17" s="10">
        <v>334.46800000000002</v>
      </c>
      <c r="I17" s="10">
        <v>328.47699999999998</v>
      </c>
      <c r="J17" s="10">
        <v>328.47699999999998</v>
      </c>
      <c r="K17" s="10">
        <v>328.47699999999998</v>
      </c>
      <c r="L17" s="10">
        <v>328.47699999999998</v>
      </c>
      <c r="M17" s="10">
        <v>328.47699999999998</v>
      </c>
      <c r="N17" s="10">
        <v>328.47699999999998</v>
      </c>
      <c r="O17" s="10">
        <v>328.47699999999998</v>
      </c>
      <c r="P17" s="10">
        <v>328.47699999999998</v>
      </c>
      <c r="Q17" s="10">
        <v>328.47699999999998</v>
      </c>
      <c r="R17" s="10">
        <v>328.47699999999998</v>
      </c>
      <c r="S17" s="10">
        <v>328.47699999999998</v>
      </c>
      <c r="T17" s="10">
        <v>328.47699999999998</v>
      </c>
      <c r="U17" s="10">
        <v>328.47699999999998</v>
      </c>
      <c r="V17" s="10">
        <v>328.47699999999998</v>
      </c>
      <c r="W17" s="10">
        <v>328.47699999999998</v>
      </c>
      <c r="X17" s="10">
        <v>328.47699999999998</v>
      </c>
      <c r="Y17" s="10">
        <v>328.47699999999998</v>
      </c>
      <c r="Z17" s="10">
        <v>328.47699999999998</v>
      </c>
      <c r="AA17" s="10">
        <v>328.47699999999998</v>
      </c>
      <c r="AB17" s="10">
        <v>328.47699999999998</v>
      </c>
      <c r="AC17" s="10">
        <v>328.47699999999998</v>
      </c>
      <c r="AD17" s="10">
        <v>328.47699999999998</v>
      </c>
      <c r="AE17" s="10">
        <v>328.47699999999998</v>
      </c>
      <c r="AF17" s="10">
        <v>328.47699999999998</v>
      </c>
      <c r="AG17" s="10">
        <v>328.47699999999998</v>
      </c>
      <c r="AH17" s="10">
        <v>328.47699999999998</v>
      </c>
      <c r="AI17" s="10">
        <v>328.47699999999998</v>
      </c>
      <c r="AJ17" s="10">
        <v>328.47699999999998</v>
      </c>
      <c r="AK17" s="10">
        <v>328.47699999999998</v>
      </c>
      <c r="AL17" s="10">
        <v>328.47699999999998</v>
      </c>
      <c r="AM17" s="10">
        <v>328.47699999999998</v>
      </c>
      <c r="AN17" s="10">
        <v>328.47699999999998</v>
      </c>
      <c r="AO17" s="10">
        <v>328.47699999999998</v>
      </c>
      <c r="AP17" s="10">
        <v>328.47699999999998</v>
      </c>
      <c r="AQ17" s="10">
        <v>328.47699999999998</v>
      </c>
      <c r="AR17" s="10">
        <v>328.47699999999998</v>
      </c>
      <c r="AS17" s="10">
        <v>328.47699999999998</v>
      </c>
      <c r="AT17" s="10">
        <v>328.47699999999998</v>
      </c>
      <c r="AU17" s="10">
        <v>328.47699999999998</v>
      </c>
      <c r="AV17" s="10">
        <v>328.47699999999998</v>
      </c>
      <c r="AW17" s="10">
        <v>328.47699999999998</v>
      </c>
      <c r="AX17" s="10">
        <v>328.47699999999998</v>
      </c>
      <c r="AY17" s="10">
        <v>328.47699999999998</v>
      </c>
      <c r="AZ17" s="10">
        <v>328.47699999999998</v>
      </c>
      <c r="BA17" s="10">
        <v>328.47699999999998</v>
      </c>
      <c r="BB17" s="10">
        <v>328.47699999999998</v>
      </c>
      <c r="BC17" s="10">
        <v>328.47699999999998</v>
      </c>
      <c r="BD17" s="10">
        <v>328.47699999999998</v>
      </c>
      <c r="BE17" s="10">
        <v>328.47699999999998</v>
      </c>
      <c r="BF17" s="10">
        <v>328.47699999999998</v>
      </c>
      <c r="BG17" s="10">
        <v>328.47699999999998</v>
      </c>
      <c r="BH17" s="10">
        <v>328.47699999999998</v>
      </c>
      <c r="BI17" s="10">
        <v>328.47699999999998</v>
      </c>
      <c r="BJ17" s="10">
        <v>328.47699999999998</v>
      </c>
      <c r="BK17" s="10">
        <v>328.47699999999998</v>
      </c>
      <c r="BL17" s="10">
        <v>328.47699999999998</v>
      </c>
      <c r="BM17" s="10">
        <v>328.47699999999998</v>
      </c>
      <c r="BN17" s="10">
        <v>328.47699999999998</v>
      </c>
      <c r="BO17" s="10">
        <v>328.47699999999998</v>
      </c>
      <c r="BP17" s="10">
        <v>328.47699999999998</v>
      </c>
      <c r="BQ17" s="10">
        <v>328.47699999999998</v>
      </c>
      <c r="BR17" s="10">
        <v>328.47699999999998</v>
      </c>
      <c r="BS17" s="10">
        <v>328.47699999999998</v>
      </c>
      <c r="BT17" s="10">
        <v>328.47699999999998</v>
      </c>
      <c r="BU17" s="10">
        <v>328.47699999999998</v>
      </c>
      <c r="BV17" s="10">
        <v>328.47699999999998</v>
      </c>
      <c r="BW17" s="10">
        <v>328.47699999999998</v>
      </c>
      <c r="BX17" s="10">
        <v>328.47699999999998</v>
      </c>
      <c r="BY17" s="10">
        <v>328.47699999999998</v>
      </c>
      <c r="BZ17" s="10">
        <v>328.47699999999998</v>
      </c>
      <c r="CA17" s="10">
        <v>328.47699999999998</v>
      </c>
      <c r="CB17" s="10">
        <v>328.47699999999998</v>
      </c>
      <c r="CC17" s="10">
        <v>328.47699999999998</v>
      </c>
      <c r="CD17" s="10">
        <v>328.47699999999998</v>
      </c>
      <c r="CE17" s="10">
        <v>328.47699999999998</v>
      </c>
      <c r="CF17" s="10">
        <v>328.47699999999998</v>
      </c>
      <c r="CG17" s="10">
        <v>328.47699999999998</v>
      </c>
      <c r="CH17" s="10">
        <v>328.47699999999998</v>
      </c>
      <c r="CI17" s="10">
        <v>328.47699999999998</v>
      </c>
      <c r="CJ17" s="10">
        <v>328.47699999999998</v>
      </c>
      <c r="CK17" s="10">
        <v>328.47699999999998</v>
      </c>
      <c r="CL17" s="10">
        <v>328.47699999999998</v>
      </c>
      <c r="CM17" s="10">
        <v>328.47699999999998</v>
      </c>
      <c r="CN17" s="10">
        <v>328.47699999999998</v>
      </c>
      <c r="CO17" s="10">
        <v>328.47699999999998</v>
      </c>
      <c r="CP17" s="10">
        <v>328.47699999999998</v>
      </c>
      <c r="CQ17" s="10">
        <v>328.47699999999998</v>
      </c>
      <c r="CR17" s="10">
        <v>328.47699999999998</v>
      </c>
      <c r="CS17" s="10">
        <v>328.47699999999998</v>
      </c>
      <c r="CT17" s="10">
        <v>328.47699999999998</v>
      </c>
      <c r="CU17" s="10">
        <v>328.47699999999998</v>
      </c>
      <c r="CV17" s="10">
        <v>328.47699999999998</v>
      </c>
      <c r="CW17" s="10">
        <v>328.47699999999998</v>
      </c>
      <c r="CX17" s="10">
        <v>328.47699999999998</v>
      </c>
    </row>
    <row r="18" spans="1:102" x14ac:dyDescent="0.2">
      <c r="A18" s="56" t="s">
        <v>294</v>
      </c>
      <c r="C18" s="10" t="s">
        <v>292</v>
      </c>
      <c r="D18" s="10" t="s">
        <v>292</v>
      </c>
      <c r="E18" s="10" t="s">
        <v>292</v>
      </c>
      <c r="F18" s="10" t="s">
        <v>292</v>
      </c>
      <c r="G18" s="10" t="s">
        <v>292</v>
      </c>
      <c r="H18" s="10" t="s">
        <v>292</v>
      </c>
      <c r="I18" s="10" t="s">
        <v>292</v>
      </c>
      <c r="J18" s="10" t="s">
        <v>292</v>
      </c>
      <c r="K18" s="10" t="s">
        <v>292</v>
      </c>
      <c r="L18" s="10" t="s">
        <v>292</v>
      </c>
      <c r="M18" s="10" t="s">
        <v>292</v>
      </c>
      <c r="N18" s="10" t="s">
        <v>292</v>
      </c>
      <c r="O18" s="10" t="s">
        <v>292</v>
      </c>
      <c r="P18" s="10" t="s">
        <v>292</v>
      </c>
      <c r="Q18" s="10" t="s">
        <v>292</v>
      </c>
      <c r="R18" s="10" t="s">
        <v>292</v>
      </c>
      <c r="S18" s="10" t="s">
        <v>292</v>
      </c>
      <c r="T18" s="10" t="s">
        <v>292</v>
      </c>
      <c r="U18" s="10" t="s">
        <v>292</v>
      </c>
      <c r="V18" s="10" t="s">
        <v>292</v>
      </c>
      <c r="W18" s="10" t="s">
        <v>292</v>
      </c>
      <c r="X18" s="10" t="s">
        <v>292</v>
      </c>
      <c r="Y18" s="10" t="s">
        <v>292</v>
      </c>
      <c r="Z18" s="10" t="s">
        <v>292</v>
      </c>
      <c r="AA18" s="10" t="s">
        <v>292</v>
      </c>
      <c r="AB18" s="10" t="s">
        <v>292</v>
      </c>
      <c r="AC18" s="10" t="s">
        <v>292</v>
      </c>
      <c r="AD18" s="10" t="s">
        <v>292</v>
      </c>
      <c r="AE18" s="10" t="s">
        <v>292</v>
      </c>
      <c r="AF18" s="10" t="s">
        <v>292</v>
      </c>
      <c r="AG18" s="10" t="s">
        <v>292</v>
      </c>
      <c r="AH18" s="10" t="s">
        <v>292</v>
      </c>
      <c r="AI18" s="10" t="s">
        <v>292</v>
      </c>
      <c r="AJ18" s="10" t="s">
        <v>292</v>
      </c>
      <c r="AK18" s="10" t="s">
        <v>292</v>
      </c>
      <c r="AL18" s="10" t="s">
        <v>292</v>
      </c>
      <c r="AM18" s="10" t="s">
        <v>292</v>
      </c>
      <c r="AN18" s="10" t="s">
        <v>292</v>
      </c>
      <c r="AO18" s="10" t="s">
        <v>292</v>
      </c>
      <c r="AP18" s="10" t="s">
        <v>292</v>
      </c>
      <c r="AQ18" s="10" t="s">
        <v>292</v>
      </c>
      <c r="AR18" s="10" t="s">
        <v>292</v>
      </c>
      <c r="AS18" s="10" t="s">
        <v>292</v>
      </c>
      <c r="AT18" s="10" t="s">
        <v>292</v>
      </c>
      <c r="AU18" s="10" t="s">
        <v>292</v>
      </c>
      <c r="AV18" s="10" t="s">
        <v>292</v>
      </c>
      <c r="AW18" s="10" t="s">
        <v>292</v>
      </c>
      <c r="AX18" s="10" t="s">
        <v>292</v>
      </c>
      <c r="AY18" s="10" t="s">
        <v>292</v>
      </c>
      <c r="AZ18" s="10" t="s">
        <v>292</v>
      </c>
      <c r="BA18" s="10" t="s">
        <v>292</v>
      </c>
      <c r="BB18" s="10" t="s">
        <v>292</v>
      </c>
      <c r="BC18" s="10" t="s">
        <v>292</v>
      </c>
      <c r="BD18" s="10" t="s">
        <v>292</v>
      </c>
      <c r="BE18" s="10" t="s">
        <v>292</v>
      </c>
      <c r="BF18" s="10" t="s">
        <v>292</v>
      </c>
      <c r="BG18" s="10" t="s">
        <v>292</v>
      </c>
      <c r="BH18" s="10" t="s">
        <v>292</v>
      </c>
      <c r="BI18" s="10" t="s">
        <v>292</v>
      </c>
      <c r="BJ18" s="10" t="s">
        <v>292</v>
      </c>
      <c r="BK18" s="10" t="s">
        <v>292</v>
      </c>
      <c r="BL18" s="10" t="s">
        <v>292</v>
      </c>
      <c r="BM18" s="10" t="s">
        <v>292</v>
      </c>
      <c r="BN18" s="10" t="s">
        <v>292</v>
      </c>
      <c r="BO18" s="10" t="s">
        <v>292</v>
      </c>
      <c r="BP18" s="10" t="s">
        <v>292</v>
      </c>
      <c r="BQ18" s="10" t="s">
        <v>292</v>
      </c>
      <c r="BR18" s="10" t="s">
        <v>292</v>
      </c>
      <c r="BS18" s="10" t="s">
        <v>292</v>
      </c>
      <c r="BT18" s="10" t="s">
        <v>292</v>
      </c>
      <c r="BU18" s="10" t="s">
        <v>292</v>
      </c>
      <c r="BV18" s="10" t="s">
        <v>292</v>
      </c>
      <c r="BW18" s="10" t="s">
        <v>292</v>
      </c>
      <c r="BX18" s="10" t="s">
        <v>292</v>
      </c>
      <c r="BY18" s="10" t="s">
        <v>292</v>
      </c>
      <c r="BZ18" s="10" t="s">
        <v>292</v>
      </c>
      <c r="CA18" s="10" t="s">
        <v>292</v>
      </c>
      <c r="CB18" s="10" t="s">
        <v>292</v>
      </c>
      <c r="CC18" s="10" t="s">
        <v>292</v>
      </c>
      <c r="CD18" s="10" t="s">
        <v>292</v>
      </c>
      <c r="CE18" s="10" t="s">
        <v>292</v>
      </c>
      <c r="CF18" s="10" t="s">
        <v>292</v>
      </c>
      <c r="CG18" s="10" t="s">
        <v>292</v>
      </c>
      <c r="CH18" s="10" t="s">
        <v>292</v>
      </c>
      <c r="CI18" s="10" t="s">
        <v>292</v>
      </c>
      <c r="CJ18" s="10" t="s">
        <v>292</v>
      </c>
      <c r="CK18" s="10" t="s">
        <v>292</v>
      </c>
      <c r="CL18" s="10" t="s">
        <v>292</v>
      </c>
      <c r="CM18" s="10" t="s">
        <v>292</v>
      </c>
      <c r="CN18" s="10" t="s">
        <v>292</v>
      </c>
      <c r="CO18" s="10" t="s">
        <v>292</v>
      </c>
      <c r="CP18" s="10" t="s">
        <v>292</v>
      </c>
      <c r="CQ18" s="10" t="s">
        <v>292</v>
      </c>
      <c r="CR18" s="10" t="s">
        <v>292</v>
      </c>
      <c r="CS18" s="10" t="s">
        <v>292</v>
      </c>
      <c r="CT18" s="10" t="s">
        <v>292</v>
      </c>
      <c r="CU18" s="10" t="s">
        <v>292</v>
      </c>
      <c r="CV18" s="10" t="s">
        <v>292</v>
      </c>
      <c r="CW18" s="10" t="s">
        <v>292</v>
      </c>
      <c r="CX18" s="10" t="s">
        <v>292</v>
      </c>
    </row>
    <row r="19" spans="1:102" x14ac:dyDescent="0.2">
      <c r="A19" s="56" t="s">
        <v>295</v>
      </c>
      <c r="C19" s="10">
        <v>244.49799999999999</v>
      </c>
      <c r="D19" s="10">
        <v>236.989</v>
      </c>
      <c r="E19" s="10">
        <v>231.01499999999999</v>
      </c>
      <c r="F19" s="10">
        <v>224.00399999999999</v>
      </c>
      <c r="G19" s="10">
        <v>217</v>
      </c>
      <c r="H19" s="10">
        <v>211.51400000000001</v>
      </c>
      <c r="I19" s="10">
        <v>205.011</v>
      </c>
      <c r="J19" s="10">
        <v>205.011</v>
      </c>
      <c r="K19" s="10">
        <v>205.011</v>
      </c>
      <c r="L19" s="10">
        <v>205.011</v>
      </c>
      <c r="M19" s="10">
        <v>205.011</v>
      </c>
      <c r="N19" s="10">
        <v>205.011</v>
      </c>
      <c r="O19" s="10">
        <v>205.011</v>
      </c>
      <c r="P19" s="10">
        <v>205.011</v>
      </c>
      <c r="Q19" s="10">
        <v>205.011</v>
      </c>
      <c r="R19" s="10">
        <v>205.011</v>
      </c>
      <c r="S19" s="10">
        <v>205.011</v>
      </c>
      <c r="T19" s="10">
        <v>205.011</v>
      </c>
      <c r="U19" s="10">
        <v>205.011</v>
      </c>
      <c r="V19" s="10">
        <v>205.011</v>
      </c>
      <c r="W19" s="10">
        <v>205.011</v>
      </c>
      <c r="X19" s="10">
        <v>205.011</v>
      </c>
      <c r="Y19" s="10">
        <v>205.011</v>
      </c>
      <c r="Z19" s="10">
        <v>205.011</v>
      </c>
      <c r="AA19" s="10">
        <v>205.011</v>
      </c>
      <c r="AB19" s="10">
        <v>205.011</v>
      </c>
      <c r="AC19" s="10">
        <v>205.011</v>
      </c>
      <c r="AD19" s="10">
        <v>205.011</v>
      </c>
      <c r="AE19" s="10">
        <v>205.011</v>
      </c>
      <c r="AF19" s="10">
        <v>205.011</v>
      </c>
      <c r="AG19" s="10">
        <v>205.011</v>
      </c>
      <c r="AH19" s="10">
        <v>205.011</v>
      </c>
      <c r="AI19" s="10">
        <v>205.011</v>
      </c>
      <c r="AJ19" s="10">
        <v>205.011</v>
      </c>
      <c r="AK19" s="10">
        <v>205.011</v>
      </c>
      <c r="AL19" s="10">
        <v>205.011</v>
      </c>
      <c r="AM19" s="10">
        <v>205.011</v>
      </c>
      <c r="AN19" s="10">
        <v>205.011</v>
      </c>
      <c r="AO19" s="10">
        <v>205.011</v>
      </c>
      <c r="AP19" s="10">
        <v>205.011</v>
      </c>
      <c r="AQ19" s="10">
        <v>205.011</v>
      </c>
      <c r="AR19" s="10">
        <v>205.011</v>
      </c>
      <c r="AS19" s="10">
        <v>205.011</v>
      </c>
      <c r="AT19" s="10">
        <v>205.011</v>
      </c>
      <c r="AU19" s="10">
        <v>205.011</v>
      </c>
      <c r="AV19" s="10">
        <v>205.011</v>
      </c>
      <c r="AW19" s="10">
        <v>205.011</v>
      </c>
      <c r="AX19" s="10">
        <v>205.011</v>
      </c>
      <c r="AY19" s="10">
        <v>205.011</v>
      </c>
      <c r="AZ19" s="10">
        <v>205.011</v>
      </c>
      <c r="BA19" s="10">
        <v>205.011</v>
      </c>
      <c r="BB19" s="10">
        <v>205.011</v>
      </c>
      <c r="BC19" s="10">
        <v>205.011</v>
      </c>
      <c r="BD19" s="10">
        <v>205.011</v>
      </c>
      <c r="BE19" s="10">
        <v>205.011</v>
      </c>
      <c r="BF19" s="10">
        <v>205.011</v>
      </c>
      <c r="BG19" s="10">
        <v>205.011</v>
      </c>
      <c r="BH19" s="10">
        <v>205.011</v>
      </c>
      <c r="BI19" s="10">
        <v>205.011</v>
      </c>
      <c r="BJ19" s="10">
        <v>205.011</v>
      </c>
      <c r="BK19" s="10">
        <v>205.011</v>
      </c>
      <c r="BL19" s="10">
        <v>205.011</v>
      </c>
      <c r="BM19" s="10">
        <v>205.011</v>
      </c>
      <c r="BN19" s="10">
        <v>205.011</v>
      </c>
      <c r="BO19" s="10">
        <v>205.011</v>
      </c>
      <c r="BP19" s="10">
        <v>205.011</v>
      </c>
      <c r="BQ19" s="10">
        <v>205.011</v>
      </c>
      <c r="BR19" s="10">
        <v>205.011</v>
      </c>
      <c r="BS19" s="10">
        <v>205.011</v>
      </c>
      <c r="BT19" s="10">
        <v>205.011</v>
      </c>
      <c r="BU19" s="10">
        <v>205.011</v>
      </c>
      <c r="BV19" s="10">
        <v>205.011</v>
      </c>
      <c r="BW19" s="10">
        <v>205.011</v>
      </c>
      <c r="BX19" s="10">
        <v>205.011</v>
      </c>
      <c r="BY19" s="10">
        <v>205.011</v>
      </c>
      <c r="BZ19" s="10">
        <v>205.011</v>
      </c>
      <c r="CA19" s="10">
        <v>205.011</v>
      </c>
      <c r="CB19" s="10">
        <v>205.011</v>
      </c>
      <c r="CC19" s="10">
        <v>205.011</v>
      </c>
      <c r="CD19" s="10">
        <v>205.011</v>
      </c>
      <c r="CE19" s="10">
        <v>205.011</v>
      </c>
      <c r="CF19" s="10">
        <v>205.011</v>
      </c>
      <c r="CG19" s="10">
        <v>205.011</v>
      </c>
      <c r="CH19" s="10">
        <v>205.011</v>
      </c>
      <c r="CI19" s="10">
        <v>205.011</v>
      </c>
      <c r="CJ19" s="10">
        <v>205.011</v>
      </c>
      <c r="CK19" s="10">
        <v>205.011</v>
      </c>
      <c r="CL19" s="10">
        <v>205.011</v>
      </c>
      <c r="CM19" s="10">
        <v>205.011</v>
      </c>
      <c r="CN19" s="10">
        <v>205.011</v>
      </c>
      <c r="CO19" s="10">
        <v>205.011</v>
      </c>
      <c r="CP19" s="10">
        <v>205.011</v>
      </c>
      <c r="CQ19" s="10">
        <v>205.011</v>
      </c>
      <c r="CR19" s="10">
        <v>205.011</v>
      </c>
      <c r="CS19" s="10">
        <v>205.011</v>
      </c>
      <c r="CT19" s="10">
        <v>205.011</v>
      </c>
      <c r="CU19" s="10">
        <v>205.011</v>
      </c>
      <c r="CV19" s="10">
        <v>205.011</v>
      </c>
      <c r="CW19" s="10">
        <v>205.011</v>
      </c>
      <c r="CX19" s="10">
        <v>205.011</v>
      </c>
    </row>
    <row r="20" spans="1:102" x14ac:dyDescent="0.2">
      <c r="A20" s="56" t="s">
        <v>296</v>
      </c>
      <c r="C20" s="10" t="s">
        <v>292</v>
      </c>
      <c r="D20" s="10" t="s">
        <v>292</v>
      </c>
      <c r="E20" s="10" t="s">
        <v>292</v>
      </c>
      <c r="F20" s="10" t="s">
        <v>292</v>
      </c>
      <c r="G20" s="10" t="s">
        <v>292</v>
      </c>
      <c r="H20" s="10" t="s">
        <v>292</v>
      </c>
      <c r="I20" s="10" t="s">
        <v>292</v>
      </c>
      <c r="J20" s="10" t="s">
        <v>292</v>
      </c>
      <c r="K20" s="10" t="s">
        <v>292</v>
      </c>
      <c r="L20" s="10" t="s">
        <v>292</v>
      </c>
      <c r="M20" s="10" t="s">
        <v>292</v>
      </c>
      <c r="N20" s="10" t="s">
        <v>292</v>
      </c>
      <c r="O20" s="10" t="s">
        <v>292</v>
      </c>
      <c r="P20" s="10" t="s">
        <v>292</v>
      </c>
      <c r="Q20" s="10" t="s">
        <v>292</v>
      </c>
      <c r="R20" s="10" t="s">
        <v>292</v>
      </c>
      <c r="S20" s="10" t="s">
        <v>292</v>
      </c>
      <c r="T20" s="10" t="s">
        <v>292</v>
      </c>
      <c r="U20" s="10" t="s">
        <v>292</v>
      </c>
      <c r="V20" s="10" t="s">
        <v>292</v>
      </c>
      <c r="W20" s="10" t="s">
        <v>292</v>
      </c>
      <c r="X20" s="10" t="s">
        <v>292</v>
      </c>
      <c r="Y20" s="10" t="s">
        <v>292</v>
      </c>
      <c r="Z20" s="10" t="s">
        <v>292</v>
      </c>
      <c r="AA20" s="10" t="s">
        <v>292</v>
      </c>
      <c r="AB20" s="10" t="s">
        <v>292</v>
      </c>
      <c r="AC20" s="10" t="s">
        <v>292</v>
      </c>
      <c r="AD20" s="10" t="s">
        <v>292</v>
      </c>
      <c r="AE20" s="10" t="s">
        <v>292</v>
      </c>
      <c r="AF20" s="10" t="s">
        <v>292</v>
      </c>
      <c r="AG20" s="10" t="s">
        <v>292</v>
      </c>
      <c r="AH20" s="10" t="s">
        <v>292</v>
      </c>
      <c r="AI20" s="10" t="s">
        <v>292</v>
      </c>
      <c r="AJ20" s="10" t="s">
        <v>292</v>
      </c>
      <c r="AK20" s="10" t="s">
        <v>292</v>
      </c>
      <c r="AL20" s="10" t="s">
        <v>292</v>
      </c>
      <c r="AM20" s="10" t="s">
        <v>292</v>
      </c>
      <c r="AN20" s="10" t="s">
        <v>292</v>
      </c>
      <c r="AO20" s="10" t="s">
        <v>292</v>
      </c>
      <c r="AP20" s="10" t="s">
        <v>292</v>
      </c>
      <c r="AQ20" s="10" t="s">
        <v>292</v>
      </c>
      <c r="AR20" s="10" t="s">
        <v>292</v>
      </c>
      <c r="AS20" s="10" t="s">
        <v>292</v>
      </c>
      <c r="AT20" s="10" t="s">
        <v>292</v>
      </c>
      <c r="AU20" s="10" t="s">
        <v>292</v>
      </c>
      <c r="AV20" s="10" t="s">
        <v>292</v>
      </c>
      <c r="AW20" s="10" t="s">
        <v>292</v>
      </c>
      <c r="AX20" s="10" t="s">
        <v>292</v>
      </c>
      <c r="AY20" s="10" t="s">
        <v>292</v>
      </c>
      <c r="AZ20" s="10" t="s">
        <v>292</v>
      </c>
      <c r="BA20" s="10" t="s">
        <v>292</v>
      </c>
      <c r="BB20" s="10" t="s">
        <v>292</v>
      </c>
      <c r="BC20" s="10" t="s">
        <v>292</v>
      </c>
      <c r="BD20" s="10" t="s">
        <v>292</v>
      </c>
      <c r="BE20" s="10" t="s">
        <v>292</v>
      </c>
      <c r="BF20" s="10" t="s">
        <v>292</v>
      </c>
      <c r="BG20" s="10" t="s">
        <v>292</v>
      </c>
      <c r="BH20" s="10" t="s">
        <v>292</v>
      </c>
      <c r="BI20" s="10" t="s">
        <v>292</v>
      </c>
      <c r="BJ20" s="10" t="s">
        <v>292</v>
      </c>
      <c r="BK20" s="10" t="s">
        <v>292</v>
      </c>
      <c r="BL20" s="10" t="s">
        <v>292</v>
      </c>
      <c r="BM20" s="10" t="s">
        <v>292</v>
      </c>
      <c r="BN20" s="10" t="s">
        <v>292</v>
      </c>
      <c r="BO20" s="10" t="s">
        <v>292</v>
      </c>
      <c r="BP20" s="10" t="s">
        <v>292</v>
      </c>
      <c r="BQ20" s="10" t="s">
        <v>292</v>
      </c>
      <c r="BR20" s="10" t="s">
        <v>292</v>
      </c>
      <c r="BS20" s="10" t="s">
        <v>292</v>
      </c>
      <c r="BT20" s="10" t="s">
        <v>292</v>
      </c>
      <c r="BU20" s="10" t="s">
        <v>292</v>
      </c>
      <c r="BV20" s="10" t="s">
        <v>292</v>
      </c>
      <c r="BW20" s="10" t="s">
        <v>292</v>
      </c>
      <c r="BX20" s="10" t="s">
        <v>292</v>
      </c>
      <c r="BY20" s="10" t="s">
        <v>292</v>
      </c>
      <c r="BZ20" s="10" t="s">
        <v>292</v>
      </c>
      <c r="CA20" s="10" t="s">
        <v>292</v>
      </c>
      <c r="CB20" s="10" t="s">
        <v>292</v>
      </c>
      <c r="CC20" s="10" t="s">
        <v>292</v>
      </c>
      <c r="CD20" s="10" t="s">
        <v>292</v>
      </c>
      <c r="CE20" s="10" t="s">
        <v>292</v>
      </c>
      <c r="CF20" s="10" t="s">
        <v>292</v>
      </c>
      <c r="CG20" s="10" t="s">
        <v>292</v>
      </c>
      <c r="CH20" s="10" t="s">
        <v>292</v>
      </c>
      <c r="CI20" s="10" t="s">
        <v>292</v>
      </c>
      <c r="CJ20" s="10" t="s">
        <v>292</v>
      </c>
      <c r="CK20" s="10" t="s">
        <v>292</v>
      </c>
      <c r="CL20" s="10" t="s">
        <v>292</v>
      </c>
      <c r="CM20" s="10" t="s">
        <v>292</v>
      </c>
      <c r="CN20" s="10" t="s">
        <v>292</v>
      </c>
      <c r="CO20" s="10" t="s">
        <v>292</v>
      </c>
      <c r="CP20" s="10" t="s">
        <v>292</v>
      </c>
      <c r="CQ20" s="10" t="s">
        <v>292</v>
      </c>
      <c r="CR20" s="10" t="s">
        <v>292</v>
      </c>
      <c r="CS20" s="10" t="s">
        <v>292</v>
      </c>
      <c r="CT20" s="10" t="s">
        <v>292</v>
      </c>
      <c r="CU20" s="10" t="s">
        <v>292</v>
      </c>
      <c r="CV20" s="10" t="s">
        <v>292</v>
      </c>
      <c r="CW20" s="10" t="s">
        <v>292</v>
      </c>
      <c r="CX20" s="10" t="s">
        <v>292</v>
      </c>
    </row>
    <row r="21" spans="1:102" x14ac:dyDescent="0.2">
      <c r="A21" s="56"/>
      <c r="C21" s="55" t="s">
        <v>286</v>
      </c>
      <c r="D21" s="55" t="s">
        <v>286</v>
      </c>
      <c r="E21" s="55" t="s">
        <v>286</v>
      </c>
      <c r="F21" s="55" t="s">
        <v>286</v>
      </c>
      <c r="G21" s="55" t="s">
        <v>286</v>
      </c>
      <c r="H21" s="55" t="s">
        <v>286</v>
      </c>
      <c r="I21" s="55" t="s">
        <v>286</v>
      </c>
      <c r="J21" s="55" t="s">
        <v>286</v>
      </c>
      <c r="K21" s="55" t="s">
        <v>286</v>
      </c>
      <c r="L21" s="55" t="s">
        <v>286</v>
      </c>
      <c r="M21" s="55" t="s">
        <v>286</v>
      </c>
      <c r="N21" s="55" t="s">
        <v>286</v>
      </c>
      <c r="O21" s="55" t="s">
        <v>286</v>
      </c>
      <c r="P21" s="55" t="s">
        <v>286</v>
      </c>
      <c r="Q21" s="55" t="s">
        <v>286</v>
      </c>
      <c r="R21" s="55" t="s">
        <v>286</v>
      </c>
      <c r="S21" s="55" t="s">
        <v>286</v>
      </c>
      <c r="T21" s="55" t="s">
        <v>286</v>
      </c>
      <c r="U21" s="55" t="s">
        <v>286</v>
      </c>
      <c r="V21" s="55" t="s">
        <v>286</v>
      </c>
      <c r="W21" s="55" t="s">
        <v>286</v>
      </c>
      <c r="X21" s="55" t="s">
        <v>286</v>
      </c>
      <c r="Y21" s="55" t="s">
        <v>286</v>
      </c>
      <c r="Z21" s="55" t="s">
        <v>286</v>
      </c>
      <c r="AA21" s="57" t="s">
        <v>286</v>
      </c>
      <c r="AB21" s="55" t="s">
        <v>286</v>
      </c>
      <c r="AC21" s="55" t="s">
        <v>286</v>
      </c>
      <c r="AD21" s="55" t="s">
        <v>286</v>
      </c>
      <c r="AE21" s="55" t="s">
        <v>286</v>
      </c>
      <c r="AF21" s="55" t="s">
        <v>286</v>
      </c>
      <c r="AG21" s="55" t="s">
        <v>286</v>
      </c>
      <c r="AH21" s="55" t="s">
        <v>286</v>
      </c>
      <c r="AI21" s="55" t="s">
        <v>286</v>
      </c>
      <c r="AJ21" s="55" t="s">
        <v>286</v>
      </c>
      <c r="AK21" s="55" t="s">
        <v>286</v>
      </c>
      <c r="AL21" s="55" t="s">
        <v>286</v>
      </c>
      <c r="AM21" s="55" t="s">
        <v>286</v>
      </c>
      <c r="AN21" s="55" t="s">
        <v>286</v>
      </c>
      <c r="AO21" s="55" t="s">
        <v>286</v>
      </c>
      <c r="AP21" s="55" t="s">
        <v>286</v>
      </c>
      <c r="AQ21" s="55" t="s">
        <v>286</v>
      </c>
      <c r="AR21" s="55" t="s">
        <v>286</v>
      </c>
      <c r="AS21" s="55" t="s">
        <v>286</v>
      </c>
      <c r="AT21" s="55" t="s">
        <v>286</v>
      </c>
      <c r="AU21" s="55" t="s">
        <v>286</v>
      </c>
      <c r="AV21" s="55" t="s">
        <v>286</v>
      </c>
      <c r="AW21" s="55" t="s">
        <v>286</v>
      </c>
      <c r="AX21" s="55" t="s">
        <v>286</v>
      </c>
      <c r="AY21" s="55" t="s">
        <v>286</v>
      </c>
      <c r="AZ21" s="57" t="s">
        <v>286</v>
      </c>
      <c r="BA21" s="55" t="s">
        <v>286</v>
      </c>
      <c r="BB21" s="55" t="s">
        <v>286</v>
      </c>
      <c r="BC21" s="55" t="s">
        <v>286</v>
      </c>
      <c r="BD21" s="55" t="s">
        <v>286</v>
      </c>
      <c r="BE21" s="55" t="s">
        <v>286</v>
      </c>
      <c r="BF21" s="55" t="s">
        <v>286</v>
      </c>
      <c r="BG21" s="55" t="s">
        <v>286</v>
      </c>
      <c r="BH21" s="55" t="s">
        <v>286</v>
      </c>
      <c r="BI21" s="55" t="s">
        <v>286</v>
      </c>
      <c r="BJ21" s="55" t="s">
        <v>286</v>
      </c>
      <c r="BK21" s="55" t="s">
        <v>286</v>
      </c>
      <c r="BL21" s="55" t="s">
        <v>286</v>
      </c>
      <c r="BM21" s="55" t="s">
        <v>286</v>
      </c>
      <c r="BN21" s="55" t="s">
        <v>286</v>
      </c>
      <c r="BO21" s="55" t="s">
        <v>286</v>
      </c>
      <c r="BP21" s="55" t="s">
        <v>286</v>
      </c>
      <c r="BQ21" s="55" t="s">
        <v>286</v>
      </c>
      <c r="BR21" s="55" t="s">
        <v>286</v>
      </c>
      <c r="BS21" s="55" t="s">
        <v>286</v>
      </c>
      <c r="BT21" s="55" t="s">
        <v>286</v>
      </c>
      <c r="BU21" s="55" t="s">
        <v>286</v>
      </c>
      <c r="BV21" s="55" t="s">
        <v>286</v>
      </c>
      <c r="BW21" s="55" t="s">
        <v>286</v>
      </c>
      <c r="BX21" s="55" t="s">
        <v>286</v>
      </c>
      <c r="BY21" s="57" t="s">
        <v>286</v>
      </c>
      <c r="BZ21" s="55" t="s">
        <v>286</v>
      </c>
      <c r="CA21" s="55" t="s">
        <v>286</v>
      </c>
      <c r="CB21" s="55" t="s">
        <v>286</v>
      </c>
      <c r="CC21" s="55" t="s">
        <v>286</v>
      </c>
      <c r="CD21" s="55" t="s">
        <v>286</v>
      </c>
      <c r="CE21" s="55" t="s">
        <v>286</v>
      </c>
      <c r="CF21" s="55" t="s">
        <v>286</v>
      </c>
      <c r="CG21" s="55" t="s">
        <v>286</v>
      </c>
      <c r="CH21" s="55" t="s">
        <v>286</v>
      </c>
      <c r="CI21" s="55" t="s">
        <v>286</v>
      </c>
      <c r="CJ21" s="55" t="s">
        <v>286</v>
      </c>
      <c r="CK21" s="55" t="s">
        <v>286</v>
      </c>
      <c r="CL21" s="55" t="s">
        <v>286</v>
      </c>
      <c r="CM21" s="55" t="s">
        <v>286</v>
      </c>
      <c r="CN21" s="55" t="s">
        <v>286</v>
      </c>
      <c r="CO21" s="55" t="s">
        <v>286</v>
      </c>
      <c r="CP21" s="55" t="s">
        <v>286</v>
      </c>
      <c r="CQ21" s="55" t="s">
        <v>286</v>
      </c>
      <c r="CR21" s="55" t="s">
        <v>286</v>
      </c>
      <c r="CS21" s="55" t="s">
        <v>286</v>
      </c>
      <c r="CT21" s="55" t="s">
        <v>286</v>
      </c>
      <c r="CU21" s="55" t="s">
        <v>286</v>
      </c>
      <c r="CV21" s="55" t="s">
        <v>286</v>
      </c>
      <c r="CW21" s="55" t="s">
        <v>286</v>
      </c>
      <c r="CX21" s="57" t="s">
        <v>286</v>
      </c>
    </row>
    <row r="22" spans="1:102" x14ac:dyDescent="0.2">
      <c r="A22" s="56" t="s">
        <v>297</v>
      </c>
      <c r="C22" s="10">
        <v>244.49799999999999</v>
      </c>
      <c r="D22" s="10">
        <v>236.989</v>
      </c>
      <c r="E22" s="10">
        <v>231.01499999999999</v>
      </c>
      <c r="F22" s="10">
        <v>224.00399999999999</v>
      </c>
      <c r="G22" s="10">
        <v>217</v>
      </c>
      <c r="H22" s="10">
        <v>211.51400000000001</v>
      </c>
      <c r="I22" s="10">
        <v>205.011</v>
      </c>
      <c r="J22" s="10">
        <v>205.011</v>
      </c>
      <c r="K22" s="10">
        <v>205.011</v>
      </c>
      <c r="L22" s="10">
        <v>205.011</v>
      </c>
      <c r="M22" s="10">
        <v>205.011</v>
      </c>
      <c r="N22" s="10">
        <v>205.011</v>
      </c>
      <c r="O22" s="10">
        <v>205.011</v>
      </c>
      <c r="P22" s="10">
        <v>205.011</v>
      </c>
      <c r="Q22" s="10">
        <v>205.011</v>
      </c>
      <c r="R22" s="10">
        <v>205.011</v>
      </c>
      <c r="S22" s="10">
        <v>205.011</v>
      </c>
      <c r="T22" s="10">
        <v>205.011</v>
      </c>
      <c r="U22" s="10">
        <v>205.011</v>
      </c>
      <c r="V22" s="10">
        <v>205.011</v>
      </c>
      <c r="W22" s="10">
        <v>205.011</v>
      </c>
      <c r="X22" s="10">
        <v>205.011</v>
      </c>
      <c r="Y22" s="10">
        <v>205.011</v>
      </c>
      <c r="Z22" s="10">
        <v>205.011</v>
      </c>
      <c r="AA22" s="10">
        <v>205.011</v>
      </c>
      <c r="AB22" s="10">
        <v>205.011</v>
      </c>
      <c r="AC22" s="10">
        <v>205.011</v>
      </c>
      <c r="AD22" s="10">
        <v>205.011</v>
      </c>
      <c r="AE22" s="10">
        <v>205.011</v>
      </c>
      <c r="AF22" s="10">
        <v>205.011</v>
      </c>
      <c r="AG22" s="10">
        <v>205.011</v>
      </c>
      <c r="AH22" s="10">
        <v>205.011</v>
      </c>
      <c r="AI22" s="10">
        <v>205.011</v>
      </c>
      <c r="AJ22" s="10">
        <v>205.011</v>
      </c>
      <c r="AK22" s="10">
        <v>205.011</v>
      </c>
      <c r="AL22" s="10">
        <v>205.011</v>
      </c>
      <c r="AM22" s="10">
        <v>205.011</v>
      </c>
      <c r="AN22" s="10">
        <v>205.011</v>
      </c>
      <c r="AO22" s="10">
        <v>205.011</v>
      </c>
      <c r="AP22" s="10">
        <v>205.011</v>
      </c>
      <c r="AQ22" s="10">
        <v>205.011</v>
      </c>
      <c r="AR22" s="10">
        <v>205.011</v>
      </c>
      <c r="AS22" s="10">
        <v>205.011</v>
      </c>
      <c r="AT22" s="10">
        <v>205.011</v>
      </c>
      <c r="AU22" s="10">
        <v>205.011</v>
      </c>
      <c r="AV22" s="10">
        <v>205.011</v>
      </c>
      <c r="AW22" s="10">
        <v>205.011</v>
      </c>
      <c r="AX22" s="10">
        <v>205.011</v>
      </c>
      <c r="AY22" s="10">
        <v>205.011</v>
      </c>
      <c r="AZ22" s="10">
        <v>205.011</v>
      </c>
      <c r="BA22" s="10">
        <v>205.011</v>
      </c>
      <c r="BB22" s="10">
        <v>205.011</v>
      </c>
      <c r="BC22" s="10">
        <v>205.011</v>
      </c>
      <c r="BD22" s="10">
        <v>205.011</v>
      </c>
      <c r="BE22" s="10">
        <v>205.011</v>
      </c>
      <c r="BF22" s="10">
        <v>205.011</v>
      </c>
      <c r="BG22" s="10">
        <v>205.011</v>
      </c>
      <c r="BH22" s="10">
        <v>205.011</v>
      </c>
      <c r="BI22" s="10">
        <v>205.011</v>
      </c>
      <c r="BJ22" s="10">
        <v>205.011</v>
      </c>
      <c r="BK22" s="10">
        <v>205.011</v>
      </c>
      <c r="BL22" s="10">
        <v>205.011</v>
      </c>
      <c r="BM22" s="10">
        <v>205.011</v>
      </c>
      <c r="BN22" s="10">
        <v>205.011</v>
      </c>
      <c r="BO22" s="10">
        <v>205.011</v>
      </c>
      <c r="BP22" s="10">
        <v>205.011</v>
      </c>
      <c r="BQ22" s="10">
        <v>205.011</v>
      </c>
      <c r="BR22" s="10">
        <v>205.011</v>
      </c>
      <c r="BS22" s="10">
        <v>205.011</v>
      </c>
      <c r="BT22" s="10">
        <v>205.011</v>
      </c>
      <c r="BU22" s="10">
        <v>205.011</v>
      </c>
      <c r="BV22" s="10">
        <v>205.011</v>
      </c>
      <c r="BW22" s="10">
        <v>205.011</v>
      </c>
      <c r="BX22" s="10">
        <v>205.011</v>
      </c>
      <c r="BY22" s="10">
        <v>205.011</v>
      </c>
      <c r="BZ22" s="10">
        <v>205.011</v>
      </c>
      <c r="CA22" s="10">
        <v>205.011</v>
      </c>
      <c r="CB22" s="10">
        <v>205.011</v>
      </c>
      <c r="CC22" s="10">
        <v>205.011</v>
      </c>
      <c r="CD22" s="10">
        <v>205.011</v>
      </c>
      <c r="CE22" s="10">
        <v>205.011</v>
      </c>
      <c r="CF22" s="10">
        <v>205.011</v>
      </c>
      <c r="CG22" s="10">
        <v>205.011</v>
      </c>
      <c r="CH22" s="10">
        <v>205.011</v>
      </c>
      <c r="CI22" s="10">
        <v>205.011</v>
      </c>
      <c r="CJ22" s="10">
        <v>205.011</v>
      </c>
      <c r="CK22" s="10">
        <v>205.011</v>
      </c>
      <c r="CL22" s="10">
        <v>205.011</v>
      </c>
      <c r="CM22" s="10">
        <v>205.011</v>
      </c>
      <c r="CN22" s="10">
        <v>205.011</v>
      </c>
      <c r="CO22" s="10">
        <v>205.011</v>
      </c>
      <c r="CP22" s="10">
        <v>205.011</v>
      </c>
      <c r="CQ22" s="10">
        <v>205.011</v>
      </c>
      <c r="CR22" s="10">
        <v>205.011</v>
      </c>
      <c r="CS22" s="10">
        <v>205.011</v>
      </c>
      <c r="CT22" s="10">
        <v>205.011</v>
      </c>
      <c r="CU22" s="10">
        <v>205.011</v>
      </c>
      <c r="CV22" s="10">
        <v>205.011</v>
      </c>
      <c r="CW22" s="10">
        <v>205.011</v>
      </c>
      <c r="CX22" s="10">
        <v>205.011</v>
      </c>
    </row>
    <row r="23" spans="1:102" x14ac:dyDescent="0.2">
      <c r="A23" s="55"/>
      <c r="B23" s="55"/>
      <c r="C23" s="55" t="s">
        <v>286</v>
      </c>
      <c r="D23" s="55" t="s">
        <v>286</v>
      </c>
      <c r="E23" s="55" t="s">
        <v>286</v>
      </c>
      <c r="F23" s="55" t="s">
        <v>286</v>
      </c>
      <c r="G23" s="55" t="s">
        <v>286</v>
      </c>
      <c r="H23" s="55" t="s">
        <v>286</v>
      </c>
      <c r="I23" s="55" t="s">
        <v>286</v>
      </c>
      <c r="J23" s="55" t="s">
        <v>286</v>
      </c>
      <c r="K23" s="55" t="s">
        <v>286</v>
      </c>
      <c r="L23" s="55" t="s">
        <v>286</v>
      </c>
      <c r="M23" s="55" t="s">
        <v>286</v>
      </c>
      <c r="N23" s="55" t="s">
        <v>286</v>
      </c>
      <c r="O23" s="55" t="s">
        <v>286</v>
      </c>
      <c r="P23" s="55" t="s">
        <v>286</v>
      </c>
      <c r="Q23" s="55" t="s">
        <v>286</v>
      </c>
      <c r="R23" s="55" t="s">
        <v>286</v>
      </c>
      <c r="S23" s="55" t="s">
        <v>286</v>
      </c>
      <c r="T23" s="55" t="s">
        <v>286</v>
      </c>
      <c r="U23" s="55" t="s">
        <v>286</v>
      </c>
      <c r="V23" s="55" t="s">
        <v>286</v>
      </c>
      <c r="W23" s="55" t="s">
        <v>286</v>
      </c>
      <c r="X23" s="55" t="s">
        <v>286</v>
      </c>
      <c r="Y23" s="55" t="s">
        <v>286</v>
      </c>
      <c r="Z23" s="55" t="s">
        <v>286</v>
      </c>
      <c r="AA23" s="57" t="s">
        <v>286</v>
      </c>
      <c r="AB23" s="55" t="s">
        <v>286</v>
      </c>
      <c r="AC23" s="55" t="s">
        <v>286</v>
      </c>
      <c r="AD23" s="55" t="s">
        <v>286</v>
      </c>
      <c r="AE23" s="55" t="s">
        <v>286</v>
      </c>
      <c r="AF23" s="55" t="s">
        <v>286</v>
      </c>
      <c r="AG23" s="55" t="s">
        <v>286</v>
      </c>
      <c r="AH23" s="55" t="s">
        <v>286</v>
      </c>
      <c r="AI23" s="55" t="s">
        <v>286</v>
      </c>
      <c r="AJ23" s="55" t="s">
        <v>286</v>
      </c>
      <c r="AK23" s="55" t="s">
        <v>286</v>
      </c>
      <c r="AL23" s="55" t="s">
        <v>286</v>
      </c>
      <c r="AM23" s="55" t="s">
        <v>286</v>
      </c>
      <c r="AN23" s="55" t="s">
        <v>286</v>
      </c>
      <c r="AO23" s="55" t="s">
        <v>286</v>
      </c>
      <c r="AP23" s="55" t="s">
        <v>286</v>
      </c>
      <c r="AQ23" s="55" t="s">
        <v>286</v>
      </c>
      <c r="AR23" s="55" t="s">
        <v>286</v>
      </c>
      <c r="AS23" s="55" t="s">
        <v>286</v>
      </c>
      <c r="AT23" s="55" t="s">
        <v>286</v>
      </c>
      <c r="AU23" s="55" t="s">
        <v>286</v>
      </c>
      <c r="AV23" s="55" t="s">
        <v>286</v>
      </c>
      <c r="AW23" s="55" t="s">
        <v>286</v>
      </c>
      <c r="AX23" s="55" t="s">
        <v>286</v>
      </c>
      <c r="AY23" s="55" t="s">
        <v>286</v>
      </c>
      <c r="AZ23" s="57" t="s">
        <v>286</v>
      </c>
      <c r="BA23" s="55" t="s">
        <v>286</v>
      </c>
      <c r="BB23" s="55" t="s">
        <v>286</v>
      </c>
      <c r="BC23" s="55" t="s">
        <v>286</v>
      </c>
      <c r="BD23" s="55" t="s">
        <v>286</v>
      </c>
      <c r="BE23" s="55" t="s">
        <v>286</v>
      </c>
      <c r="BF23" s="55" t="s">
        <v>286</v>
      </c>
      <c r="BG23" s="55" t="s">
        <v>286</v>
      </c>
      <c r="BH23" s="55" t="s">
        <v>286</v>
      </c>
      <c r="BI23" s="55" t="s">
        <v>286</v>
      </c>
      <c r="BJ23" s="55" t="s">
        <v>286</v>
      </c>
      <c r="BK23" s="55" t="s">
        <v>286</v>
      </c>
      <c r="BL23" s="55" t="s">
        <v>286</v>
      </c>
      <c r="BM23" s="55" t="s">
        <v>286</v>
      </c>
      <c r="BN23" s="55" t="s">
        <v>286</v>
      </c>
      <c r="BO23" s="55" t="s">
        <v>286</v>
      </c>
      <c r="BP23" s="55" t="s">
        <v>286</v>
      </c>
      <c r="BQ23" s="55" t="s">
        <v>286</v>
      </c>
      <c r="BR23" s="55" t="s">
        <v>286</v>
      </c>
      <c r="BS23" s="55" t="s">
        <v>286</v>
      </c>
      <c r="BT23" s="55" t="s">
        <v>286</v>
      </c>
      <c r="BU23" s="55" t="s">
        <v>286</v>
      </c>
      <c r="BV23" s="55" t="s">
        <v>286</v>
      </c>
      <c r="BW23" s="55" t="s">
        <v>286</v>
      </c>
      <c r="BX23" s="55" t="s">
        <v>286</v>
      </c>
      <c r="BY23" s="57" t="s">
        <v>286</v>
      </c>
      <c r="BZ23" s="55" t="s">
        <v>286</v>
      </c>
      <c r="CA23" s="55" t="s">
        <v>286</v>
      </c>
      <c r="CB23" s="55" t="s">
        <v>286</v>
      </c>
      <c r="CC23" s="55" t="s">
        <v>286</v>
      </c>
      <c r="CD23" s="55" t="s">
        <v>286</v>
      </c>
      <c r="CE23" s="55" t="s">
        <v>286</v>
      </c>
      <c r="CF23" s="55" t="s">
        <v>286</v>
      </c>
      <c r="CG23" s="55" t="s">
        <v>286</v>
      </c>
      <c r="CH23" s="55" t="s">
        <v>286</v>
      </c>
      <c r="CI23" s="55" t="s">
        <v>286</v>
      </c>
      <c r="CJ23" s="55" t="s">
        <v>286</v>
      </c>
      <c r="CK23" s="55" t="s">
        <v>286</v>
      </c>
      <c r="CL23" s="55" t="s">
        <v>286</v>
      </c>
      <c r="CM23" s="55" t="s">
        <v>286</v>
      </c>
      <c r="CN23" s="55" t="s">
        <v>286</v>
      </c>
      <c r="CO23" s="55" t="s">
        <v>286</v>
      </c>
      <c r="CP23" s="55" t="s">
        <v>286</v>
      </c>
      <c r="CQ23" s="55" t="s">
        <v>286</v>
      </c>
      <c r="CR23" s="55" t="s">
        <v>286</v>
      </c>
      <c r="CS23" s="55" t="s">
        <v>286</v>
      </c>
      <c r="CT23" s="55" t="s">
        <v>286</v>
      </c>
      <c r="CU23" s="55" t="s">
        <v>286</v>
      </c>
      <c r="CV23" s="55" t="s">
        <v>286</v>
      </c>
      <c r="CW23" s="55" t="s">
        <v>286</v>
      </c>
      <c r="CX23" s="57" t="s">
        <v>286</v>
      </c>
    </row>
    <row r="24" spans="1:102" x14ac:dyDescent="0.2">
      <c r="A24" s="56" t="s">
        <v>298</v>
      </c>
      <c r="C24" s="10">
        <v>269.46100000000001</v>
      </c>
      <c r="D24" s="10">
        <v>245.12899999999999</v>
      </c>
      <c r="E24" s="10">
        <v>248.49100000000001</v>
      </c>
      <c r="F24" s="10">
        <v>237.477</v>
      </c>
      <c r="G24" s="10">
        <v>223.14</v>
      </c>
      <c r="H24" s="10">
        <v>207.154</v>
      </c>
      <c r="I24" s="10">
        <v>189.9</v>
      </c>
      <c r="J24" s="10">
        <v>179.07599999999999</v>
      </c>
      <c r="K24" s="10">
        <v>168.327</v>
      </c>
      <c r="L24" s="10">
        <v>157.80799999999999</v>
      </c>
      <c r="M24" s="10">
        <v>147.87700000000001</v>
      </c>
      <c r="N24" s="10">
        <v>138.792</v>
      </c>
      <c r="O24" s="10">
        <v>130.29400000000001</v>
      </c>
      <c r="P24" s="10">
        <v>122.60899999999999</v>
      </c>
      <c r="Q24" s="10">
        <v>116.21599999999999</v>
      </c>
      <c r="R24" s="10">
        <v>112.261</v>
      </c>
      <c r="S24" s="10">
        <v>110.803</v>
      </c>
      <c r="T24" s="10">
        <v>110.393</v>
      </c>
      <c r="U24" s="10">
        <v>110.61499999999999</v>
      </c>
      <c r="V24" s="10">
        <v>111.32599999999999</v>
      </c>
      <c r="W24" s="10">
        <v>111.7</v>
      </c>
      <c r="X24" s="10">
        <v>111.459</v>
      </c>
      <c r="Y24" s="10">
        <v>110.78</v>
      </c>
      <c r="Z24" s="10">
        <v>109.502</v>
      </c>
      <c r="AA24" s="10">
        <v>106.42</v>
      </c>
      <c r="AB24" s="10">
        <v>101.40300000000001</v>
      </c>
      <c r="AC24" s="10">
        <v>95.281999999999996</v>
      </c>
      <c r="AD24" s="10">
        <v>87.876999999999995</v>
      </c>
      <c r="AE24" s="10">
        <v>79.251000000000005</v>
      </c>
      <c r="AF24" s="10">
        <v>69.644999999999996</v>
      </c>
      <c r="AG24" s="10">
        <v>59.616</v>
      </c>
      <c r="AH24" s="10">
        <v>49.514000000000003</v>
      </c>
      <c r="AI24" s="10">
        <v>39.457000000000001</v>
      </c>
      <c r="AJ24" s="10">
        <v>29.719000000000001</v>
      </c>
      <c r="AK24" s="10">
        <v>20.754999999999999</v>
      </c>
      <c r="AL24" s="10">
        <v>12.945</v>
      </c>
      <c r="AM24" s="10">
        <v>6.4390000000000001</v>
      </c>
      <c r="AN24" s="10">
        <v>1.2649999999999999</v>
      </c>
      <c r="AO24" s="10">
        <v>-2.5779999999999998</v>
      </c>
      <c r="AP24" s="10">
        <v>-5.1100000000000003</v>
      </c>
      <c r="AQ24" s="10">
        <v>-6.4859999999999998</v>
      </c>
      <c r="AR24" s="10">
        <v>-6.6779999999999999</v>
      </c>
      <c r="AS24" s="10">
        <v>-5.8520000000000003</v>
      </c>
      <c r="AT24" s="10">
        <v>-4.1379999999999999</v>
      </c>
      <c r="AU24" s="10">
        <v>-1.7749999999999999</v>
      </c>
      <c r="AV24" s="10">
        <v>0.998</v>
      </c>
      <c r="AW24" s="10">
        <v>3.952</v>
      </c>
      <c r="AX24" s="10">
        <v>6.9359999999999999</v>
      </c>
      <c r="AY24" s="10">
        <v>9.7460000000000004</v>
      </c>
      <c r="AZ24" s="10">
        <v>12.271000000000001</v>
      </c>
      <c r="BA24" s="10">
        <v>14.268000000000001</v>
      </c>
      <c r="BB24" s="10">
        <v>15.680999999999999</v>
      </c>
      <c r="BC24" s="10">
        <v>16.428999999999998</v>
      </c>
      <c r="BD24" s="10">
        <v>16.527999999999999</v>
      </c>
      <c r="BE24" s="10">
        <v>15.933999999999999</v>
      </c>
      <c r="BF24" s="10">
        <v>14.715999999999999</v>
      </c>
      <c r="BG24" s="10">
        <v>12.95</v>
      </c>
      <c r="BH24" s="10">
        <v>10.747</v>
      </c>
      <c r="BI24" s="10">
        <v>8.1760000000000002</v>
      </c>
      <c r="BJ24" s="10">
        <v>5.39</v>
      </c>
      <c r="BK24" s="10">
        <v>2.427</v>
      </c>
      <c r="BL24" s="10">
        <v>-0.59</v>
      </c>
      <c r="BM24" s="10">
        <v>-3.6</v>
      </c>
      <c r="BN24" s="10">
        <v>-6.5030000000000001</v>
      </c>
      <c r="BO24" s="10">
        <v>-9.2769999999999992</v>
      </c>
      <c r="BP24" s="10">
        <v>-11.885999999999999</v>
      </c>
      <c r="BQ24" s="10">
        <v>-14.204000000000001</v>
      </c>
      <c r="BR24" s="10">
        <v>-16.327000000000002</v>
      </c>
      <c r="BS24" s="10">
        <v>-18.155999999999999</v>
      </c>
      <c r="BT24" s="10">
        <v>-19.728999999999999</v>
      </c>
      <c r="BU24" s="10">
        <v>-21.045999999999999</v>
      </c>
      <c r="BV24" s="10">
        <v>-22.137</v>
      </c>
      <c r="BW24" s="10">
        <v>-23.007999999999999</v>
      </c>
      <c r="BX24" s="10">
        <v>-23.689</v>
      </c>
      <c r="BY24" s="10">
        <v>-24.265999999999998</v>
      </c>
      <c r="BZ24" s="10">
        <v>-24.827999999999999</v>
      </c>
      <c r="CA24" s="10">
        <v>-25.448</v>
      </c>
      <c r="CB24" s="10">
        <v>-26.141999999999999</v>
      </c>
      <c r="CC24" s="10">
        <v>-27.013000000000002</v>
      </c>
      <c r="CD24" s="10">
        <v>-27.995000000000001</v>
      </c>
      <c r="CE24" s="10">
        <v>-29.111999999999998</v>
      </c>
      <c r="CF24" s="10">
        <v>-30.31</v>
      </c>
      <c r="CG24" s="10">
        <v>-31.56</v>
      </c>
      <c r="CH24" s="10">
        <v>-32.713000000000001</v>
      </c>
      <c r="CI24" s="10">
        <v>-33.627000000000002</v>
      </c>
      <c r="CJ24" s="10">
        <v>-34.215000000000003</v>
      </c>
      <c r="CK24" s="10">
        <v>-34.319000000000003</v>
      </c>
      <c r="CL24" s="10">
        <v>-33.853999999999999</v>
      </c>
      <c r="CM24" s="10">
        <v>-32.817</v>
      </c>
      <c r="CN24" s="10">
        <v>-31.106999999999999</v>
      </c>
      <c r="CO24" s="10">
        <v>-28.800999999999998</v>
      </c>
      <c r="CP24" s="10">
        <v>-25.890999999999998</v>
      </c>
      <c r="CQ24" s="10">
        <v>-22.498999999999999</v>
      </c>
      <c r="CR24" s="10">
        <v>-18.763000000000002</v>
      </c>
      <c r="CS24" s="10">
        <v>-14.82</v>
      </c>
      <c r="CT24" s="10">
        <v>-10.863</v>
      </c>
      <c r="CU24" s="10">
        <v>-7.0060000000000002</v>
      </c>
      <c r="CV24" s="10">
        <v>-3.4180000000000001</v>
      </c>
      <c r="CW24" s="10">
        <v>-0.20499999999999999</v>
      </c>
      <c r="CX24" s="10">
        <v>2.5510000000000002</v>
      </c>
    </row>
    <row r="25" spans="1:102" x14ac:dyDescent="0.2">
      <c r="C25" s="55" t="s">
        <v>286</v>
      </c>
      <c r="D25" s="55" t="s">
        <v>286</v>
      </c>
      <c r="E25" s="55" t="s">
        <v>286</v>
      </c>
      <c r="F25" s="55" t="s">
        <v>286</v>
      </c>
      <c r="G25" s="55" t="s">
        <v>286</v>
      </c>
      <c r="H25" s="55" t="s">
        <v>286</v>
      </c>
      <c r="I25" s="55" t="s">
        <v>286</v>
      </c>
      <c r="J25" s="55" t="s">
        <v>286</v>
      </c>
      <c r="K25" s="55" t="s">
        <v>286</v>
      </c>
      <c r="L25" s="55" t="s">
        <v>286</v>
      </c>
      <c r="M25" s="55" t="s">
        <v>286</v>
      </c>
      <c r="N25" s="55" t="s">
        <v>286</v>
      </c>
      <c r="O25" s="55" t="s">
        <v>286</v>
      </c>
      <c r="P25" s="55" t="s">
        <v>286</v>
      </c>
      <c r="Q25" s="55" t="s">
        <v>286</v>
      </c>
      <c r="R25" s="55" t="s">
        <v>286</v>
      </c>
      <c r="S25" s="55" t="s">
        <v>286</v>
      </c>
      <c r="T25" s="55" t="s">
        <v>286</v>
      </c>
      <c r="U25" s="55" t="s">
        <v>286</v>
      </c>
      <c r="V25" s="55" t="s">
        <v>286</v>
      </c>
      <c r="W25" s="55" t="s">
        <v>286</v>
      </c>
      <c r="X25" s="55" t="s">
        <v>286</v>
      </c>
      <c r="Y25" s="55" t="s">
        <v>286</v>
      </c>
      <c r="Z25" s="55" t="s">
        <v>286</v>
      </c>
      <c r="AA25" s="57" t="s">
        <v>286</v>
      </c>
      <c r="AB25" s="55" t="s">
        <v>286</v>
      </c>
      <c r="AC25" s="55" t="s">
        <v>286</v>
      </c>
      <c r="AD25" s="55" t="s">
        <v>286</v>
      </c>
      <c r="AE25" s="55" t="s">
        <v>286</v>
      </c>
      <c r="AF25" s="55" t="s">
        <v>286</v>
      </c>
      <c r="AG25" s="55" t="s">
        <v>286</v>
      </c>
      <c r="AH25" s="55" t="s">
        <v>286</v>
      </c>
      <c r="AI25" s="55" t="s">
        <v>286</v>
      </c>
      <c r="AJ25" s="55" t="s">
        <v>286</v>
      </c>
      <c r="AK25" s="55" t="s">
        <v>286</v>
      </c>
      <c r="AL25" s="55" t="s">
        <v>286</v>
      </c>
      <c r="AM25" s="55" t="s">
        <v>286</v>
      </c>
      <c r="AN25" s="55" t="s">
        <v>286</v>
      </c>
      <c r="AO25" s="55" t="s">
        <v>286</v>
      </c>
      <c r="AP25" s="55" t="s">
        <v>286</v>
      </c>
      <c r="AQ25" s="55" t="s">
        <v>286</v>
      </c>
      <c r="AR25" s="55" t="s">
        <v>286</v>
      </c>
      <c r="AS25" s="55" t="s">
        <v>286</v>
      </c>
      <c r="AT25" s="55" t="s">
        <v>286</v>
      </c>
      <c r="AU25" s="55" t="s">
        <v>286</v>
      </c>
      <c r="AV25" s="55" t="s">
        <v>286</v>
      </c>
      <c r="AW25" s="55" t="s">
        <v>286</v>
      </c>
      <c r="AX25" s="55" t="s">
        <v>286</v>
      </c>
      <c r="AY25" s="55" t="s">
        <v>286</v>
      </c>
      <c r="AZ25" s="57" t="s">
        <v>286</v>
      </c>
      <c r="BA25" s="55" t="s">
        <v>286</v>
      </c>
      <c r="BB25" s="55" t="s">
        <v>286</v>
      </c>
      <c r="BC25" s="55" t="s">
        <v>286</v>
      </c>
      <c r="BD25" s="55" t="s">
        <v>286</v>
      </c>
      <c r="BE25" s="55" t="s">
        <v>286</v>
      </c>
      <c r="BF25" s="55" t="s">
        <v>286</v>
      </c>
      <c r="BG25" s="55" t="s">
        <v>286</v>
      </c>
      <c r="BH25" s="55" t="s">
        <v>286</v>
      </c>
      <c r="BI25" s="55" t="s">
        <v>286</v>
      </c>
      <c r="BJ25" s="55" t="s">
        <v>286</v>
      </c>
      <c r="BK25" s="55" t="s">
        <v>286</v>
      </c>
      <c r="BL25" s="55" t="s">
        <v>286</v>
      </c>
      <c r="BM25" s="55" t="s">
        <v>286</v>
      </c>
      <c r="BN25" s="55" t="s">
        <v>286</v>
      </c>
      <c r="BO25" s="55" t="s">
        <v>286</v>
      </c>
      <c r="BP25" s="55" t="s">
        <v>286</v>
      </c>
      <c r="BQ25" s="55" t="s">
        <v>286</v>
      </c>
      <c r="BR25" s="55" t="s">
        <v>286</v>
      </c>
      <c r="BS25" s="55" t="s">
        <v>286</v>
      </c>
      <c r="BT25" s="55" t="s">
        <v>286</v>
      </c>
      <c r="BU25" s="55" t="s">
        <v>286</v>
      </c>
      <c r="BV25" s="55" t="s">
        <v>286</v>
      </c>
      <c r="BW25" s="55" t="s">
        <v>286</v>
      </c>
      <c r="BX25" s="55" t="s">
        <v>286</v>
      </c>
      <c r="BY25" s="57" t="s">
        <v>286</v>
      </c>
      <c r="BZ25" s="55" t="s">
        <v>286</v>
      </c>
      <c r="CA25" s="55" t="s">
        <v>286</v>
      </c>
      <c r="CB25" s="55" t="s">
        <v>286</v>
      </c>
      <c r="CC25" s="55" t="s">
        <v>286</v>
      </c>
      <c r="CD25" s="55" t="s">
        <v>286</v>
      </c>
      <c r="CE25" s="55" t="s">
        <v>286</v>
      </c>
      <c r="CF25" s="55" t="s">
        <v>286</v>
      </c>
      <c r="CG25" s="55" t="s">
        <v>286</v>
      </c>
      <c r="CH25" s="55" t="s">
        <v>286</v>
      </c>
      <c r="CI25" s="55" t="s">
        <v>286</v>
      </c>
      <c r="CJ25" s="55" t="s">
        <v>286</v>
      </c>
      <c r="CK25" s="55" t="s">
        <v>286</v>
      </c>
      <c r="CL25" s="55" t="s">
        <v>286</v>
      </c>
      <c r="CM25" s="55" t="s">
        <v>286</v>
      </c>
      <c r="CN25" s="55" t="s">
        <v>286</v>
      </c>
      <c r="CO25" s="55" t="s">
        <v>286</v>
      </c>
      <c r="CP25" s="55" t="s">
        <v>286</v>
      </c>
      <c r="CQ25" s="55" t="s">
        <v>286</v>
      </c>
      <c r="CR25" s="55" t="s">
        <v>286</v>
      </c>
      <c r="CS25" s="55" t="s">
        <v>286</v>
      </c>
      <c r="CT25" s="55" t="s">
        <v>286</v>
      </c>
      <c r="CU25" s="55" t="s">
        <v>286</v>
      </c>
      <c r="CV25" s="55" t="s">
        <v>286</v>
      </c>
      <c r="CW25" s="55" t="s">
        <v>286</v>
      </c>
      <c r="CX25" s="57" t="s">
        <v>286</v>
      </c>
    </row>
    <row r="26" spans="1:102" x14ac:dyDescent="0.2">
      <c r="A26" s="56" t="s">
        <v>121</v>
      </c>
      <c r="C26" s="10">
        <v>67350.695000000007</v>
      </c>
      <c r="D26" s="10">
        <v>67595.823999999993</v>
      </c>
      <c r="E26" s="10">
        <v>67844.315000000002</v>
      </c>
      <c r="F26" s="10">
        <v>68081.792000000001</v>
      </c>
      <c r="G26" s="10">
        <v>68304.932000000001</v>
      </c>
      <c r="H26" s="10">
        <v>68512.085999999996</v>
      </c>
      <c r="I26" s="10">
        <v>68701.986000000004</v>
      </c>
      <c r="J26" s="10">
        <v>68881.062000000005</v>
      </c>
      <c r="K26" s="10">
        <v>69049.388999999996</v>
      </c>
      <c r="L26" s="10">
        <v>69207.197</v>
      </c>
      <c r="M26" s="10">
        <v>69355.073999999993</v>
      </c>
      <c r="N26" s="10">
        <v>69493.865999999995</v>
      </c>
      <c r="O26" s="10">
        <v>69624.160000000003</v>
      </c>
      <c r="P26" s="10">
        <v>69746.769</v>
      </c>
      <c r="Q26" s="10">
        <v>69862.985000000001</v>
      </c>
      <c r="R26" s="10">
        <v>69975.245999999999</v>
      </c>
      <c r="S26" s="10">
        <v>70086.048999999999</v>
      </c>
      <c r="T26" s="10">
        <v>70196.441999999995</v>
      </c>
      <c r="U26" s="10">
        <v>70307.057000000001</v>
      </c>
      <c r="V26" s="10">
        <v>70418.383000000002</v>
      </c>
      <c r="W26" s="10">
        <v>70530.082999999999</v>
      </c>
      <c r="X26" s="10">
        <v>70641.542000000001</v>
      </c>
      <c r="Y26" s="10">
        <v>70752.322</v>
      </c>
      <c r="Z26" s="10">
        <v>70861.823999999993</v>
      </c>
      <c r="AA26" s="10">
        <v>70968.244000000006</v>
      </c>
      <c r="AB26" s="10">
        <v>71069.646999999997</v>
      </c>
      <c r="AC26" s="10">
        <v>71164.929000000004</v>
      </c>
      <c r="AD26" s="10">
        <v>71252.805999999997</v>
      </c>
      <c r="AE26" s="10">
        <v>71332.057000000001</v>
      </c>
      <c r="AF26" s="10">
        <v>71401.702000000005</v>
      </c>
      <c r="AG26" s="10">
        <v>71461.317999999999</v>
      </c>
      <c r="AH26" s="10">
        <v>71510.831999999995</v>
      </c>
      <c r="AI26" s="10">
        <v>71550.289000000004</v>
      </c>
      <c r="AJ26" s="10">
        <v>71580.008000000002</v>
      </c>
      <c r="AK26" s="10">
        <v>71600.763000000006</v>
      </c>
      <c r="AL26" s="10">
        <v>71613.707999999999</v>
      </c>
      <c r="AM26" s="10">
        <v>71620.146999999997</v>
      </c>
      <c r="AN26" s="10">
        <v>71621.411999999997</v>
      </c>
      <c r="AO26" s="10">
        <v>71618.834000000003</v>
      </c>
      <c r="AP26" s="10">
        <v>71613.724000000002</v>
      </c>
      <c r="AQ26" s="10">
        <v>71607.237999999998</v>
      </c>
      <c r="AR26" s="10">
        <v>71600.56</v>
      </c>
      <c r="AS26" s="10">
        <v>71594.707999999999</v>
      </c>
      <c r="AT26" s="10">
        <v>71590.570000000007</v>
      </c>
      <c r="AU26" s="10">
        <v>71588.794999999998</v>
      </c>
      <c r="AV26" s="10">
        <v>71589.793000000005</v>
      </c>
      <c r="AW26" s="10">
        <v>71593.744999999995</v>
      </c>
      <c r="AX26" s="10">
        <v>71600.680999999997</v>
      </c>
      <c r="AY26" s="10">
        <v>71610.426999999996</v>
      </c>
      <c r="AZ26" s="10">
        <v>71622.698000000004</v>
      </c>
      <c r="BA26" s="10">
        <v>71636.966</v>
      </c>
      <c r="BB26" s="10">
        <v>71652.646999999997</v>
      </c>
      <c r="BC26" s="10">
        <v>71669.076000000001</v>
      </c>
      <c r="BD26" s="10">
        <v>71685.604000000007</v>
      </c>
      <c r="BE26" s="10">
        <v>71701.538</v>
      </c>
      <c r="BF26" s="10">
        <v>71716.254000000001</v>
      </c>
      <c r="BG26" s="10">
        <v>71729.203999999998</v>
      </c>
      <c r="BH26" s="10">
        <v>71739.951000000001</v>
      </c>
      <c r="BI26" s="10">
        <v>71748.126999999993</v>
      </c>
      <c r="BJ26" s="10">
        <v>71753.517000000007</v>
      </c>
      <c r="BK26" s="10">
        <v>71755.944000000003</v>
      </c>
      <c r="BL26" s="10">
        <v>71755.354000000007</v>
      </c>
      <c r="BM26" s="10">
        <v>71751.754000000001</v>
      </c>
      <c r="BN26" s="10">
        <v>71745.251000000004</v>
      </c>
      <c r="BO26" s="10">
        <v>71735.974000000002</v>
      </c>
      <c r="BP26" s="10">
        <v>71724.088000000003</v>
      </c>
      <c r="BQ26" s="10">
        <v>71709.884000000005</v>
      </c>
      <c r="BR26" s="10">
        <v>71693.557000000001</v>
      </c>
      <c r="BS26" s="10">
        <v>71675.400999999998</v>
      </c>
      <c r="BT26" s="10">
        <v>71655.672000000006</v>
      </c>
      <c r="BU26" s="10">
        <v>71634.626000000004</v>
      </c>
      <c r="BV26" s="10">
        <v>71612.489000000001</v>
      </c>
      <c r="BW26" s="10">
        <v>71589.481</v>
      </c>
      <c r="BX26" s="10">
        <v>71565.792000000001</v>
      </c>
      <c r="BY26" s="10">
        <v>71541.525999999998</v>
      </c>
      <c r="BZ26" s="10">
        <v>71516.698000000004</v>
      </c>
      <c r="CA26" s="10">
        <v>71491.25</v>
      </c>
      <c r="CB26" s="10">
        <v>71465.107999999993</v>
      </c>
      <c r="CC26" s="10">
        <v>71438.095000000001</v>
      </c>
      <c r="CD26" s="10">
        <v>71410.100000000006</v>
      </c>
      <c r="CE26" s="10">
        <v>71380.987999999998</v>
      </c>
      <c r="CF26" s="10">
        <v>71350.678</v>
      </c>
      <c r="CG26" s="10">
        <v>71319.118000000002</v>
      </c>
      <c r="CH26" s="10">
        <v>71286.404999999999</v>
      </c>
      <c r="CI26" s="10">
        <v>71252.778000000006</v>
      </c>
      <c r="CJ26" s="10">
        <v>71218.562999999995</v>
      </c>
      <c r="CK26" s="10">
        <v>71184.244000000006</v>
      </c>
      <c r="CL26" s="10">
        <v>71150.39</v>
      </c>
      <c r="CM26" s="10">
        <v>71117.573000000004</v>
      </c>
      <c r="CN26" s="10">
        <v>71086.466</v>
      </c>
      <c r="CO26" s="10">
        <v>71057.664999999994</v>
      </c>
      <c r="CP26" s="10">
        <v>71031.774000000005</v>
      </c>
      <c r="CQ26" s="10">
        <v>71009.274999999994</v>
      </c>
      <c r="CR26" s="10">
        <v>70990.512000000002</v>
      </c>
      <c r="CS26" s="10">
        <v>70975.691999999995</v>
      </c>
      <c r="CT26" s="10">
        <v>70964.828999999998</v>
      </c>
      <c r="CU26" s="10">
        <v>70957.823000000004</v>
      </c>
      <c r="CV26" s="10">
        <v>70954.404999999999</v>
      </c>
      <c r="CW26" s="10">
        <v>70954.2</v>
      </c>
      <c r="CX26" s="10">
        <v>70956.751000000004</v>
      </c>
    </row>
    <row r="27" spans="1:102" ht="8.25" customHeight="1" thickBot="1" x14ac:dyDescent="0.25">
      <c r="A27" s="58"/>
      <c r="B27" s="58"/>
      <c r="C27" s="59"/>
      <c r="D27" s="60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9"/>
      <c r="AE27" s="60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  <c r="BF27" s="60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9"/>
      <c r="CG27" s="60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</row>
    <row r="28" spans="1:102" x14ac:dyDescent="0.2">
      <c r="A28" s="56" t="s">
        <v>299</v>
      </c>
      <c r="B28" s="61"/>
      <c r="C28" s="62">
        <v>4.0169356000000003E-3</v>
      </c>
      <c r="D28" s="62">
        <v>3.6395911999999998E-3</v>
      </c>
      <c r="E28" s="62">
        <v>3.6761294999999999E-3</v>
      </c>
      <c r="F28" s="62">
        <v>3.5003228E-3</v>
      </c>
      <c r="G28" s="62">
        <v>3.2775283000000001E-3</v>
      </c>
      <c r="H28" s="62">
        <v>3.0327825000000001E-3</v>
      </c>
      <c r="I28" s="62">
        <v>2.7717737000000002E-3</v>
      </c>
      <c r="J28" s="62">
        <v>2.6065621999999998E-3</v>
      </c>
      <c r="K28" s="62">
        <v>2.4437341E-3</v>
      </c>
      <c r="L28" s="62">
        <v>2.2854365999999998E-3</v>
      </c>
      <c r="M28" s="62">
        <v>2.1367285999999998E-3</v>
      </c>
      <c r="N28" s="62">
        <v>2.0011802E-3</v>
      </c>
      <c r="O28" s="62">
        <v>1.8748993000000001E-3</v>
      </c>
      <c r="P28" s="62">
        <v>1.7610123000000001E-3</v>
      </c>
      <c r="Q28" s="62">
        <v>1.6662564E-3</v>
      </c>
      <c r="R28" s="62">
        <v>1.6068738E-3</v>
      </c>
      <c r="S28" s="62">
        <v>1.5834600000000001E-3</v>
      </c>
      <c r="T28" s="62">
        <v>1.5751065999999999E-3</v>
      </c>
      <c r="U28" s="62">
        <v>1.5757920999999999E-3</v>
      </c>
      <c r="V28" s="62">
        <v>1.5834257000000001E-3</v>
      </c>
      <c r="W28" s="62">
        <v>1.5862335E-3</v>
      </c>
      <c r="X28" s="62">
        <v>1.5803044E-3</v>
      </c>
      <c r="Y28" s="62">
        <v>1.5681991E-3</v>
      </c>
      <c r="Z28" s="62">
        <v>1.5476807000000001E-3</v>
      </c>
      <c r="AA28" s="62">
        <v>1.5017959000000001E-3</v>
      </c>
      <c r="AB28" s="62">
        <v>1.4288503000000001E-3</v>
      </c>
      <c r="AC28" s="62">
        <v>1.3406849000000001E-3</v>
      </c>
      <c r="AD28" s="62">
        <v>1.2348357999999999E-3</v>
      </c>
      <c r="AE28" s="62">
        <v>1.1122509E-3</v>
      </c>
      <c r="AF28" s="62">
        <v>9.7634920000000001E-4</v>
      </c>
      <c r="AG28" s="62">
        <v>8.3493809999999995E-4</v>
      </c>
      <c r="AH28" s="62">
        <v>6.9287829999999996E-4</v>
      </c>
      <c r="AI28" s="62">
        <v>5.5176260000000001E-4</v>
      </c>
      <c r="AJ28" s="62">
        <v>4.1535820000000002E-4</v>
      </c>
      <c r="AK28" s="62">
        <v>2.8995529999999999E-4</v>
      </c>
      <c r="AL28" s="62">
        <v>1.807942E-4</v>
      </c>
      <c r="AM28" s="62">
        <v>8.9913000000000005E-5</v>
      </c>
      <c r="AN28" s="62">
        <v>1.7662599999999999E-5</v>
      </c>
      <c r="AO28" s="62">
        <v>-3.5994999999999997E-5</v>
      </c>
      <c r="AP28" s="62">
        <v>-7.135E-5</v>
      </c>
      <c r="AQ28" s="62">
        <v>-9.0569000000000006E-5</v>
      </c>
      <c r="AR28" s="62">
        <v>-9.3258999999999996E-5</v>
      </c>
      <c r="AS28" s="62">
        <v>-8.1730999999999994E-5</v>
      </c>
      <c r="AT28" s="62">
        <v>-5.7797999999999998E-5</v>
      </c>
      <c r="AU28" s="62">
        <v>-2.4794E-5</v>
      </c>
      <c r="AV28" s="62">
        <v>1.39407E-5</v>
      </c>
      <c r="AW28" s="62">
        <v>5.5203400000000001E-5</v>
      </c>
      <c r="AX28" s="62">
        <v>9.6879999999999994E-5</v>
      </c>
      <c r="AY28" s="62">
        <v>1.3611600000000001E-4</v>
      </c>
      <c r="AZ28" s="62">
        <v>1.7135769999999999E-4</v>
      </c>
      <c r="BA28" s="62">
        <v>1.992106E-4</v>
      </c>
      <c r="BB28" s="62">
        <v>2.1889540000000001E-4</v>
      </c>
      <c r="BC28" s="62">
        <v>2.2928670000000001E-4</v>
      </c>
      <c r="BD28" s="62">
        <v>2.3061549999999999E-4</v>
      </c>
      <c r="BE28" s="62">
        <v>2.2227609999999999E-4</v>
      </c>
      <c r="BF28" s="62">
        <v>2.0523970000000001E-4</v>
      </c>
      <c r="BG28" s="62">
        <v>1.8057270000000001E-4</v>
      </c>
      <c r="BH28" s="62">
        <v>1.498274E-4</v>
      </c>
      <c r="BI28" s="62">
        <v>1.139672E-4</v>
      </c>
      <c r="BJ28" s="62">
        <v>7.5123900000000001E-5</v>
      </c>
      <c r="BK28" s="62">
        <v>3.38241E-5</v>
      </c>
      <c r="BL28" s="82">
        <v>-8.2223150000000002E-6</v>
      </c>
      <c r="BM28" s="62">
        <v>-5.0170000000000002E-5</v>
      </c>
      <c r="BN28" s="62">
        <v>-9.0631999999999996E-5</v>
      </c>
      <c r="BO28" s="62">
        <v>-1.29305E-4</v>
      </c>
      <c r="BP28" s="62">
        <v>-1.6569100000000001E-4</v>
      </c>
      <c r="BQ28" s="62">
        <v>-1.98037E-4</v>
      </c>
      <c r="BR28" s="62">
        <v>-2.27681E-4</v>
      </c>
      <c r="BS28" s="62">
        <v>-2.5324499999999998E-4</v>
      </c>
      <c r="BT28" s="62">
        <v>-2.7525500000000002E-4</v>
      </c>
      <c r="BU28" s="62">
        <v>-2.9370999999999998E-4</v>
      </c>
      <c r="BV28" s="62">
        <v>-3.0902700000000002E-4</v>
      </c>
      <c r="BW28" s="62">
        <v>-3.2128499999999998E-4</v>
      </c>
      <c r="BX28" s="62">
        <v>-3.3090099999999998E-4</v>
      </c>
      <c r="BY28" s="62">
        <v>-3.3907300000000001E-4</v>
      </c>
      <c r="BZ28" s="62">
        <v>-3.47043E-4</v>
      </c>
      <c r="CA28" s="62">
        <v>-3.5583300000000001E-4</v>
      </c>
      <c r="CB28" s="62">
        <v>-3.6566700000000002E-4</v>
      </c>
      <c r="CC28" s="62">
        <v>-3.7798900000000002E-4</v>
      </c>
      <c r="CD28" s="62">
        <v>-3.9187800000000002E-4</v>
      </c>
      <c r="CE28" s="62">
        <v>-4.07673E-4</v>
      </c>
      <c r="CF28" s="62">
        <v>-4.24623E-4</v>
      </c>
      <c r="CG28" s="62">
        <v>-4.4232199999999998E-4</v>
      </c>
      <c r="CH28" s="62">
        <v>-4.5868500000000002E-4</v>
      </c>
      <c r="CI28" s="62">
        <v>-4.7171700000000002E-4</v>
      </c>
      <c r="CJ28" s="62">
        <v>-4.80192E-4</v>
      </c>
      <c r="CK28" s="62">
        <v>-4.8188300000000001E-4</v>
      </c>
      <c r="CL28" s="62">
        <v>-4.7558300000000002E-4</v>
      </c>
      <c r="CM28" s="62">
        <v>-4.6123399999999998E-4</v>
      </c>
      <c r="CN28" s="62">
        <v>-4.3740199999999998E-4</v>
      </c>
      <c r="CO28" s="62">
        <v>-4.0515400000000002E-4</v>
      </c>
      <c r="CP28" s="62">
        <v>-3.6436599999999997E-4</v>
      </c>
      <c r="CQ28" s="62">
        <v>-3.1674600000000002E-4</v>
      </c>
      <c r="CR28" s="62">
        <v>-2.64233E-4</v>
      </c>
      <c r="CS28" s="62">
        <v>-2.0876E-4</v>
      </c>
      <c r="CT28" s="62">
        <v>-1.5305200000000001E-4</v>
      </c>
      <c r="CU28" s="62">
        <v>-9.8725000000000001E-5</v>
      </c>
      <c r="CV28" s="62">
        <v>-4.8168999999999999E-5</v>
      </c>
      <c r="CW28" s="82">
        <v>-2.8891789999999999E-6</v>
      </c>
      <c r="CX28" s="62">
        <v>3.5952799999999999E-5</v>
      </c>
    </row>
    <row r="29" spans="1:102" x14ac:dyDescent="0.2">
      <c r="A29" s="56" t="s">
        <v>300</v>
      </c>
      <c r="C29" s="16">
        <v>1.5390966064</v>
      </c>
      <c r="D29" s="16">
        <v>1.5229524675999999</v>
      </c>
      <c r="E29" s="16">
        <v>1.5165086911000001</v>
      </c>
      <c r="F29" s="16">
        <v>1.5275646881</v>
      </c>
      <c r="G29" s="16">
        <v>1.5327667854</v>
      </c>
      <c r="H29" s="16">
        <v>1.5319737246</v>
      </c>
      <c r="I29" s="16">
        <v>1.531555564</v>
      </c>
      <c r="J29" s="16">
        <v>1.5315204074</v>
      </c>
      <c r="K29" s="16">
        <v>1.5318968272</v>
      </c>
      <c r="L29" s="16">
        <v>1.5326315042</v>
      </c>
      <c r="M29" s="16">
        <v>1.5337434970999999</v>
      </c>
      <c r="N29" s="16">
        <v>1.5352419632000001</v>
      </c>
      <c r="O29" s="16">
        <v>1.5362798519</v>
      </c>
      <c r="P29" s="16">
        <v>1.5368471488</v>
      </c>
      <c r="Q29" s="16">
        <v>1.5377580511</v>
      </c>
      <c r="R29" s="16">
        <v>1.5412438529000001</v>
      </c>
      <c r="S29" s="16">
        <v>1.5472468471</v>
      </c>
      <c r="T29" s="16">
        <v>1.5534748944000001</v>
      </c>
      <c r="U29" s="16">
        <v>1.5599341414000001</v>
      </c>
      <c r="V29" s="16">
        <v>1.5665862473000001</v>
      </c>
      <c r="W29" s="16">
        <v>1.5721041823999999</v>
      </c>
      <c r="X29" s="16">
        <v>1.5764676197</v>
      </c>
      <c r="Y29" s="16">
        <v>1.5809758966</v>
      </c>
      <c r="Z29" s="16">
        <v>1.5855726375000001</v>
      </c>
      <c r="AA29" s="16">
        <v>1.5880171256</v>
      </c>
      <c r="AB29" s="16">
        <v>1.5881751</v>
      </c>
      <c r="AC29" s="16">
        <v>1.5883680951000001</v>
      </c>
      <c r="AD29" s="16">
        <v>1.5885577843000001</v>
      </c>
      <c r="AE29" s="16">
        <v>1.5887018683</v>
      </c>
      <c r="AF29" s="16">
        <v>1.5888498735000001</v>
      </c>
      <c r="AG29" s="16">
        <v>1.5889639707000001</v>
      </c>
      <c r="AH29" s="16">
        <v>1.5890691240000001</v>
      </c>
      <c r="AI29" s="16">
        <v>1.5891937919000001</v>
      </c>
      <c r="AJ29" s="16">
        <v>1.5892636770999999</v>
      </c>
      <c r="AK29" s="16">
        <v>1.5893292728999999</v>
      </c>
      <c r="AL29" s="16">
        <v>1.5893958385</v>
      </c>
      <c r="AM29" s="16">
        <v>1.589448805</v>
      </c>
      <c r="AN29" s="16">
        <v>1.5894915060999999</v>
      </c>
      <c r="AO29" s="16">
        <v>1.5895349859000001</v>
      </c>
      <c r="AP29" s="16">
        <v>1.5895795937999999</v>
      </c>
      <c r="AQ29" s="16">
        <v>1.5896016171</v>
      </c>
      <c r="AR29" s="16">
        <v>1.5896696173</v>
      </c>
      <c r="AS29" s="16">
        <v>1.5897111084</v>
      </c>
      <c r="AT29" s="16">
        <v>1.5897408262999999</v>
      </c>
      <c r="AU29" s="16">
        <v>1.5897852307</v>
      </c>
      <c r="AV29" s="16">
        <v>1.5898535061000001</v>
      </c>
      <c r="AW29" s="16">
        <v>1.5899283742999999</v>
      </c>
      <c r="AX29" s="16">
        <v>1.5900210315000001</v>
      </c>
      <c r="AY29" s="16">
        <v>1.5901035435999999</v>
      </c>
      <c r="AZ29" s="16">
        <v>1.5902018229999999</v>
      </c>
      <c r="BA29" s="16">
        <v>1.5902906072</v>
      </c>
      <c r="BB29" s="16">
        <v>1.5904118345</v>
      </c>
      <c r="BC29" s="16">
        <v>1.5905205648</v>
      </c>
      <c r="BD29" s="16">
        <v>1.5906439357</v>
      </c>
      <c r="BE29" s="16">
        <v>1.5907734477</v>
      </c>
      <c r="BF29" s="16">
        <v>1.5908883488000001</v>
      </c>
      <c r="BG29" s="16">
        <v>1.5910092416999999</v>
      </c>
      <c r="BH29" s="16">
        <v>1.5911388072999999</v>
      </c>
      <c r="BI29" s="16">
        <v>1.5912381272</v>
      </c>
      <c r="BJ29" s="16">
        <v>1.5913577135999999</v>
      </c>
      <c r="BK29" s="16">
        <v>1.5914469363999999</v>
      </c>
      <c r="BL29" s="16">
        <v>1.5915519127</v>
      </c>
      <c r="BM29" s="16">
        <v>1.5916484171</v>
      </c>
      <c r="BN29" s="16">
        <v>1.5917362799999999</v>
      </c>
      <c r="BO29" s="16">
        <v>1.5918130345999999</v>
      </c>
      <c r="BP29" s="16">
        <v>1.5918823938</v>
      </c>
      <c r="BQ29" s="16">
        <v>1.5919604455</v>
      </c>
      <c r="BR29" s="16">
        <v>1.5920030283</v>
      </c>
      <c r="BS29" s="16">
        <v>1.5920651638000001</v>
      </c>
      <c r="BT29" s="16">
        <v>1.5921062601</v>
      </c>
      <c r="BU29" s="16">
        <v>1.5921654046</v>
      </c>
      <c r="BV29" s="16">
        <v>1.5922087495999999</v>
      </c>
      <c r="BW29" s="16">
        <v>1.5922283515</v>
      </c>
      <c r="BX29" s="16">
        <v>1.5922780139999999</v>
      </c>
      <c r="BY29" s="16">
        <v>1.5923313129000001</v>
      </c>
      <c r="BZ29" s="16">
        <v>1.5923848141000001</v>
      </c>
      <c r="CA29" s="16">
        <v>1.5924164478</v>
      </c>
      <c r="CB29" s="16">
        <v>1.5924785576</v>
      </c>
      <c r="CC29" s="16">
        <v>1.5925171892000001</v>
      </c>
      <c r="CD29" s="16">
        <v>1.5925816886999999</v>
      </c>
      <c r="CE29" s="16">
        <v>1.5926304809</v>
      </c>
      <c r="CF29" s="16">
        <v>1.5927149331999999</v>
      </c>
      <c r="CG29" s="16">
        <v>1.5927611451000001</v>
      </c>
      <c r="CH29" s="16">
        <v>1.5928416676999999</v>
      </c>
      <c r="CI29" s="16">
        <v>1.5929162429999999</v>
      </c>
      <c r="CJ29" s="16">
        <v>1.5929769675000001</v>
      </c>
      <c r="CK29" s="16">
        <v>1.5930537726</v>
      </c>
      <c r="CL29" s="16">
        <v>1.5931364197</v>
      </c>
      <c r="CM29" s="16">
        <v>1.5932222262</v>
      </c>
      <c r="CN29" s="16">
        <v>1.5932975042999999</v>
      </c>
      <c r="CO29" s="16">
        <v>1.5933809969999999</v>
      </c>
      <c r="CP29" s="16">
        <v>1.5934360406999999</v>
      </c>
      <c r="CQ29" s="16">
        <v>1.5935352986</v>
      </c>
      <c r="CR29" s="16">
        <v>1.5935737947999999</v>
      </c>
      <c r="CS29" s="16">
        <v>1.593638106</v>
      </c>
      <c r="CT29" s="16">
        <v>1.5936955881999999</v>
      </c>
      <c r="CU29" s="16">
        <v>1.593776708</v>
      </c>
      <c r="CV29" s="16">
        <v>1.5938040309999999</v>
      </c>
      <c r="CW29" s="16">
        <v>1.5938551311</v>
      </c>
      <c r="CX29" s="16">
        <v>1.5939040938</v>
      </c>
    </row>
    <row r="30" spans="1:102" x14ac:dyDescent="0.2">
      <c r="A30" s="56" t="s">
        <v>301</v>
      </c>
      <c r="C30" s="17">
        <v>79.183412997618504</v>
      </c>
      <c r="D30" s="17">
        <v>79.315101706944802</v>
      </c>
      <c r="E30" s="17">
        <v>79.807468539285395</v>
      </c>
      <c r="F30" s="17">
        <v>79.908799951218199</v>
      </c>
      <c r="G30" s="17">
        <v>80.008781028157699</v>
      </c>
      <c r="H30" s="17">
        <v>80.108872151354902</v>
      </c>
      <c r="I30" s="17">
        <v>80.208027663442493</v>
      </c>
      <c r="J30" s="17">
        <v>80.307280528105295</v>
      </c>
      <c r="K30" s="17">
        <v>80.405719867092202</v>
      </c>
      <c r="L30" s="17">
        <v>80.503945203174396</v>
      </c>
      <c r="M30" s="17">
        <v>80.603814471028699</v>
      </c>
      <c r="N30" s="17">
        <v>80.703940597645499</v>
      </c>
      <c r="O30" s="17">
        <v>80.805876994422604</v>
      </c>
      <c r="P30" s="17">
        <v>80.9073786473392</v>
      </c>
      <c r="Q30" s="17">
        <v>81.010887214763301</v>
      </c>
      <c r="R30" s="17">
        <v>81.116293257136206</v>
      </c>
      <c r="S30" s="17">
        <v>81.223048222548101</v>
      </c>
      <c r="T30" s="17">
        <v>81.332230558738701</v>
      </c>
      <c r="U30" s="17">
        <v>81.441012524547403</v>
      </c>
      <c r="V30" s="17">
        <v>81.552339993370097</v>
      </c>
      <c r="W30" s="17">
        <v>81.664504972035004</v>
      </c>
      <c r="X30" s="17">
        <v>81.780104206770503</v>
      </c>
      <c r="Y30" s="17">
        <v>81.894411760341299</v>
      </c>
      <c r="Z30" s="17">
        <v>82.012313055888598</v>
      </c>
      <c r="AA30" s="17">
        <v>82.130764503598698</v>
      </c>
      <c r="AB30" s="17">
        <v>82.247731291218699</v>
      </c>
      <c r="AC30" s="17">
        <v>82.367205791831296</v>
      </c>
      <c r="AD30" s="17">
        <v>82.484150065098106</v>
      </c>
      <c r="AE30" s="17">
        <v>82.603159914456597</v>
      </c>
      <c r="AF30" s="17">
        <v>82.719479233396598</v>
      </c>
      <c r="AG30" s="17">
        <v>82.836415763972298</v>
      </c>
      <c r="AH30" s="17">
        <v>82.952853791128007</v>
      </c>
      <c r="AI30" s="17">
        <v>83.069313681358906</v>
      </c>
      <c r="AJ30" s="17">
        <v>83.185665631005307</v>
      </c>
      <c r="AK30" s="17">
        <v>83.301785926314594</v>
      </c>
      <c r="AL30" s="17">
        <v>83.418058595791905</v>
      </c>
      <c r="AM30" s="17">
        <v>83.533751293716307</v>
      </c>
      <c r="AN30" s="17">
        <v>83.648285441023702</v>
      </c>
      <c r="AO30" s="17">
        <v>83.763792137887407</v>
      </c>
      <c r="AP30" s="17">
        <v>83.877305689612001</v>
      </c>
      <c r="AQ30" s="17">
        <v>83.991640312074693</v>
      </c>
      <c r="AR30" s="17">
        <v>84.106090174717096</v>
      </c>
      <c r="AS30" s="17">
        <v>84.219877352827993</v>
      </c>
      <c r="AT30" s="17">
        <v>84.332955785219895</v>
      </c>
      <c r="AU30" s="17">
        <v>84.445494626211001</v>
      </c>
      <c r="AV30" s="17">
        <v>84.558001674149295</v>
      </c>
      <c r="AW30" s="17">
        <v>84.670457723688102</v>
      </c>
      <c r="AX30" s="17">
        <v>84.782464361724905</v>
      </c>
      <c r="AY30" s="17">
        <v>84.893665215146399</v>
      </c>
      <c r="AZ30" s="17">
        <v>85.006535039092896</v>
      </c>
      <c r="BA30" s="17">
        <v>85.118322871475499</v>
      </c>
      <c r="BB30" s="17">
        <v>85.229353353624902</v>
      </c>
      <c r="BC30" s="17">
        <v>85.340195102211794</v>
      </c>
      <c r="BD30" s="17">
        <v>85.450566042055598</v>
      </c>
      <c r="BE30" s="17">
        <v>85.560964892696703</v>
      </c>
      <c r="BF30" s="17">
        <v>85.670593892123307</v>
      </c>
      <c r="BG30" s="17">
        <v>85.779946924111599</v>
      </c>
      <c r="BH30" s="17">
        <v>85.889939426297005</v>
      </c>
      <c r="BI30" s="17">
        <v>85.999081370095993</v>
      </c>
      <c r="BJ30" s="17">
        <v>86.108313605845197</v>
      </c>
      <c r="BK30" s="17">
        <v>86.216093897212602</v>
      </c>
      <c r="BL30" s="17">
        <v>86.324555459509497</v>
      </c>
      <c r="BM30" s="17">
        <v>86.431598749872094</v>
      </c>
      <c r="BN30" s="17">
        <v>86.540806017800406</v>
      </c>
      <c r="BO30" s="17">
        <v>86.648586937785495</v>
      </c>
      <c r="BP30" s="17">
        <v>86.754258785420404</v>
      </c>
      <c r="BQ30" s="17">
        <v>86.860932301146605</v>
      </c>
      <c r="BR30" s="17">
        <v>86.967624611794804</v>
      </c>
      <c r="BS30" s="17">
        <v>87.074245083053597</v>
      </c>
      <c r="BT30" s="17">
        <v>87.179449053966295</v>
      </c>
      <c r="BU30" s="17">
        <v>87.284855876232001</v>
      </c>
      <c r="BV30" s="17">
        <v>87.389840327416294</v>
      </c>
      <c r="BW30" s="17">
        <v>87.494091219709901</v>
      </c>
      <c r="BX30" s="17">
        <v>87.598796397419306</v>
      </c>
      <c r="BY30" s="17">
        <v>87.702192426821995</v>
      </c>
      <c r="BZ30" s="17">
        <v>87.806745152681998</v>
      </c>
      <c r="CA30" s="17">
        <v>87.909263179144702</v>
      </c>
      <c r="CB30" s="17">
        <v>88.012081025581494</v>
      </c>
      <c r="CC30" s="17">
        <v>88.114421656056606</v>
      </c>
      <c r="CD30" s="17">
        <v>88.216455549319704</v>
      </c>
      <c r="CE30" s="17">
        <v>88.318628611461307</v>
      </c>
      <c r="CF30" s="17">
        <v>88.419180917956893</v>
      </c>
      <c r="CG30" s="17">
        <v>88.521168660104095</v>
      </c>
      <c r="CH30" s="17">
        <v>88.6213097412666</v>
      </c>
      <c r="CI30" s="17">
        <v>88.721441390564905</v>
      </c>
      <c r="CJ30" s="17">
        <v>88.821035634436996</v>
      </c>
      <c r="CK30" s="17">
        <v>88.921575463602196</v>
      </c>
      <c r="CL30" s="17">
        <v>89.021445043963595</v>
      </c>
      <c r="CM30" s="17">
        <v>89.119004195657297</v>
      </c>
      <c r="CN30" s="17">
        <v>89.218324655457593</v>
      </c>
      <c r="CO30" s="17">
        <v>89.315445503970807</v>
      </c>
      <c r="CP30" s="17">
        <v>89.413714999802806</v>
      </c>
      <c r="CQ30" s="17">
        <v>89.511461497181699</v>
      </c>
      <c r="CR30" s="17">
        <v>89.608164174749504</v>
      </c>
      <c r="CS30" s="17">
        <v>89.704712479703304</v>
      </c>
      <c r="CT30" s="17">
        <v>89.8013822564007</v>
      </c>
      <c r="CU30" s="17">
        <v>89.897115870081507</v>
      </c>
      <c r="CV30" s="17">
        <v>89.992873975497503</v>
      </c>
      <c r="CW30" s="17">
        <v>90.087706206260606</v>
      </c>
      <c r="CX30" s="17">
        <v>90.1826937772489</v>
      </c>
    </row>
    <row r="31" spans="1:102" x14ac:dyDescent="0.2">
      <c r="A31" s="56" t="s">
        <v>302</v>
      </c>
      <c r="C31" s="17">
        <v>83.129473708969201</v>
      </c>
      <c r="D31" s="17">
        <v>83.011946300892603</v>
      </c>
      <c r="E31" s="17">
        <v>83.352587483518803</v>
      </c>
      <c r="F31" s="17">
        <v>83.433205179167899</v>
      </c>
      <c r="G31" s="17">
        <v>83.512446253839798</v>
      </c>
      <c r="H31" s="17">
        <v>83.592080806023404</v>
      </c>
      <c r="I31" s="17">
        <v>83.671430267886095</v>
      </c>
      <c r="J31" s="17">
        <v>83.750681658250798</v>
      </c>
      <c r="K31" s="17">
        <v>83.830855686815298</v>
      </c>
      <c r="L31" s="17">
        <v>83.911362719354997</v>
      </c>
      <c r="M31" s="17">
        <v>83.993345944889796</v>
      </c>
      <c r="N31" s="17">
        <v>84.076469920158601</v>
      </c>
      <c r="O31" s="17">
        <v>84.1609738179027</v>
      </c>
      <c r="P31" s="17">
        <v>84.245363761397797</v>
      </c>
      <c r="Q31" s="17">
        <v>84.333194732998393</v>
      </c>
      <c r="R31" s="17">
        <v>84.420992349606905</v>
      </c>
      <c r="S31" s="17">
        <v>84.512072767134299</v>
      </c>
      <c r="T31" s="17">
        <v>84.605130119025006</v>
      </c>
      <c r="U31" s="17">
        <v>84.6991859455851</v>
      </c>
      <c r="V31" s="17">
        <v>84.795975599877906</v>
      </c>
      <c r="W31" s="17">
        <v>84.893404837190005</v>
      </c>
      <c r="X31" s="17">
        <v>84.993545759153704</v>
      </c>
      <c r="Y31" s="17">
        <v>85.095030612368305</v>
      </c>
      <c r="Z31" s="17">
        <v>85.199986132642707</v>
      </c>
      <c r="AA31" s="17">
        <v>85.304320013189795</v>
      </c>
      <c r="AB31" s="17">
        <v>85.410340146675097</v>
      </c>
      <c r="AC31" s="17">
        <v>85.515489112417001</v>
      </c>
      <c r="AD31" s="17">
        <v>85.619691412997199</v>
      </c>
      <c r="AE31" s="17">
        <v>85.725838532077404</v>
      </c>
      <c r="AF31" s="17">
        <v>85.829669028422401</v>
      </c>
      <c r="AG31" s="17">
        <v>85.933685039816297</v>
      </c>
      <c r="AH31" s="17">
        <v>86.037992156231795</v>
      </c>
      <c r="AI31" s="17">
        <v>86.141747437149405</v>
      </c>
      <c r="AJ31" s="17">
        <v>86.245398112620506</v>
      </c>
      <c r="AK31" s="17">
        <v>86.347769043517602</v>
      </c>
      <c r="AL31" s="17">
        <v>86.450719952818602</v>
      </c>
      <c r="AM31" s="17">
        <v>86.552597673222095</v>
      </c>
      <c r="AN31" s="17">
        <v>86.653635075064997</v>
      </c>
      <c r="AO31" s="17">
        <v>86.756162994180698</v>
      </c>
      <c r="AP31" s="17">
        <v>86.859407770699704</v>
      </c>
      <c r="AQ31" s="17">
        <v>86.959821293292293</v>
      </c>
      <c r="AR31" s="17">
        <v>87.059466892830699</v>
      </c>
      <c r="AS31" s="17">
        <v>87.159997511843997</v>
      </c>
      <c r="AT31" s="17">
        <v>87.261089312221301</v>
      </c>
      <c r="AU31" s="17">
        <v>87.360963155819306</v>
      </c>
      <c r="AV31" s="17">
        <v>87.460007471311201</v>
      </c>
      <c r="AW31" s="17">
        <v>87.560748464189601</v>
      </c>
      <c r="AX31" s="17">
        <v>87.660487558849596</v>
      </c>
      <c r="AY31" s="17">
        <v>87.758621091179293</v>
      </c>
      <c r="AZ31" s="17">
        <v>87.858087159707793</v>
      </c>
      <c r="BA31" s="17">
        <v>87.956151237293497</v>
      </c>
      <c r="BB31" s="17">
        <v>88.053346094145198</v>
      </c>
      <c r="BC31" s="17">
        <v>88.150795577892694</v>
      </c>
      <c r="BD31" s="17">
        <v>88.248808989846907</v>
      </c>
      <c r="BE31" s="17">
        <v>88.345877792549004</v>
      </c>
      <c r="BF31" s="17">
        <v>88.442142244985305</v>
      </c>
      <c r="BG31" s="17">
        <v>88.5388237785005</v>
      </c>
      <c r="BH31" s="17">
        <v>88.636062832550195</v>
      </c>
      <c r="BI31" s="17">
        <v>88.731829628090793</v>
      </c>
      <c r="BJ31" s="17">
        <v>88.827722683678203</v>
      </c>
      <c r="BK31" s="17">
        <v>88.923112656549804</v>
      </c>
      <c r="BL31" s="17">
        <v>89.019126269459406</v>
      </c>
      <c r="BM31" s="17">
        <v>89.114660907879994</v>
      </c>
      <c r="BN31" s="17">
        <v>89.208347558960398</v>
      </c>
      <c r="BO31" s="17">
        <v>89.302632286041899</v>
      </c>
      <c r="BP31" s="17">
        <v>89.3959494261494</v>
      </c>
      <c r="BQ31" s="17">
        <v>89.490441784358694</v>
      </c>
      <c r="BR31" s="17">
        <v>89.583093589551893</v>
      </c>
      <c r="BS31" s="17">
        <v>89.677311643989498</v>
      </c>
      <c r="BT31" s="17">
        <v>89.770761213154998</v>
      </c>
      <c r="BU31" s="17">
        <v>89.863231420200805</v>
      </c>
      <c r="BV31" s="17">
        <v>89.954026444552497</v>
      </c>
      <c r="BW31" s="17">
        <v>90.044946460323501</v>
      </c>
      <c r="BX31" s="17">
        <v>90.137038625088294</v>
      </c>
      <c r="BY31" s="17">
        <v>90.228917352688995</v>
      </c>
      <c r="BZ31" s="17">
        <v>90.319846912696903</v>
      </c>
      <c r="CA31" s="17">
        <v>90.409463474240894</v>
      </c>
      <c r="CB31" s="17">
        <v>90.499209316672406</v>
      </c>
      <c r="CC31" s="17">
        <v>90.589013136896099</v>
      </c>
      <c r="CD31" s="17">
        <v>90.679779631384704</v>
      </c>
      <c r="CE31" s="17">
        <v>90.768118249848598</v>
      </c>
      <c r="CF31" s="17">
        <v>90.856729092641103</v>
      </c>
      <c r="CG31" s="17">
        <v>90.944514994715107</v>
      </c>
      <c r="CH31" s="17">
        <v>91.032532427301902</v>
      </c>
      <c r="CI31" s="17">
        <v>91.121414169742806</v>
      </c>
      <c r="CJ31" s="17">
        <v>91.208366352799899</v>
      </c>
      <c r="CK31" s="17">
        <v>91.294899613373403</v>
      </c>
      <c r="CL31" s="17">
        <v>91.382361025767395</v>
      </c>
      <c r="CM31" s="17">
        <v>91.467023199471797</v>
      </c>
      <c r="CN31" s="17">
        <v>91.552553613436302</v>
      </c>
      <c r="CO31" s="17">
        <v>91.638892609441399</v>
      </c>
      <c r="CP31" s="17">
        <v>91.723707656047907</v>
      </c>
      <c r="CQ31" s="17">
        <v>91.808354555042996</v>
      </c>
      <c r="CR31" s="17">
        <v>91.893720349656206</v>
      </c>
      <c r="CS31" s="17">
        <v>91.978197170089402</v>
      </c>
      <c r="CT31" s="17">
        <v>92.061496670402903</v>
      </c>
      <c r="CU31" s="17">
        <v>92.144956279243104</v>
      </c>
      <c r="CV31" s="17">
        <v>92.226901880521396</v>
      </c>
      <c r="CW31" s="17">
        <v>92.3102887506477</v>
      </c>
      <c r="CX31" s="17">
        <v>92.391999866014103</v>
      </c>
    </row>
    <row r="32" spans="1:102" ht="23.25" customHeight="1" x14ac:dyDescent="0.2">
      <c r="A32" s="56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spans="1:102" ht="23.25" customHeight="1" thickBot="1" x14ac:dyDescent="0.3">
      <c r="A33" s="52"/>
      <c r="B33" s="52"/>
      <c r="C33" s="51" t="s">
        <v>303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1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</row>
    <row r="34" spans="1:102" ht="23.25" customHeight="1" x14ac:dyDescent="0.2">
      <c r="A34" s="64" t="s">
        <v>127</v>
      </c>
      <c r="B34" s="54" t="s">
        <v>169</v>
      </c>
      <c r="C34" s="54" t="s">
        <v>170</v>
      </c>
      <c r="D34" s="54" t="s">
        <v>128</v>
      </c>
      <c r="E34" s="54" t="s">
        <v>8</v>
      </c>
      <c r="F34" s="54" t="s">
        <v>9</v>
      </c>
      <c r="G34" s="54" t="s">
        <v>10</v>
      </c>
      <c r="H34" s="54" t="s">
        <v>11</v>
      </c>
      <c r="I34" s="54" t="s">
        <v>12</v>
      </c>
      <c r="J34" s="54" t="s">
        <v>13</v>
      </c>
      <c r="K34" s="54" t="s">
        <v>14</v>
      </c>
      <c r="L34" s="54" t="s">
        <v>15</v>
      </c>
      <c r="M34" s="54" t="s">
        <v>16</v>
      </c>
      <c r="N34" s="54" t="s">
        <v>17</v>
      </c>
      <c r="O34" s="54" t="s">
        <v>18</v>
      </c>
      <c r="P34" s="54" t="s">
        <v>19</v>
      </c>
      <c r="Q34" s="54" t="s">
        <v>20</v>
      </c>
      <c r="R34" s="54" t="s">
        <v>21</v>
      </c>
      <c r="S34" s="54" t="s">
        <v>22</v>
      </c>
      <c r="T34" s="54" t="s">
        <v>23</v>
      </c>
      <c r="U34" s="54" t="s">
        <v>24</v>
      </c>
      <c r="V34" s="54" t="s">
        <v>25</v>
      </c>
      <c r="W34" s="54" t="s">
        <v>26</v>
      </c>
      <c r="X34" s="54" t="s">
        <v>27</v>
      </c>
      <c r="Y34" s="54" t="s">
        <v>28</v>
      </c>
      <c r="Z34" s="54" t="s">
        <v>29</v>
      </c>
      <c r="AA34" s="54" t="s">
        <v>30</v>
      </c>
      <c r="AB34" s="54" t="s">
        <v>31</v>
      </c>
      <c r="AC34" s="54" t="s">
        <v>32</v>
      </c>
      <c r="AD34" s="54" t="s">
        <v>33</v>
      </c>
      <c r="AE34" s="54" t="s">
        <v>34</v>
      </c>
      <c r="AF34" s="54" t="s">
        <v>35</v>
      </c>
      <c r="AG34" s="54" t="s">
        <v>36</v>
      </c>
      <c r="AH34" s="54" t="s">
        <v>37</v>
      </c>
      <c r="AI34" s="54" t="s">
        <v>38</v>
      </c>
      <c r="AJ34" s="54" t="s">
        <v>39</v>
      </c>
      <c r="AK34" s="54" t="s">
        <v>40</v>
      </c>
      <c r="AL34" s="54" t="s">
        <v>41</v>
      </c>
      <c r="AM34" s="54" t="s">
        <v>42</v>
      </c>
      <c r="AN34" s="54" t="s">
        <v>43</v>
      </c>
      <c r="AO34" s="54" t="s">
        <v>44</v>
      </c>
      <c r="AP34" s="54" t="s">
        <v>45</v>
      </c>
      <c r="AQ34" s="54" t="s">
        <v>46</v>
      </c>
      <c r="AR34" s="54" t="s">
        <v>47</v>
      </c>
      <c r="AS34" s="54" t="s">
        <v>48</v>
      </c>
      <c r="AT34" s="54" t="s">
        <v>49</v>
      </c>
      <c r="AU34" s="54" t="s">
        <v>50</v>
      </c>
      <c r="AV34" s="54" t="s">
        <v>51</v>
      </c>
      <c r="AW34" s="54" t="s">
        <v>52</v>
      </c>
      <c r="AX34" s="54" t="s">
        <v>53</v>
      </c>
      <c r="AY34" s="54" t="s">
        <v>54</v>
      </c>
      <c r="AZ34" s="54" t="s">
        <v>55</v>
      </c>
      <c r="BA34" s="54" t="s">
        <v>56</v>
      </c>
      <c r="BB34" s="54" t="s">
        <v>57</v>
      </c>
      <c r="BC34" s="54" t="s">
        <v>58</v>
      </c>
      <c r="BD34" s="54" t="s">
        <v>59</v>
      </c>
      <c r="BE34" s="54" t="s">
        <v>60</v>
      </c>
      <c r="BF34" s="54" t="s">
        <v>61</v>
      </c>
      <c r="BG34" s="54" t="s">
        <v>62</v>
      </c>
      <c r="BH34" s="54" t="s">
        <v>63</v>
      </c>
      <c r="BI34" s="54" t="s">
        <v>64</v>
      </c>
      <c r="BJ34" s="54" t="s">
        <v>65</v>
      </c>
      <c r="BK34" s="54" t="s">
        <v>66</v>
      </c>
      <c r="BL34" s="54" t="s">
        <v>67</v>
      </c>
      <c r="BM34" s="54" t="s">
        <v>68</v>
      </c>
      <c r="BN34" s="54" t="s">
        <v>69</v>
      </c>
      <c r="BO34" s="54" t="s">
        <v>70</v>
      </c>
      <c r="BP34" s="54" t="s">
        <v>71</v>
      </c>
      <c r="BQ34" s="54" t="s">
        <v>72</v>
      </c>
      <c r="BR34" s="54" t="s">
        <v>73</v>
      </c>
      <c r="BS34" s="54" t="s">
        <v>74</v>
      </c>
      <c r="BT34" s="54" t="s">
        <v>75</v>
      </c>
      <c r="BU34" s="54" t="s">
        <v>76</v>
      </c>
      <c r="BV34" s="54" t="s">
        <v>77</v>
      </c>
      <c r="BW34" s="54" t="s">
        <v>78</v>
      </c>
      <c r="BX34" s="54" t="s">
        <v>79</v>
      </c>
      <c r="BY34" s="54" t="s">
        <v>80</v>
      </c>
      <c r="BZ34" s="54" t="s">
        <v>81</v>
      </c>
      <c r="CA34" s="54" t="s">
        <v>82</v>
      </c>
      <c r="CB34" s="54" t="s">
        <v>83</v>
      </c>
      <c r="CC34" s="54" t="s">
        <v>84</v>
      </c>
      <c r="CD34" s="54" t="s">
        <v>85</v>
      </c>
      <c r="CE34" s="54" t="s">
        <v>86</v>
      </c>
      <c r="CF34" s="54" t="s">
        <v>87</v>
      </c>
      <c r="CG34" s="54" t="s">
        <v>88</v>
      </c>
      <c r="CH34" s="54" t="s">
        <v>89</v>
      </c>
      <c r="CI34" s="54" t="s">
        <v>90</v>
      </c>
      <c r="CJ34" s="54" t="s">
        <v>91</v>
      </c>
      <c r="CK34" s="54" t="s">
        <v>92</v>
      </c>
      <c r="CL34" s="54" t="s">
        <v>93</v>
      </c>
      <c r="CM34" s="54" t="s">
        <v>94</v>
      </c>
      <c r="CN34" s="54" t="s">
        <v>95</v>
      </c>
      <c r="CO34" s="54" t="s">
        <v>96</v>
      </c>
      <c r="CP34" s="54" t="s">
        <v>97</v>
      </c>
      <c r="CQ34" s="54" t="s">
        <v>98</v>
      </c>
      <c r="CR34" s="54" t="s">
        <v>99</v>
      </c>
      <c r="CS34" s="54" t="s">
        <v>100</v>
      </c>
      <c r="CT34" s="54" t="s">
        <v>101</v>
      </c>
      <c r="CU34" s="54" t="s">
        <v>102</v>
      </c>
      <c r="CV34" s="54" t="s">
        <v>103</v>
      </c>
      <c r="CW34" s="54" t="s">
        <v>104</v>
      </c>
      <c r="CX34" s="54" t="s">
        <v>105</v>
      </c>
    </row>
    <row r="35" spans="1:102" x14ac:dyDescent="0.2">
      <c r="A35" s="55" t="s">
        <v>286</v>
      </c>
      <c r="B35" s="55" t="s">
        <v>286</v>
      </c>
      <c r="C35" s="55" t="s">
        <v>286</v>
      </c>
      <c r="D35" s="55" t="s">
        <v>286</v>
      </c>
      <c r="E35" s="55" t="s">
        <v>286</v>
      </c>
      <c r="F35" s="55" t="s">
        <v>286</v>
      </c>
      <c r="G35" s="55" t="s">
        <v>286</v>
      </c>
      <c r="H35" s="55" t="s">
        <v>286</v>
      </c>
      <c r="I35" s="55" t="s">
        <v>286</v>
      </c>
      <c r="J35" s="55" t="s">
        <v>286</v>
      </c>
      <c r="K35" s="55" t="s">
        <v>286</v>
      </c>
      <c r="L35" s="55" t="s">
        <v>286</v>
      </c>
      <c r="M35" s="55" t="s">
        <v>286</v>
      </c>
      <c r="N35" s="55" t="s">
        <v>286</v>
      </c>
      <c r="O35" s="55" t="s">
        <v>286</v>
      </c>
      <c r="P35" s="55" t="s">
        <v>286</v>
      </c>
      <c r="Q35" s="55" t="s">
        <v>286</v>
      </c>
      <c r="R35" s="55" t="s">
        <v>286</v>
      </c>
      <c r="S35" s="55" t="s">
        <v>286</v>
      </c>
      <c r="T35" s="55" t="s">
        <v>286</v>
      </c>
      <c r="U35" s="55" t="s">
        <v>286</v>
      </c>
      <c r="V35" s="55" t="s">
        <v>286</v>
      </c>
      <c r="W35" s="55" t="s">
        <v>286</v>
      </c>
      <c r="X35" s="55" t="s">
        <v>286</v>
      </c>
      <c r="Y35" s="55" t="s">
        <v>286</v>
      </c>
      <c r="Z35" s="55" t="s">
        <v>286</v>
      </c>
      <c r="AA35" s="57" t="s">
        <v>286</v>
      </c>
      <c r="AB35" s="55" t="s">
        <v>286</v>
      </c>
      <c r="AC35" s="55" t="s">
        <v>286</v>
      </c>
      <c r="AD35" s="55" t="s">
        <v>286</v>
      </c>
      <c r="AE35" s="55" t="s">
        <v>286</v>
      </c>
      <c r="AF35" s="55" t="s">
        <v>286</v>
      </c>
      <c r="AG35" s="55" t="s">
        <v>286</v>
      </c>
      <c r="AH35" s="55" t="s">
        <v>286</v>
      </c>
      <c r="AI35" s="55" t="s">
        <v>286</v>
      </c>
      <c r="AJ35" s="55" t="s">
        <v>286</v>
      </c>
      <c r="AK35" s="55" t="s">
        <v>286</v>
      </c>
      <c r="AL35" s="55" t="s">
        <v>286</v>
      </c>
      <c r="AM35" s="55" t="s">
        <v>286</v>
      </c>
      <c r="AN35" s="55" t="s">
        <v>286</v>
      </c>
      <c r="AO35" s="55" t="s">
        <v>286</v>
      </c>
      <c r="AP35" s="55" t="s">
        <v>286</v>
      </c>
      <c r="AQ35" s="55" t="s">
        <v>286</v>
      </c>
      <c r="AR35" s="55" t="s">
        <v>286</v>
      </c>
      <c r="AS35" s="55" t="s">
        <v>286</v>
      </c>
      <c r="AT35" s="55" t="s">
        <v>286</v>
      </c>
      <c r="AU35" s="55" t="s">
        <v>286</v>
      </c>
      <c r="AV35" s="55" t="s">
        <v>286</v>
      </c>
      <c r="AW35" s="55" t="s">
        <v>286</v>
      </c>
      <c r="AX35" s="55" t="s">
        <v>286</v>
      </c>
      <c r="AY35" s="55" t="s">
        <v>286</v>
      </c>
      <c r="AZ35" s="57" t="s">
        <v>286</v>
      </c>
      <c r="BA35" s="55" t="s">
        <v>286</v>
      </c>
      <c r="BB35" s="55" t="s">
        <v>286</v>
      </c>
      <c r="BC35" s="55" t="s">
        <v>286</v>
      </c>
      <c r="BD35" s="55" t="s">
        <v>286</v>
      </c>
      <c r="BE35" s="55" t="s">
        <v>286</v>
      </c>
      <c r="BF35" s="55" t="s">
        <v>286</v>
      </c>
      <c r="BG35" s="55" t="s">
        <v>286</v>
      </c>
      <c r="BH35" s="55" t="s">
        <v>286</v>
      </c>
      <c r="BI35" s="55" t="s">
        <v>286</v>
      </c>
      <c r="BJ35" s="55" t="s">
        <v>286</v>
      </c>
      <c r="BK35" s="55" t="s">
        <v>286</v>
      </c>
      <c r="BL35" s="55" t="s">
        <v>286</v>
      </c>
      <c r="BM35" s="55" t="s">
        <v>286</v>
      </c>
      <c r="BN35" s="55" t="s">
        <v>286</v>
      </c>
      <c r="BO35" s="55" t="s">
        <v>286</v>
      </c>
      <c r="BP35" s="55" t="s">
        <v>286</v>
      </c>
      <c r="BQ35" s="55" t="s">
        <v>286</v>
      </c>
      <c r="BR35" s="55" t="s">
        <v>286</v>
      </c>
      <c r="BS35" s="55" t="s">
        <v>286</v>
      </c>
      <c r="BT35" s="55" t="s">
        <v>286</v>
      </c>
      <c r="BU35" s="55" t="s">
        <v>286</v>
      </c>
      <c r="BV35" s="55" t="s">
        <v>286</v>
      </c>
      <c r="BW35" s="55" t="s">
        <v>286</v>
      </c>
      <c r="BX35" s="55" t="s">
        <v>286</v>
      </c>
      <c r="BY35" s="57" t="s">
        <v>286</v>
      </c>
      <c r="BZ35" s="55" t="s">
        <v>286</v>
      </c>
      <c r="CA35" s="55" t="s">
        <v>286</v>
      </c>
      <c r="CB35" s="55" t="s">
        <v>286</v>
      </c>
      <c r="CC35" s="55" t="s">
        <v>286</v>
      </c>
      <c r="CD35" s="55" t="s">
        <v>286</v>
      </c>
      <c r="CE35" s="55" t="s">
        <v>286</v>
      </c>
      <c r="CF35" s="55" t="s">
        <v>286</v>
      </c>
      <c r="CG35" s="55" t="s">
        <v>286</v>
      </c>
      <c r="CH35" s="55" t="s">
        <v>286</v>
      </c>
      <c r="CI35" s="55" t="s">
        <v>286</v>
      </c>
      <c r="CJ35" s="55" t="s">
        <v>286</v>
      </c>
      <c r="CK35" s="55" t="s">
        <v>286</v>
      </c>
      <c r="CL35" s="55" t="s">
        <v>286</v>
      </c>
      <c r="CM35" s="55" t="s">
        <v>286</v>
      </c>
      <c r="CN35" s="55" t="s">
        <v>286</v>
      </c>
      <c r="CO35" s="55" t="s">
        <v>286</v>
      </c>
      <c r="CP35" s="55" t="s">
        <v>286</v>
      </c>
      <c r="CQ35" s="55" t="s">
        <v>286</v>
      </c>
      <c r="CR35" s="55" t="s">
        <v>286</v>
      </c>
      <c r="CS35" s="55" t="s">
        <v>286</v>
      </c>
      <c r="CT35" s="55" t="s">
        <v>286</v>
      </c>
      <c r="CU35" s="55" t="s">
        <v>286</v>
      </c>
      <c r="CV35" s="55" t="s">
        <v>286</v>
      </c>
      <c r="CW35" s="55" t="s">
        <v>286</v>
      </c>
      <c r="CX35" s="57" t="s">
        <v>286</v>
      </c>
    </row>
    <row r="36" spans="1:102" x14ac:dyDescent="0.2">
      <c r="A36" s="65" t="s">
        <v>304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</row>
    <row r="37" spans="1:102" x14ac:dyDescent="0.2">
      <c r="A37" s="55" t="s">
        <v>305</v>
      </c>
      <c r="B37" s="10">
        <v>11974.857</v>
      </c>
      <c r="C37" s="10">
        <v>11923.683999999999</v>
      </c>
      <c r="D37" s="10">
        <v>11844.034</v>
      </c>
      <c r="E37" s="10">
        <v>11728.507</v>
      </c>
      <c r="F37" s="10">
        <v>11617.912</v>
      </c>
      <c r="G37" s="10">
        <v>11494.210999999999</v>
      </c>
      <c r="H37" s="10">
        <v>11347.825999999999</v>
      </c>
      <c r="I37" s="10">
        <v>11181.638000000001</v>
      </c>
      <c r="J37" s="10">
        <v>11034.495000000001</v>
      </c>
      <c r="K37" s="10">
        <v>10899.779</v>
      </c>
      <c r="L37" s="10">
        <v>10766.107</v>
      </c>
      <c r="M37" s="10">
        <v>10626.404</v>
      </c>
      <c r="N37" s="10">
        <v>10505.805</v>
      </c>
      <c r="O37" s="10">
        <v>10403.856</v>
      </c>
      <c r="P37" s="10">
        <v>10325.736999999999</v>
      </c>
      <c r="Q37" s="10">
        <v>10273.554</v>
      </c>
      <c r="R37" s="10">
        <v>10256.593000000001</v>
      </c>
      <c r="S37" s="10">
        <v>10254.109</v>
      </c>
      <c r="T37" s="10">
        <v>10262.605</v>
      </c>
      <c r="U37" s="10">
        <v>10274.852999999999</v>
      </c>
      <c r="V37" s="10">
        <v>10293.628000000001</v>
      </c>
      <c r="W37" s="10">
        <v>10320.904</v>
      </c>
      <c r="X37" s="10">
        <v>10355.359</v>
      </c>
      <c r="Y37" s="10">
        <v>10396.001</v>
      </c>
      <c r="Z37" s="10">
        <v>10441.522999999999</v>
      </c>
      <c r="AA37" s="10">
        <v>10489.547</v>
      </c>
      <c r="AB37" s="10">
        <v>10537.438</v>
      </c>
      <c r="AC37" s="10">
        <v>10583.302</v>
      </c>
      <c r="AD37" s="10">
        <v>10625.52</v>
      </c>
      <c r="AE37" s="10">
        <v>10662.304</v>
      </c>
      <c r="AF37" s="10">
        <v>10691.796</v>
      </c>
      <c r="AG37" s="10">
        <v>10711.478999999999</v>
      </c>
      <c r="AH37" s="10">
        <v>10719.146000000001</v>
      </c>
      <c r="AI37" s="10">
        <v>10714.084999999999</v>
      </c>
      <c r="AJ37" s="10">
        <v>10696.124</v>
      </c>
      <c r="AK37" s="10">
        <v>10665.674000000001</v>
      </c>
      <c r="AL37" s="10">
        <v>10624.168</v>
      </c>
      <c r="AM37" s="10">
        <v>10573.401</v>
      </c>
      <c r="AN37" s="10">
        <v>10514.821</v>
      </c>
      <c r="AO37" s="10">
        <v>10450.043</v>
      </c>
      <c r="AP37" s="10">
        <v>10381.706</v>
      </c>
      <c r="AQ37" s="10">
        <v>10312.42</v>
      </c>
      <c r="AR37" s="10">
        <v>10243.941000000001</v>
      </c>
      <c r="AS37" s="10">
        <v>10178.134</v>
      </c>
      <c r="AT37" s="10">
        <v>10116.824000000001</v>
      </c>
      <c r="AU37" s="10">
        <v>10061.512000000001</v>
      </c>
      <c r="AV37" s="10">
        <v>10013.114</v>
      </c>
      <c r="AW37" s="10">
        <v>9972.1460000000006</v>
      </c>
      <c r="AX37" s="10">
        <v>9939.1010000000006</v>
      </c>
      <c r="AY37" s="10">
        <v>9914.2330000000002</v>
      </c>
      <c r="AZ37" s="10">
        <v>9897.3269999999993</v>
      </c>
      <c r="BA37" s="10">
        <v>9887.8109999999997</v>
      </c>
      <c r="BB37" s="10">
        <v>9884.9359999999997</v>
      </c>
      <c r="BC37" s="10">
        <v>9887.8909999999996</v>
      </c>
      <c r="BD37" s="10">
        <v>9895.7649999999994</v>
      </c>
      <c r="BE37" s="10">
        <v>9907.5769999999993</v>
      </c>
      <c r="BF37" s="10">
        <v>9922.2900000000009</v>
      </c>
      <c r="BG37" s="10">
        <v>9938.7620000000006</v>
      </c>
      <c r="BH37" s="10">
        <v>9955.8160000000007</v>
      </c>
      <c r="BI37" s="10">
        <v>9972.3209999999999</v>
      </c>
      <c r="BJ37" s="10">
        <v>9987.2129999999997</v>
      </c>
      <c r="BK37" s="10">
        <v>9999.5769999999993</v>
      </c>
      <c r="BL37" s="10">
        <v>10008.697</v>
      </c>
      <c r="BM37" s="10">
        <v>10013.933000000001</v>
      </c>
      <c r="BN37" s="10">
        <v>10014.806</v>
      </c>
      <c r="BO37" s="10">
        <v>10011.013999999999</v>
      </c>
      <c r="BP37" s="10">
        <v>10002.413</v>
      </c>
      <c r="BQ37" s="10">
        <v>9989.0560000000005</v>
      </c>
      <c r="BR37" s="10">
        <v>9971.1440000000002</v>
      </c>
      <c r="BS37" s="10">
        <v>9949.0730000000003</v>
      </c>
      <c r="BT37" s="10">
        <v>9923.3439999999991</v>
      </c>
      <c r="BU37" s="10">
        <v>9894.6049999999996</v>
      </c>
      <c r="BV37" s="10">
        <v>9863.5580000000009</v>
      </c>
      <c r="BW37" s="10">
        <v>9830.9789999999994</v>
      </c>
      <c r="BX37" s="10">
        <v>9797.6759999999995</v>
      </c>
      <c r="BY37" s="10">
        <v>9764.4509999999991</v>
      </c>
      <c r="BZ37" s="10">
        <v>9732.08</v>
      </c>
      <c r="CA37" s="10">
        <v>9701.2430000000004</v>
      </c>
      <c r="CB37" s="10">
        <v>9672.5560000000005</v>
      </c>
      <c r="CC37" s="10">
        <v>9646.5210000000006</v>
      </c>
      <c r="CD37" s="10">
        <v>9623.5139999999992</v>
      </c>
      <c r="CE37" s="10">
        <v>9603.7929999999997</v>
      </c>
      <c r="CF37" s="10">
        <v>9587.4830000000002</v>
      </c>
      <c r="CG37" s="10">
        <v>9574.5859999999993</v>
      </c>
      <c r="CH37" s="10">
        <v>9564.9619999999995</v>
      </c>
      <c r="CI37" s="10">
        <v>9558.4069999999992</v>
      </c>
      <c r="CJ37" s="10">
        <v>9554.5759999999991</v>
      </c>
      <c r="CK37" s="10">
        <v>9553.0830000000005</v>
      </c>
      <c r="CL37" s="10">
        <v>9553.4789999999994</v>
      </c>
      <c r="CM37" s="10">
        <v>9555.27</v>
      </c>
      <c r="CN37" s="10">
        <v>9557.9320000000007</v>
      </c>
      <c r="CO37" s="10">
        <v>9560.9670000000006</v>
      </c>
      <c r="CP37" s="10">
        <v>9563.8850000000002</v>
      </c>
      <c r="CQ37" s="10">
        <v>9566.2350000000006</v>
      </c>
      <c r="CR37" s="10">
        <v>9567.5939999999991</v>
      </c>
      <c r="CS37" s="10">
        <v>9567.6080000000002</v>
      </c>
      <c r="CT37" s="10">
        <v>9566.0069999999996</v>
      </c>
      <c r="CU37" s="10">
        <v>9562.5730000000003</v>
      </c>
      <c r="CV37" s="10">
        <v>9557.1779999999999</v>
      </c>
      <c r="CW37" s="10">
        <v>9549.7690000000002</v>
      </c>
      <c r="CX37" s="10">
        <v>9540.3629999999994</v>
      </c>
    </row>
    <row r="38" spans="1:102" x14ac:dyDescent="0.2">
      <c r="A38" s="55" t="s">
        <v>306</v>
      </c>
      <c r="B38" s="10">
        <v>12293.468000000001</v>
      </c>
      <c r="C38" s="10">
        <v>12262.799000000001</v>
      </c>
      <c r="D38" s="10">
        <v>12261.161</v>
      </c>
      <c r="E38" s="10">
        <v>12311.246999999999</v>
      </c>
      <c r="F38" s="10">
        <v>12353.339</v>
      </c>
      <c r="G38" s="10">
        <v>12424.612999999999</v>
      </c>
      <c r="H38" s="10">
        <v>12504.434999999999</v>
      </c>
      <c r="I38" s="10">
        <v>12591.374</v>
      </c>
      <c r="J38" s="10">
        <v>12674.664000000001</v>
      </c>
      <c r="K38" s="10">
        <v>12749.489</v>
      </c>
      <c r="L38" s="10">
        <v>12841.148999999999</v>
      </c>
      <c r="M38" s="10">
        <v>12953.204</v>
      </c>
      <c r="N38" s="10">
        <v>13068.936</v>
      </c>
      <c r="O38" s="10">
        <v>13155.245999999999</v>
      </c>
      <c r="P38" s="10">
        <v>13197.303</v>
      </c>
      <c r="Q38" s="10">
        <v>13200.401</v>
      </c>
      <c r="R38" s="10">
        <v>13140.861999999999</v>
      </c>
      <c r="S38" s="10">
        <v>13054.824000000001</v>
      </c>
      <c r="T38" s="10">
        <v>12934.496999999999</v>
      </c>
      <c r="U38" s="10">
        <v>12820.42</v>
      </c>
      <c r="V38" s="10">
        <v>12694.677</v>
      </c>
      <c r="W38" s="10">
        <v>12547.593999999999</v>
      </c>
      <c r="X38" s="10">
        <v>12382.156000000001</v>
      </c>
      <c r="Y38" s="10">
        <v>12235.675999999999</v>
      </c>
      <c r="Z38" s="10">
        <v>12101.596</v>
      </c>
      <c r="AA38" s="10">
        <v>11968.558000000001</v>
      </c>
      <c r="AB38" s="10">
        <v>11829.495999999999</v>
      </c>
      <c r="AC38" s="10">
        <v>11709.487999999999</v>
      </c>
      <c r="AD38" s="10">
        <v>11608.087</v>
      </c>
      <c r="AE38" s="10">
        <v>11530.436</v>
      </c>
      <c r="AF38" s="10">
        <v>11478.647000000001</v>
      </c>
      <c r="AG38" s="10">
        <v>11461.977000000001</v>
      </c>
      <c r="AH38" s="10">
        <v>11459.744000000001</v>
      </c>
      <c r="AI38" s="10">
        <v>11468.468999999999</v>
      </c>
      <c r="AJ38" s="10">
        <v>11480.936</v>
      </c>
      <c r="AK38" s="10">
        <v>11499.936</v>
      </c>
      <c r="AL38" s="10">
        <v>11527.407999999999</v>
      </c>
      <c r="AM38" s="10">
        <v>11562.045</v>
      </c>
      <c r="AN38" s="10">
        <v>11602.867</v>
      </c>
      <c r="AO38" s="10">
        <v>11648.539000000001</v>
      </c>
      <c r="AP38" s="10">
        <v>11696.709000000001</v>
      </c>
      <c r="AQ38" s="10">
        <v>11744.739</v>
      </c>
      <c r="AR38" s="10">
        <v>11790.731</v>
      </c>
      <c r="AS38" s="10">
        <v>11833.071</v>
      </c>
      <c r="AT38" s="10">
        <v>11869.992</v>
      </c>
      <c r="AU38" s="10">
        <v>11899.597</v>
      </c>
      <c r="AV38" s="10">
        <v>11919.406000000001</v>
      </c>
      <c r="AW38" s="10">
        <v>11927.214</v>
      </c>
      <c r="AX38" s="10">
        <v>11922.314</v>
      </c>
      <c r="AY38" s="10">
        <v>11904.522999999999</v>
      </c>
      <c r="AZ38" s="10">
        <v>11874.264999999999</v>
      </c>
      <c r="BA38" s="10">
        <v>11832.967000000001</v>
      </c>
      <c r="BB38" s="10">
        <v>11782.415000000001</v>
      </c>
      <c r="BC38" s="10">
        <v>11724.056</v>
      </c>
      <c r="BD38" s="10">
        <v>11659.522000000001</v>
      </c>
      <c r="BE38" s="10">
        <v>11591.439</v>
      </c>
      <c r="BF38" s="10">
        <v>11522.405000000001</v>
      </c>
      <c r="BG38" s="10">
        <v>11454.17</v>
      </c>
      <c r="BH38" s="10">
        <v>11388.618</v>
      </c>
      <c r="BI38" s="10">
        <v>11327.547</v>
      </c>
      <c r="BJ38" s="10">
        <v>11272.473</v>
      </c>
      <c r="BK38" s="10">
        <v>11224.313</v>
      </c>
      <c r="BL38" s="10">
        <v>11183.556</v>
      </c>
      <c r="BM38" s="10">
        <v>11150.724</v>
      </c>
      <c r="BN38" s="10">
        <v>11126.048000000001</v>
      </c>
      <c r="BO38" s="10">
        <v>11109.324000000001</v>
      </c>
      <c r="BP38" s="10">
        <v>11099.981</v>
      </c>
      <c r="BQ38" s="10">
        <v>11097.259</v>
      </c>
      <c r="BR38" s="10">
        <v>11100.36</v>
      </c>
      <c r="BS38" s="10">
        <v>11108.375</v>
      </c>
      <c r="BT38" s="10">
        <v>11120.308999999999</v>
      </c>
      <c r="BU38" s="10">
        <v>11135.148999999999</v>
      </c>
      <c r="BV38" s="10">
        <v>11151.749</v>
      </c>
      <c r="BW38" s="10">
        <v>11168.906999999999</v>
      </c>
      <c r="BX38" s="10">
        <v>11185.526</v>
      </c>
      <c r="BY38" s="10">
        <v>11200.534</v>
      </c>
      <c r="BZ38" s="10">
        <v>11213.013999999999</v>
      </c>
      <c r="CA38" s="10">
        <v>11222.243</v>
      </c>
      <c r="CB38" s="10">
        <v>11227.596</v>
      </c>
      <c r="CC38" s="10">
        <v>11228.578</v>
      </c>
      <c r="CD38" s="10">
        <v>11224.906999999999</v>
      </c>
      <c r="CE38" s="10">
        <v>11216.419</v>
      </c>
      <c r="CF38" s="10">
        <v>11203.19</v>
      </c>
      <c r="CG38" s="10">
        <v>11185.401</v>
      </c>
      <c r="CH38" s="10">
        <v>11163.456</v>
      </c>
      <c r="CI38" s="10">
        <v>11137.847</v>
      </c>
      <c r="CJ38" s="10">
        <v>11109.233</v>
      </c>
      <c r="CK38" s="10">
        <v>11078.316000000001</v>
      </c>
      <c r="CL38" s="10">
        <v>11045.869000000001</v>
      </c>
      <c r="CM38" s="10">
        <v>11012.695</v>
      </c>
      <c r="CN38" s="10">
        <v>10979.6</v>
      </c>
      <c r="CO38" s="10">
        <v>10947.362999999999</v>
      </c>
      <c r="CP38" s="10">
        <v>10916.651</v>
      </c>
      <c r="CQ38" s="10">
        <v>10888.088</v>
      </c>
      <c r="CR38" s="10">
        <v>10862.183000000001</v>
      </c>
      <c r="CS38" s="10">
        <v>10839.289000000001</v>
      </c>
      <c r="CT38" s="10">
        <v>10819.686</v>
      </c>
      <c r="CU38" s="10">
        <v>10803.49</v>
      </c>
      <c r="CV38" s="10">
        <v>10790.709000000001</v>
      </c>
      <c r="CW38" s="10">
        <v>10781.186</v>
      </c>
      <c r="CX38" s="10">
        <v>10774.728999999999</v>
      </c>
    </row>
    <row r="39" spans="1:102" x14ac:dyDescent="0.2">
      <c r="A39" s="55" t="s">
        <v>307</v>
      </c>
      <c r="B39" s="10">
        <v>13017.618</v>
      </c>
      <c r="C39" s="10">
        <v>13165.251</v>
      </c>
      <c r="D39" s="10">
        <v>13312.450999999999</v>
      </c>
      <c r="E39" s="10">
        <v>13422.72</v>
      </c>
      <c r="F39" s="10">
        <v>13477.138000000001</v>
      </c>
      <c r="G39" s="10">
        <v>13474.888999999999</v>
      </c>
      <c r="H39" s="10">
        <v>13479.499</v>
      </c>
      <c r="I39" s="10">
        <v>13495.241</v>
      </c>
      <c r="J39" s="10">
        <v>13491.816000000001</v>
      </c>
      <c r="K39" s="10">
        <v>13488.022999999999</v>
      </c>
      <c r="L39" s="10">
        <v>13442.928</v>
      </c>
      <c r="M39" s="10">
        <v>13379.775</v>
      </c>
      <c r="N39" s="10">
        <v>13299.184999999999</v>
      </c>
      <c r="O39" s="10">
        <v>13206.18</v>
      </c>
      <c r="P39" s="10">
        <v>13140.849</v>
      </c>
      <c r="Q39" s="10">
        <v>13080.98</v>
      </c>
      <c r="R39" s="10">
        <v>13033.277</v>
      </c>
      <c r="S39" s="10">
        <v>13017.811</v>
      </c>
      <c r="T39" s="10">
        <v>13056.287</v>
      </c>
      <c r="U39" s="10">
        <v>13090.254999999999</v>
      </c>
      <c r="V39" s="10">
        <v>13156.601000000001</v>
      </c>
      <c r="W39" s="10">
        <v>13234.289000000001</v>
      </c>
      <c r="X39" s="10">
        <v>13322.371999999999</v>
      </c>
      <c r="Y39" s="10">
        <v>13406.632</v>
      </c>
      <c r="Z39" s="10">
        <v>13482.357</v>
      </c>
      <c r="AA39" s="10">
        <v>13574.661</v>
      </c>
      <c r="AB39" s="10">
        <v>13687.072</v>
      </c>
      <c r="AC39" s="10">
        <v>13802.829</v>
      </c>
      <c r="AD39" s="10">
        <v>13889.248</v>
      </c>
      <c r="AE39" s="10">
        <v>13931.688</v>
      </c>
      <c r="AF39" s="10">
        <v>13935.366</v>
      </c>
      <c r="AG39" s="10">
        <v>13876.808000000001</v>
      </c>
      <c r="AH39" s="10">
        <v>13791.975</v>
      </c>
      <c r="AI39" s="10">
        <v>13673.234</v>
      </c>
      <c r="AJ39" s="10">
        <v>13560.699000000001</v>
      </c>
      <c r="AK39" s="10">
        <v>13436.623</v>
      </c>
      <c r="AL39" s="10">
        <v>13291.496999999999</v>
      </c>
      <c r="AM39" s="10">
        <v>13128.208000000001</v>
      </c>
      <c r="AN39" s="10">
        <v>12983.709000000001</v>
      </c>
      <c r="AO39" s="10">
        <v>12851.514999999999</v>
      </c>
      <c r="AP39" s="10">
        <v>12720.375</v>
      </c>
      <c r="AQ39" s="10">
        <v>12583.343000000001</v>
      </c>
      <c r="AR39" s="10">
        <v>12465.196</v>
      </c>
      <c r="AS39" s="10">
        <v>12365.516</v>
      </c>
      <c r="AT39" s="10">
        <v>12289.39</v>
      </c>
      <c r="AU39" s="10">
        <v>12238.905000000001</v>
      </c>
      <c r="AV39" s="10">
        <v>12223.210999999999</v>
      </c>
      <c r="AW39" s="10">
        <v>12221.847</v>
      </c>
      <c r="AX39" s="10">
        <v>12231.369000000001</v>
      </c>
      <c r="AY39" s="10">
        <v>12244.644</v>
      </c>
      <c r="AZ39" s="10">
        <v>12264.44</v>
      </c>
      <c r="BA39" s="10">
        <v>12292.638000000001</v>
      </c>
      <c r="BB39" s="10">
        <v>12327.95</v>
      </c>
      <c r="BC39" s="10">
        <v>12369.412</v>
      </c>
      <c r="BD39" s="10">
        <v>12415.672</v>
      </c>
      <c r="BE39" s="10">
        <v>12464.397000000001</v>
      </c>
      <c r="BF39" s="10">
        <v>12512.950999999999</v>
      </c>
      <c r="BG39" s="10">
        <v>12559.46</v>
      </c>
      <c r="BH39" s="10">
        <v>12602.295</v>
      </c>
      <c r="BI39" s="10">
        <v>12639.701999999999</v>
      </c>
      <c r="BJ39" s="10">
        <v>12669.790999999999</v>
      </c>
      <c r="BK39" s="10">
        <v>12690.11</v>
      </c>
      <c r="BL39" s="10">
        <v>12698.476000000001</v>
      </c>
      <c r="BM39" s="10">
        <v>12694.157999999999</v>
      </c>
      <c r="BN39" s="10">
        <v>12677.032999999999</v>
      </c>
      <c r="BO39" s="10">
        <v>12647.477999999999</v>
      </c>
      <c r="BP39" s="10">
        <v>12606.923000000001</v>
      </c>
      <c r="BQ39" s="10">
        <v>12557.174999999999</v>
      </c>
      <c r="BR39" s="10">
        <v>12499.662</v>
      </c>
      <c r="BS39" s="10">
        <v>12435.995999999999</v>
      </c>
      <c r="BT39" s="10">
        <v>12368.811</v>
      </c>
      <c r="BU39" s="10">
        <v>12300.674000000001</v>
      </c>
      <c r="BV39" s="10">
        <v>12233.33</v>
      </c>
      <c r="BW39" s="10">
        <v>12168.66</v>
      </c>
      <c r="BX39" s="10">
        <v>12108.448</v>
      </c>
      <c r="BY39" s="10">
        <v>12054.215</v>
      </c>
      <c r="BZ39" s="10">
        <v>12006.843999999999</v>
      </c>
      <c r="CA39" s="10">
        <v>11966.843000000001</v>
      </c>
      <c r="CB39" s="10">
        <v>11934.73</v>
      </c>
      <c r="CC39" s="10">
        <v>11910.74</v>
      </c>
      <c r="CD39" s="10">
        <v>11894.652</v>
      </c>
      <c r="CE39" s="10">
        <v>11885.924999999999</v>
      </c>
      <c r="CF39" s="10">
        <v>11883.768</v>
      </c>
      <c r="CG39" s="10">
        <v>11887.394</v>
      </c>
      <c r="CH39" s="10">
        <v>11895.912</v>
      </c>
      <c r="CI39" s="10">
        <v>11908.313</v>
      </c>
      <c r="CJ39" s="10">
        <v>11923.597</v>
      </c>
      <c r="CK39" s="10">
        <v>11940.635</v>
      </c>
      <c r="CL39" s="10">
        <v>11958.23</v>
      </c>
      <c r="CM39" s="10">
        <v>11975.252</v>
      </c>
      <c r="CN39" s="10">
        <v>11990.668</v>
      </c>
      <c r="CO39" s="10">
        <v>12003.547</v>
      </c>
      <c r="CP39" s="10">
        <v>12013.189</v>
      </c>
      <c r="CQ39" s="10">
        <v>12018.959000000001</v>
      </c>
      <c r="CR39" s="10">
        <v>12020.35</v>
      </c>
      <c r="CS39" s="10">
        <v>12017.117</v>
      </c>
      <c r="CT39" s="10">
        <v>12009.064</v>
      </c>
      <c r="CU39" s="10">
        <v>11996.288</v>
      </c>
      <c r="CV39" s="10">
        <v>11978.939</v>
      </c>
      <c r="CW39" s="10">
        <v>11957.455</v>
      </c>
      <c r="CX39" s="10">
        <v>11932.305</v>
      </c>
    </row>
    <row r="40" spans="1:102" x14ac:dyDescent="0.2">
      <c r="A40" s="55" t="s">
        <v>308</v>
      </c>
      <c r="B40" s="10">
        <v>13430.834999999999</v>
      </c>
      <c r="C40" s="10">
        <v>13347.790999999999</v>
      </c>
      <c r="D40" s="10">
        <v>13221.778</v>
      </c>
      <c r="E40" s="10">
        <v>13092.326999999999</v>
      </c>
      <c r="F40" s="10">
        <v>13000.754999999999</v>
      </c>
      <c r="G40" s="10">
        <v>12936.275</v>
      </c>
      <c r="H40" s="10">
        <v>12880</v>
      </c>
      <c r="I40" s="10">
        <v>12816.902</v>
      </c>
      <c r="J40" s="10">
        <v>12768.162</v>
      </c>
      <c r="K40" s="10">
        <v>12715.146000000001</v>
      </c>
      <c r="L40" s="10">
        <v>12706.44</v>
      </c>
      <c r="M40" s="10">
        <v>12680.891</v>
      </c>
      <c r="N40" s="10">
        <v>12678.828</v>
      </c>
      <c r="O40" s="10">
        <v>12736.531999999999</v>
      </c>
      <c r="P40" s="10">
        <v>12822.492</v>
      </c>
      <c r="Q40" s="10">
        <v>12931.275</v>
      </c>
      <c r="R40" s="10">
        <v>13072.975</v>
      </c>
      <c r="S40" s="10">
        <v>13214.591</v>
      </c>
      <c r="T40" s="10">
        <v>13319.883</v>
      </c>
      <c r="U40" s="10">
        <v>13372.578</v>
      </c>
      <c r="V40" s="10">
        <v>13371.308000000001</v>
      </c>
      <c r="W40" s="10">
        <v>13377.421</v>
      </c>
      <c r="X40" s="10">
        <v>13395.237999999999</v>
      </c>
      <c r="Y40" s="10">
        <v>13394.239</v>
      </c>
      <c r="Z40" s="10">
        <v>13392.798000000001</v>
      </c>
      <c r="AA40" s="10">
        <v>13351.281999999999</v>
      </c>
      <c r="AB40" s="10">
        <v>13292.169</v>
      </c>
      <c r="AC40" s="10">
        <v>13215.753000000001</v>
      </c>
      <c r="AD40" s="10">
        <v>13127.933999999999</v>
      </c>
      <c r="AE40" s="10">
        <v>13067.472</v>
      </c>
      <c r="AF40" s="10">
        <v>13012.832</v>
      </c>
      <c r="AG40" s="10">
        <v>12970.898999999999</v>
      </c>
      <c r="AH40" s="10">
        <v>12960.485000000001</v>
      </c>
      <c r="AI40" s="10">
        <v>13002.764999999999</v>
      </c>
      <c r="AJ40" s="10">
        <v>13040.653</v>
      </c>
      <c r="AK40" s="10">
        <v>13109.968999999999</v>
      </c>
      <c r="AL40" s="10">
        <v>13190.621999999999</v>
      </c>
      <c r="AM40" s="10">
        <v>13281.617</v>
      </c>
      <c r="AN40" s="10">
        <v>13368.322</v>
      </c>
      <c r="AO40" s="10">
        <v>13446.331</v>
      </c>
      <c r="AP40" s="10">
        <v>13540.195</v>
      </c>
      <c r="AQ40" s="10">
        <v>13653.388999999999</v>
      </c>
      <c r="AR40" s="10">
        <v>13769.159</v>
      </c>
      <c r="AS40" s="10">
        <v>13855.955</v>
      </c>
      <c r="AT40" s="10">
        <v>13899.555</v>
      </c>
      <c r="AU40" s="10">
        <v>13905.034</v>
      </c>
      <c r="AV40" s="10">
        <v>13849.516</v>
      </c>
      <c r="AW40" s="10">
        <v>13768.405000000001</v>
      </c>
      <c r="AX40" s="10">
        <v>13654.38</v>
      </c>
      <c r="AY40" s="10">
        <v>13546.498</v>
      </c>
      <c r="AZ40" s="10">
        <v>13427.433999999999</v>
      </c>
      <c r="BA40" s="10">
        <v>13288.040999999999</v>
      </c>
      <c r="BB40" s="10">
        <v>13131.075000000001</v>
      </c>
      <c r="BC40" s="10">
        <v>12992.405000000001</v>
      </c>
      <c r="BD40" s="10">
        <v>12865.739</v>
      </c>
      <c r="BE40" s="10">
        <v>12740.156999999999</v>
      </c>
      <c r="BF40" s="10">
        <v>12608.937</v>
      </c>
      <c r="BG40" s="10">
        <v>12496.156000000001</v>
      </c>
      <c r="BH40" s="10">
        <v>12401.433000000001</v>
      </c>
      <c r="BI40" s="10">
        <v>12329.704</v>
      </c>
      <c r="BJ40" s="10">
        <v>12282.978999999999</v>
      </c>
      <c r="BK40" s="10">
        <v>12270.156000000001</v>
      </c>
      <c r="BL40" s="10">
        <v>12271.38</v>
      </c>
      <c r="BM40" s="10">
        <v>12283.294</v>
      </c>
      <c r="BN40" s="10">
        <v>12298.950999999999</v>
      </c>
      <c r="BO40" s="10">
        <v>12321.039000000001</v>
      </c>
      <c r="BP40" s="10">
        <v>12351.37</v>
      </c>
      <c r="BQ40" s="10">
        <v>12388.683000000001</v>
      </c>
      <c r="BR40" s="10">
        <v>12432.019</v>
      </c>
      <c r="BS40" s="10">
        <v>12480.01</v>
      </c>
      <c r="BT40" s="10">
        <v>12530.361999999999</v>
      </c>
      <c r="BU40" s="10">
        <v>12580.467000000001</v>
      </c>
      <c r="BV40" s="10">
        <v>12628.489</v>
      </c>
      <c r="BW40" s="10">
        <v>12672.796</v>
      </c>
      <c r="BX40" s="10">
        <v>12711.671</v>
      </c>
      <c r="BY40" s="10">
        <v>12743.231</v>
      </c>
      <c r="BZ40" s="10">
        <v>12765.111999999999</v>
      </c>
      <c r="CA40" s="10">
        <v>12775.17</v>
      </c>
      <c r="CB40" s="10">
        <v>12772.692999999999</v>
      </c>
      <c r="CC40" s="10">
        <v>12757.544</v>
      </c>
      <c r="CD40" s="10">
        <v>12730.138999999999</v>
      </c>
      <c r="CE40" s="10">
        <v>12691.878000000001</v>
      </c>
      <c r="CF40" s="10">
        <v>12644.547</v>
      </c>
      <c r="CG40" s="10">
        <v>12589.576999999999</v>
      </c>
      <c r="CH40" s="10">
        <v>12528.529</v>
      </c>
      <c r="CI40" s="10">
        <v>12464.027</v>
      </c>
      <c r="CJ40" s="10">
        <v>12398.575000000001</v>
      </c>
      <c r="CK40" s="10">
        <v>12333.905000000001</v>
      </c>
      <c r="CL40" s="10">
        <v>12271.865</v>
      </c>
      <c r="CM40" s="10">
        <v>12214.217000000001</v>
      </c>
      <c r="CN40" s="10">
        <v>12162.468999999999</v>
      </c>
      <c r="CO40" s="10">
        <v>12117.450999999999</v>
      </c>
      <c r="CP40" s="10">
        <v>12079.716</v>
      </c>
      <c r="CQ40" s="10">
        <v>12049.741</v>
      </c>
      <c r="CR40" s="10">
        <v>12027.771000000001</v>
      </c>
      <c r="CS40" s="10">
        <v>12013.576999999999</v>
      </c>
      <c r="CT40" s="10">
        <v>12006.626</v>
      </c>
      <c r="CU40" s="10">
        <v>12006.13</v>
      </c>
      <c r="CV40" s="10">
        <v>12011.337</v>
      </c>
      <c r="CW40" s="10">
        <v>12021.358</v>
      </c>
      <c r="CX40" s="10">
        <v>12035.198</v>
      </c>
    </row>
    <row r="41" spans="1:102" x14ac:dyDescent="0.2">
      <c r="A41" s="55" t="s">
        <v>309</v>
      </c>
      <c r="B41" s="10">
        <v>10575.105</v>
      </c>
      <c r="C41" s="10">
        <v>10730.790999999999</v>
      </c>
      <c r="D41" s="10">
        <v>10754.773999999999</v>
      </c>
      <c r="E41" s="10">
        <v>10865.449000000001</v>
      </c>
      <c r="F41" s="10">
        <v>11033.285</v>
      </c>
      <c r="G41" s="10">
        <v>11228.210999999999</v>
      </c>
      <c r="H41" s="10">
        <v>11429.468999999999</v>
      </c>
      <c r="I41" s="10">
        <v>11636.978999999999</v>
      </c>
      <c r="J41" s="10">
        <v>11816.644</v>
      </c>
      <c r="K41" s="10">
        <v>11989.048000000001</v>
      </c>
      <c r="L41" s="10">
        <v>12141.853999999999</v>
      </c>
      <c r="M41" s="10">
        <v>12293.245999999999</v>
      </c>
      <c r="N41" s="10">
        <v>12394.253000000001</v>
      </c>
      <c r="O41" s="10">
        <v>12436.624</v>
      </c>
      <c r="P41" s="10">
        <v>12432.112999999999</v>
      </c>
      <c r="Q41" s="10">
        <v>12401.052</v>
      </c>
      <c r="R41" s="10">
        <v>12329.102999999999</v>
      </c>
      <c r="S41" s="10">
        <v>12220.066000000001</v>
      </c>
      <c r="T41" s="10">
        <v>12108.398999999999</v>
      </c>
      <c r="U41" s="10">
        <v>12036.040999999999</v>
      </c>
      <c r="V41" s="10">
        <v>11991.652</v>
      </c>
      <c r="W41" s="10">
        <v>11955.126</v>
      </c>
      <c r="X41" s="10">
        <v>11913.434999999999</v>
      </c>
      <c r="Y41" s="10">
        <v>11884.615</v>
      </c>
      <c r="Z41" s="10">
        <v>11852.124</v>
      </c>
      <c r="AA41" s="10">
        <v>11860.119000000001</v>
      </c>
      <c r="AB41" s="10">
        <v>11854.474</v>
      </c>
      <c r="AC41" s="10">
        <v>11869.031000000001</v>
      </c>
      <c r="AD41" s="10">
        <v>11937.226000000001</v>
      </c>
      <c r="AE41" s="10">
        <v>12028.656000000001</v>
      </c>
      <c r="AF41" s="10">
        <v>12140.118</v>
      </c>
      <c r="AG41" s="10">
        <v>12281.144</v>
      </c>
      <c r="AH41" s="10">
        <v>12419.847</v>
      </c>
      <c r="AI41" s="10">
        <v>12523.798000000001</v>
      </c>
      <c r="AJ41" s="10">
        <v>12581.635</v>
      </c>
      <c r="AK41" s="10">
        <v>12590.329</v>
      </c>
      <c r="AL41" s="10">
        <v>12605.918</v>
      </c>
      <c r="AM41" s="10">
        <v>12631.907999999999</v>
      </c>
      <c r="AN41" s="10">
        <v>12639.6</v>
      </c>
      <c r="AO41" s="10">
        <v>12646.105</v>
      </c>
      <c r="AP41" s="10">
        <v>12615.746999999999</v>
      </c>
      <c r="AQ41" s="10">
        <v>12568.637000000001</v>
      </c>
      <c r="AR41" s="10">
        <v>12504.183000000001</v>
      </c>
      <c r="AS41" s="10">
        <v>12430.939</v>
      </c>
      <c r="AT41" s="10">
        <v>12383.898999999999</v>
      </c>
      <c r="AU41" s="10">
        <v>12343.583000000001</v>
      </c>
      <c r="AV41" s="10">
        <v>12317.441999999999</v>
      </c>
      <c r="AW41" s="10">
        <v>12320.776</v>
      </c>
      <c r="AX41" s="10">
        <v>12373.370999999999</v>
      </c>
      <c r="AY41" s="10">
        <v>12421.821</v>
      </c>
      <c r="AZ41" s="10">
        <v>12499.043</v>
      </c>
      <c r="BA41" s="10">
        <v>12587.699000000001</v>
      </c>
      <c r="BB41" s="10">
        <v>12686.668</v>
      </c>
      <c r="BC41" s="10">
        <v>12779.98</v>
      </c>
      <c r="BD41" s="10">
        <v>12864.191000000001</v>
      </c>
      <c r="BE41" s="10">
        <v>12962.063</v>
      </c>
      <c r="BF41" s="10">
        <v>13077.057000000001</v>
      </c>
      <c r="BG41" s="10">
        <v>13192.266</v>
      </c>
      <c r="BH41" s="10">
        <v>13279.395</v>
      </c>
      <c r="BI41" s="10">
        <v>13325.425999999999</v>
      </c>
      <c r="BJ41" s="10">
        <v>13334.98</v>
      </c>
      <c r="BK41" s="10">
        <v>13287.041999999999</v>
      </c>
      <c r="BL41" s="10">
        <v>13215.312</v>
      </c>
      <c r="BM41" s="10">
        <v>13113.589</v>
      </c>
      <c r="BN41" s="10">
        <v>13017.749</v>
      </c>
      <c r="BO41" s="10">
        <v>12911.883</v>
      </c>
      <c r="BP41" s="10">
        <v>12787.784</v>
      </c>
      <c r="BQ41" s="10">
        <v>12647.937</v>
      </c>
      <c r="BR41" s="10">
        <v>12525.005999999999</v>
      </c>
      <c r="BS41" s="10">
        <v>12413.287</v>
      </c>
      <c r="BT41" s="10">
        <v>12302.878000000001</v>
      </c>
      <c r="BU41" s="10">
        <v>12187.727999999999</v>
      </c>
      <c r="BV41" s="10">
        <v>12089.824000000001</v>
      </c>
      <c r="BW41" s="10">
        <v>12008.837</v>
      </c>
      <c r="BX41" s="10">
        <v>11949.282999999999</v>
      </c>
      <c r="BY41" s="10">
        <v>11912.906999999999</v>
      </c>
      <c r="BZ41" s="10">
        <v>11907.906999999999</v>
      </c>
      <c r="CA41" s="10">
        <v>11916.099</v>
      </c>
      <c r="CB41" s="10">
        <v>11934.44</v>
      </c>
      <c r="CC41" s="10">
        <v>11956.543</v>
      </c>
      <c r="CD41" s="10">
        <v>11984.875</v>
      </c>
      <c r="CE41" s="10">
        <v>12021.046</v>
      </c>
      <c r="CF41" s="10">
        <v>12063.81</v>
      </c>
      <c r="CG41" s="10">
        <v>12112.191000000001</v>
      </c>
      <c r="CH41" s="10">
        <v>12164.902</v>
      </c>
      <c r="CI41" s="10">
        <v>12219.674000000001</v>
      </c>
      <c r="CJ41" s="10">
        <v>12273.978999999999</v>
      </c>
      <c r="CK41" s="10">
        <v>12326.036</v>
      </c>
      <c r="CL41" s="10">
        <v>12374.298000000001</v>
      </c>
      <c r="CM41" s="10">
        <v>12417.08</v>
      </c>
      <c r="CN41" s="10">
        <v>12452.575000000001</v>
      </c>
      <c r="CO41" s="10">
        <v>12478.617</v>
      </c>
      <c r="CP41" s="10">
        <v>12493.166999999999</v>
      </c>
      <c r="CQ41" s="10">
        <v>12495.589</v>
      </c>
      <c r="CR41" s="10">
        <v>12485.772000000001</v>
      </c>
      <c r="CS41" s="10">
        <v>12464.175999999999</v>
      </c>
      <c r="CT41" s="10">
        <v>12432.147999999999</v>
      </c>
      <c r="CU41" s="10">
        <v>12391.415999999999</v>
      </c>
      <c r="CV41" s="10">
        <v>12343.368</v>
      </c>
      <c r="CW41" s="10">
        <v>12289.509</v>
      </c>
      <c r="CX41" s="10">
        <v>12232.364</v>
      </c>
    </row>
    <row r="42" spans="1:102" x14ac:dyDescent="0.2">
      <c r="A42" s="55" t="s">
        <v>310</v>
      </c>
      <c r="B42" s="10">
        <v>5789.3509999999997</v>
      </c>
      <c r="C42" s="10">
        <v>5920.3789999999999</v>
      </c>
      <c r="D42" s="10">
        <v>6201.6260000000002</v>
      </c>
      <c r="E42" s="10">
        <v>6424.0649999999996</v>
      </c>
      <c r="F42" s="10">
        <v>6599.3630000000003</v>
      </c>
      <c r="G42" s="10">
        <v>6746.7330000000002</v>
      </c>
      <c r="H42" s="10">
        <v>6870.857</v>
      </c>
      <c r="I42" s="10">
        <v>6979.8519999999999</v>
      </c>
      <c r="J42" s="10">
        <v>7095.2809999999999</v>
      </c>
      <c r="K42" s="10">
        <v>7207.9040000000005</v>
      </c>
      <c r="L42" s="10">
        <v>7308.7190000000001</v>
      </c>
      <c r="M42" s="10">
        <v>7421.5540000000001</v>
      </c>
      <c r="N42" s="10">
        <v>7546.8590000000004</v>
      </c>
      <c r="O42" s="10">
        <v>7685.7219999999998</v>
      </c>
      <c r="P42" s="10">
        <v>7828.2749999999996</v>
      </c>
      <c r="Q42" s="10">
        <v>7975.723</v>
      </c>
      <c r="R42" s="10">
        <v>8142.4359999999997</v>
      </c>
      <c r="S42" s="10">
        <v>8324.6479999999992</v>
      </c>
      <c r="T42" s="10">
        <v>8514.7710000000006</v>
      </c>
      <c r="U42" s="10">
        <v>8712.91</v>
      </c>
      <c r="V42" s="10">
        <v>8910.5169999999998</v>
      </c>
      <c r="W42" s="10">
        <v>9094.7489999999998</v>
      </c>
      <c r="X42" s="10">
        <v>9272.982</v>
      </c>
      <c r="Y42" s="10">
        <v>9435.1589999999997</v>
      </c>
      <c r="Z42" s="10">
        <v>9591.4259999999995</v>
      </c>
      <c r="AA42" s="10">
        <v>9724.0769999999993</v>
      </c>
      <c r="AB42" s="10">
        <v>9868.9979999999996</v>
      </c>
      <c r="AC42" s="10">
        <v>9984.5259999999998</v>
      </c>
      <c r="AD42" s="10">
        <v>10064.790999999999</v>
      </c>
      <c r="AE42" s="10">
        <v>10111.501</v>
      </c>
      <c r="AF42" s="10">
        <v>10142.942999999999</v>
      </c>
      <c r="AG42" s="10">
        <v>10159.011</v>
      </c>
      <c r="AH42" s="10">
        <v>10159.635</v>
      </c>
      <c r="AI42" s="10">
        <v>10167.938</v>
      </c>
      <c r="AJ42" s="10">
        <v>10219.960999999999</v>
      </c>
      <c r="AK42" s="10">
        <v>10298.232</v>
      </c>
      <c r="AL42" s="10">
        <v>10374.094999999999</v>
      </c>
      <c r="AM42" s="10">
        <v>10442.968000000001</v>
      </c>
      <c r="AN42" s="10">
        <v>10512.093000000001</v>
      </c>
      <c r="AO42" s="10">
        <v>10576.300999999999</v>
      </c>
      <c r="AP42" s="10">
        <v>10658.992</v>
      </c>
      <c r="AQ42" s="10">
        <v>10744.71</v>
      </c>
      <c r="AR42" s="10">
        <v>10827.35</v>
      </c>
      <c r="AS42" s="10">
        <v>10931.093000000001</v>
      </c>
      <c r="AT42" s="10">
        <v>11030.91</v>
      </c>
      <c r="AU42" s="10">
        <v>11140.164000000001</v>
      </c>
      <c r="AV42" s="10">
        <v>11267.103999999999</v>
      </c>
      <c r="AW42" s="10">
        <v>11383.357</v>
      </c>
      <c r="AX42" s="10">
        <v>11480.146000000001</v>
      </c>
      <c r="AY42" s="10">
        <v>11578.708000000001</v>
      </c>
      <c r="AZ42" s="10">
        <v>11660.189</v>
      </c>
      <c r="BA42" s="10">
        <v>11747.81</v>
      </c>
      <c r="BB42" s="10">
        <v>11839.602999999999</v>
      </c>
      <c r="BC42" s="10">
        <v>11915.332</v>
      </c>
      <c r="BD42" s="10">
        <v>11984.715</v>
      </c>
      <c r="BE42" s="10">
        <v>12035.905000000001</v>
      </c>
      <c r="BF42" s="10">
        <v>12072.614</v>
      </c>
      <c r="BG42" s="10">
        <v>12088.39</v>
      </c>
      <c r="BH42" s="10">
        <v>12112.394</v>
      </c>
      <c r="BI42" s="10">
        <v>12153.427</v>
      </c>
      <c r="BJ42" s="10">
        <v>12206.081</v>
      </c>
      <c r="BK42" s="10">
        <v>12284.745999999999</v>
      </c>
      <c r="BL42" s="10">
        <v>12377.933000000001</v>
      </c>
      <c r="BM42" s="10">
        <v>12496.056</v>
      </c>
      <c r="BN42" s="10">
        <v>12610.664000000001</v>
      </c>
      <c r="BO42" s="10">
        <v>12735.236000000001</v>
      </c>
      <c r="BP42" s="10">
        <v>12875.617</v>
      </c>
      <c r="BQ42" s="10">
        <v>13029.773999999999</v>
      </c>
      <c r="BR42" s="10">
        <v>13165.366</v>
      </c>
      <c r="BS42" s="10">
        <v>13288.66</v>
      </c>
      <c r="BT42" s="10">
        <v>13409.968000000001</v>
      </c>
      <c r="BU42" s="10">
        <v>13536.003000000001</v>
      </c>
      <c r="BV42" s="10">
        <v>13645.539000000001</v>
      </c>
      <c r="BW42" s="10">
        <v>13739.302</v>
      </c>
      <c r="BX42" s="10">
        <v>13813.188</v>
      </c>
      <c r="BY42" s="10">
        <v>13866.188</v>
      </c>
      <c r="BZ42" s="10">
        <v>13891.741</v>
      </c>
      <c r="CA42" s="10">
        <v>13909.652</v>
      </c>
      <c r="CB42" s="10">
        <v>13923.093000000001</v>
      </c>
      <c r="CC42" s="10">
        <v>13938.169</v>
      </c>
      <c r="CD42" s="10">
        <v>13952.013000000001</v>
      </c>
      <c r="CE42" s="10">
        <v>13961.927</v>
      </c>
      <c r="CF42" s="10">
        <v>13967.88</v>
      </c>
      <c r="CG42" s="10">
        <v>13969.968999999999</v>
      </c>
      <c r="CH42" s="10">
        <v>13968.644</v>
      </c>
      <c r="CI42" s="10">
        <v>13964.51</v>
      </c>
      <c r="CJ42" s="10">
        <v>13958.602999999999</v>
      </c>
      <c r="CK42" s="10">
        <v>13952.269</v>
      </c>
      <c r="CL42" s="10">
        <v>13946.648999999999</v>
      </c>
      <c r="CM42" s="10">
        <v>13943.058999999999</v>
      </c>
      <c r="CN42" s="10">
        <v>13943.222</v>
      </c>
      <c r="CO42" s="10">
        <v>13949.72</v>
      </c>
      <c r="CP42" s="10">
        <v>13965.165999999999</v>
      </c>
      <c r="CQ42" s="10">
        <v>13990.663</v>
      </c>
      <c r="CR42" s="10">
        <v>14026.842000000001</v>
      </c>
      <c r="CS42" s="10">
        <v>14073.924999999999</v>
      </c>
      <c r="CT42" s="10">
        <v>14131.298000000001</v>
      </c>
      <c r="CU42" s="10">
        <v>14197.925999999999</v>
      </c>
      <c r="CV42" s="10">
        <v>14272.874</v>
      </c>
      <c r="CW42" s="10">
        <v>14354.923000000001</v>
      </c>
      <c r="CX42" s="10">
        <v>14441.791999999999</v>
      </c>
    </row>
    <row r="43" spans="1:102" x14ac:dyDescent="0.2">
      <c r="B43" s="55" t="s">
        <v>286</v>
      </c>
      <c r="C43" s="55" t="s">
        <v>286</v>
      </c>
      <c r="D43" s="55" t="s">
        <v>286</v>
      </c>
      <c r="E43" s="55" t="s">
        <v>286</v>
      </c>
      <c r="F43" s="55" t="s">
        <v>286</v>
      </c>
      <c r="G43" s="55" t="s">
        <v>286</v>
      </c>
      <c r="H43" s="55" t="s">
        <v>286</v>
      </c>
      <c r="I43" s="55" t="s">
        <v>286</v>
      </c>
      <c r="J43" s="55" t="s">
        <v>286</v>
      </c>
      <c r="K43" s="55" t="s">
        <v>286</v>
      </c>
      <c r="L43" s="55" t="s">
        <v>286</v>
      </c>
      <c r="M43" s="55" t="s">
        <v>286</v>
      </c>
      <c r="N43" s="55" t="s">
        <v>286</v>
      </c>
      <c r="O43" s="55" t="s">
        <v>286</v>
      </c>
      <c r="P43" s="55" t="s">
        <v>286</v>
      </c>
      <c r="Q43" s="55" t="s">
        <v>286</v>
      </c>
      <c r="R43" s="55" t="s">
        <v>286</v>
      </c>
      <c r="S43" s="55" t="s">
        <v>286</v>
      </c>
      <c r="T43" s="55" t="s">
        <v>286</v>
      </c>
      <c r="U43" s="55" t="s">
        <v>286</v>
      </c>
      <c r="V43" s="55" t="s">
        <v>286</v>
      </c>
      <c r="W43" s="55" t="s">
        <v>286</v>
      </c>
      <c r="X43" s="55" t="s">
        <v>286</v>
      </c>
      <c r="Y43" s="55" t="s">
        <v>286</v>
      </c>
      <c r="Z43" s="55" t="s">
        <v>286</v>
      </c>
      <c r="AA43" s="57" t="s">
        <v>286</v>
      </c>
      <c r="AB43" s="55" t="s">
        <v>286</v>
      </c>
      <c r="AC43" s="55" t="s">
        <v>286</v>
      </c>
      <c r="AD43" s="55" t="s">
        <v>286</v>
      </c>
      <c r="AE43" s="55" t="s">
        <v>286</v>
      </c>
      <c r="AF43" s="55" t="s">
        <v>286</v>
      </c>
      <c r="AG43" s="55" t="s">
        <v>286</v>
      </c>
      <c r="AH43" s="55" t="s">
        <v>286</v>
      </c>
      <c r="AI43" s="55" t="s">
        <v>286</v>
      </c>
      <c r="AJ43" s="55" t="s">
        <v>286</v>
      </c>
      <c r="AK43" s="55" t="s">
        <v>286</v>
      </c>
      <c r="AL43" s="55" t="s">
        <v>286</v>
      </c>
      <c r="AM43" s="55" t="s">
        <v>286</v>
      </c>
      <c r="AN43" s="55" t="s">
        <v>286</v>
      </c>
      <c r="AO43" s="55" t="s">
        <v>286</v>
      </c>
      <c r="AP43" s="55" t="s">
        <v>286</v>
      </c>
      <c r="AQ43" s="55" t="s">
        <v>286</v>
      </c>
      <c r="AR43" s="55" t="s">
        <v>286</v>
      </c>
      <c r="AS43" s="55" t="s">
        <v>286</v>
      </c>
      <c r="AT43" s="55" t="s">
        <v>286</v>
      </c>
      <c r="AU43" s="55" t="s">
        <v>286</v>
      </c>
      <c r="AV43" s="55" t="s">
        <v>286</v>
      </c>
      <c r="AW43" s="55" t="s">
        <v>286</v>
      </c>
      <c r="AX43" s="55" t="s">
        <v>286</v>
      </c>
      <c r="AY43" s="55" t="s">
        <v>286</v>
      </c>
      <c r="AZ43" s="57" t="s">
        <v>286</v>
      </c>
      <c r="BA43" s="55" t="s">
        <v>286</v>
      </c>
      <c r="BB43" s="55" t="s">
        <v>286</v>
      </c>
      <c r="BC43" s="55" t="s">
        <v>286</v>
      </c>
      <c r="BD43" s="55" t="s">
        <v>286</v>
      </c>
      <c r="BE43" s="55" t="s">
        <v>286</v>
      </c>
      <c r="BF43" s="55" t="s">
        <v>286</v>
      </c>
      <c r="BG43" s="55" t="s">
        <v>286</v>
      </c>
      <c r="BH43" s="55" t="s">
        <v>286</v>
      </c>
      <c r="BI43" s="55" t="s">
        <v>286</v>
      </c>
      <c r="BJ43" s="55" t="s">
        <v>286</v>
      </c>
      <c r="BK43" s="55" t="s">
        <v>286</v>
      </c>
      <c r="BL43" s="55" t="s">
        <v>286</v>
      </c>
      <c r="BM43" s="55" t="s">
        <v>286</v>
      </c>
      <c r="BN43" s="55" t="s">
        <v>286</v>
      </c>
      <c r="BO43" s="55" t="s">
        <v>286</v>
      </c>
      <c r="BP43" s="55" t="s">
        <v>286</v>
      </c>
      <c r="BQ43" s="55" t="s">
        <v>286</v>
      </c>
      <c r="BR43" s="55" t="s">
        <v>286</v>
      </c>
      <c r="BS43" s="55" t="s">
        <v>286</v>
      </c>
      <c r="BT43" s="55" t="s">
        <v>286</v>
      </c>
      <c r="BU43" s="55" t="s">
        <v>286</v>
      </c>
      <c r="BV43" s="55" t="s">
        <v>286</v>
      </c>
      <c r="BW43" s="55" t="s">
        <v>286</v>
      </c>
      <c r="BX43" s="55" t="s">
        <v>286</v>
      </c>
      <c r="BY43" s="57" t="s">
        <v>286</v>
      </c>
      <c r="BZ43" s="55" t="s">
        <v>286</v>
      </c>
      <c r="CA43" s="55" t="s">
        <v>286</v>
      </c>
      <c r="CB43" s="55" t="s">
        <v>286</v>
      </c>
      <c r="CC43" s="55" t="s">
        <v>286</v>
      </c>
      <c r="CD43" s="55" t="s">
        <v>286</v>
      </c>
      <c r="CE43" s="55" t="s">
        <v>286</v>
      </c>
      <c r="CF43" s="55" t="s">
        <v>286</v>
      </c>
      <c r="CG43" s="55" t="s">
        <v>286</v>
      </c>
      <c r="CH43" s="55" t="s">
        <v>286</v>
      </c>
      <c r="CI43" s="55" t="s">
        <v>286</v>
      </c>
      <c r="CJ43" s="55" t="s">
        <v>286</v>
      </c>
      <c r="CK43" s="55" t="s">
        <v>286</v>
      </c>
      <c r="CL43" s="55" t="s">
        <v>286</v>
      </c>
      <c r="CM43" s="55" t="s">
        <v>286</v>
      </c>
      <c r="CN43" s="55" t="s">
        <v>286</v>
      </c>
      <c r="CO43" s="55" t="s">
        <v>286</v>
      </c>
      <c r="CP43" s="55" t="s">
        <v>286</v>
      </c>
      <c r="CQ43" s="55" t="s">
        <v>286</v>
      </c>
      <c r="CR43" s="55" t="s">
        <v>286</v>
      </c>
      <c r="CS43" s="55" t="s">
        <v>286</v>
      </c>
      <c r="CT43" s="55" t="s">
        <v>286</v>
      </c>
      <c r="CU43" s="55" t="s">
        <v>286</v>
      </c>
      <c r="CV43" s="55" t="s">
        <v>286</v>
      </c>
      <c r="CW43" s="55" t="s">
        <v>286</v>
      </c>
      <c r="CX43" s="57" t="s">
        <v>286</v>
      </c>
    </row>
    <row r="44" spans="1:102" x14ac:dyDescent="0.2">
      <c r="A44" s="55" t="s">
        <v>135</v>
      </c>
      <c r="B44" s="10">
        <v>67081.233999999997</v>
      </c>
      <c r="C44" s="10">
        <v>67350.695000000007</v>
      </c>
      <c r="D44" s="10">
        <v>67595.823999999993</v>
      </c>
      <c r="E44" s="10">
        <v>67844.315000000002</v>
      </c>
      <c r="F44" s="10">
        <v>68081.792000000001</v>
      </c>
      <c r="G44" s="10">
        <v>68304.932000000001</v>
      </c>
      <c r="H44" s="10">
        <v>68512.085999999996</v>
      </c>
      <c r="I44" s="10">
        <v>68701.986000000004</v>
      </c>
      <c r="J44" s="10">
        <v>68881.062000000005</v>
      </c>
      <c r="K44" s="10">
        <v>69049.388999999996</v>
      </c>
      <c r="L44" s="10">
        <v>69207.197</v>
      </c>
      <c r="M44" s="10">
        <v>69355.073999999993</v>
      </c>
      <c r="N44" s="10">
        <v>69493.865999999995</v>
      </c>
      <c r="O44" s="10">
        <v>69624.160000000003</v>
      </c>
      <c r="P44" s="10">
        <v>69746.769</v>
      </c>
      <c r="Q44" s="10">
        <v>69862.985000000001</v>
      </c>
      <c r="R44" s="10">
        <v>69975.245999999999</v>
      </c>
      <c r="S44" s="10">
        <v>70086.048999999999</v>
      </c>
      <c r="T44" s="10">
        <v>70196.441999999995</v>
      </c>
      <c r="U44" s="10">
        <v>70307.057000000001</v>
      </c>
      <c r="V44" s="10">
        <v>70418.383000000002</v>
      </c>
      <c r="W44" s="10">
        <v>70530.082999999999</v>
      </c>
      <c r="X44" s="10">
        <v>70641.542000000001</v>
      </c>
      <c r="Y44" s="10">
        <v>70752.322</v>
      </c>
      <c r="Z44" s="10">
        <v>70861.823999999993</v>
      </c>
      <c r="AA44" s="10">
        <v>70968.244000000006</v>
      </c>
      <c r="AB44" s="10">
        <v>71069.646999999997</v>
      </c>
      <c r="AC44" s="10">
        <v>71164.929000000004</v>
      </c>
      <c r="AD44" s="10">
        <v>71252.805999999997</v>
      </c>
      <c r="AE44" s="10">
        <v>71332.057000000001</v>
      </c>
      <c r="AF44" s="10">
        <v>71401.702000000005</v>
      </c>
      <c r="AG44" s="10">
        <v>71461.317999999999</v>
      </c>
      <c r="AH44" s="10">
        <v>71510.831999999995</v>
      </c>
      <c r="AI44" s="10">
        <v>71550.289000000004</v>
      </c>
      <c r="AJ44" s="10">
        <v>71580.008000000002</v>
      </c>
      <c r="AK44" s="10">
        <v>71600.763000000006</v>
      </c>
      <c r="AL44" s="10">
        <v>71613.707999999999</v>
      </c>
      <c r="AM44" s="10">
        <v>71620.146999999997</v>
      </c>
      <c r="AN44" s="10">
        <v>71621.411999999997</v>
      </c>
      <c r="AO44" s="10">
        <v>71618.834000000003</v>
      </c>
      <c r="AP44" s="10">
        <v>71613.724000000002</v>
      </c>
      <c r="AQ44" s="10">
        <v>71607.237999999998</v>
      </c>
      <c r="AR44" s="10">
        <v>71600.56</v>
      </c>
      <c r="AS44" s="10">
        <v>71594.707999999999</v>
      </c>
      <c r="AT44" s="10">
        <v>71590.570000000007</v>
      </c>
      <c r="AU44" s="10">
        <v>71588.794999999998</v>
      </c>
      <c r="AV44" s="10">
        <v>71589.793000000005</v>
      </c>
      <c r="AW44" s="10">
        <v>71593.744999999995</v>
      </c>
      <c r="AX44" s="10">
        <v>71600.680999999997</v>
      </c>
      <c r="AY44" s="10">
        <v>71610.426999999996</v>
      </c>
      <c r="AZ44" s="10">
        <v>71622.698000000004</v>
      </c>
      <c r="BA44" s="10">
        <v>71636.966</v>
      </c>
      <c r="BB44" s="10">
        <v>71652.646999999997</v>
      </c>
      <c r="BC44" s="10">
        <v>71669.076000000001</v>
      </c>
      <c r="BD44" s="10">
        <v>71685.604000000007</v>
      </c>
      <c r="BE44" s="10">
        <v>71701.538</v>
      </c>
      <c r="BF44" s="10">
        <v>71716.254000000001</v>
      </c>
      <c r="BG44" s="10">
        <v>71729.203999999998</v>
      </c>
      <c r="BH44" s="10">
        <v>71739.951000000001</v>
      </c>
      <c r="BI44" s="10">
        <v>71748.126999999993</v>
      </c>
      <c r="BJ44" s="10">
        <v>71753.517000000007</v>
      </c>
      <c r="BK44" s="10">
        <v>71755.944000000003</v>
      </c>
      <c r="BL44" s="10">
        <v>71755.354000000007</v>
      </c>
      <c r="BM44" s="10">
        <v>71751.754000000001</v>
      </c>
      <c r="BN44" s="10">
        <v>71745.251000000004</v>
      </c>
      <c r="BO44" s="10">
        <v>71735.974000000002</v>
      </c>
      <c r="BP44" s="10">
        <v>71724.088000000003</v>
      </c>
      <c r="BQ44" s="10">
        <v>71709.884000000005</v>
      </c>
      <c r="BR44" s="10">
        <v>71693.557000000001</v>
      </c>
      <c r="BS44" s="10">
        <v>71675.400999999998</v>
      </c>
      <c r="BT44" s="10">
        <v>71655.672000000006</v>
      </c>
      <c r="BU44" s="10">
        <v>71634.626000000004</v>
      </c>
      <c r="BV44" s="10">
        <v>71612.489000000001</v>
      </c>
      <c r="BW44" s="10">
        <v>71589.481</v>
      </c>
      <c r="BX44" s="10">
        <v>71565.792000000001</v>
      </c>
      <c r="BY44" s="10">
        <v>71541.525999999998</v>
      </c>
      <c r="BZ44" s="10">
        <v>71516.698000000004</v>
      </c>
      <c r="CA44" s="10">
        <v>71491.25</v>
      </c>
      <c r="CB44" s="10">
        <v>71465.107999999993</v>
      </c>
      <c r="CC44" s="10">
        <v>71438.095000000001</v>
      </c>
      <c r="CD44" s="10">
        <v>71410.100000000006</v>
      </c>
      <c r="CE44" s="10">
        <v>71380.987999999998</v>
      </c>
      <c r="CF44" s="10">
        <v>71350.678</v>
      </c>
      <c r="CG44" s="10">
        <v>71319.118000000002</v>
      </c>
      <c r="CH44" s="10">
        <v>71286.404999999999</v>
      </c>
      <c r="CI44" s="10">
        <v>71252.778000000006</v>
      </c>
      <c r="CJ44" s="10">
        <v>71218.562999999995</v>
      </c>
      <c r="CK44" s="10">
        <v>71184.244000000006</v>
      </c>
      <c r="CL44" s="10">
        <v>71150.39</v>
      </c>
      <c r="CM44" s="10">
        <v>71117.573000000004</v>
      </c>
      <c r="CN44" s="10">
        <v>71086.466</v>
      </c>
      <c r="CO44" s="10">
        <v>71057.664999999994</v>
      </c>
      <c r="CP44" s="10">
        <v>71031.774000000005</v>
      </c>
      <c r="CQ44" s="10">
        <v>71009.274999999994</v>
      </c>
      <c r="CR44" s="10">
        <v>70990.512000000002</v>
      </c>
      <c r="CS44" s="10">
        <v>70975.691999999995</v>
      </c>
      <c r="CT44" s="10">
        <v>70964.828999999998</v>
      </c>
      <c r="CU44" s="10">
        <v>70957.823000000004</v>
      </c>
      <c r="CV44" s="10">
        <v>70954.404999999999</v>
      </c>
      <c r="CW44" s="10">
        <v>70954.2</v>
      </c>
      <c r="CX44" s="10">
        <v>70956.751000000004</v>
      </c>
    </row>
    <row r="45" spans="1:102" x14ac:dyDescent="0.2">
      <c r="B45" s="55" t="s">
        <v>286</v>
      </c>
      <c r="C45" s="55" t="s">
        <v>286</v>
      </c>
      <c r="D45" s="55" t="s">
        <v>286</v>
      </c>
      <c r="E45" s="55" t="s">
        <v>286</v>
      </c>
      <c r="F45" s="55" t="s">
        <v>286</v>
      </c>
      <c r="G45" s="55" t="s">
        <v>286</v>
      </c>
      <c r="H45" s="55" t="s">
        <v>286</v>
      </c>
      <c r="I45" s="55" t="s">
        <v>286</v>
      </c>
      <c r="J45" s="55" t="s">
        <v>286</v>
      </c>
      <c r="K45" s="55" t="s">
        <v>286</v>
      </c>
      <c r="L45" s="55" t="s">
        <v>286</v>
      </c>
      <c r="M45" s="55" t="s">
        <v>286</v>
      </c>
      <c r="N45" s="55" t="s">
        <v>286</v>
      </c>
      <c r="O45" s="55" t="s">
        <v>286</v>
      </c>
      <c r="P45" s="55" t="s">
        <v>286</v>
      </c>
      <c r="Q45" s="55" t="s">
        <v>286</v>
      </c>
      <c r="R45" s="55" t="s">
        <v>286</v>
      </c>
      <c r="S45" s="55" t="s">
        <v>286</v>
      </c>
      <c r="T45" s="55" t="s">
        <v>286</v>
      </c>
      <c r="U45" s="55" t="s">
        <v>286</v>
      </c>
      <c r="V45" s="55" t="s">
        <v>286</v>
      </c>
      <c r="W45" s="55" t="s">
        <v>286</v>
      </c>
      <c r="X45" s="55" t="s">
        <v>286</v>
      </c>
      <c r="Y45" s="55" t="s">
        <v>286</v>
      </c>
      <c r="Z45" s="55" t="s">
        <v>286</v>
      </c>
      <c r="AA45" s="57" t="s">
        <v>286</v>
      </c>
      <c r="AB45" s="55" t="s">
        <v>286</v>
      </c>
      <c r="AC45" s="55" t="s">
        <v>286</v>
      </c>
      <c r="AD45" s="55" t="s">
        <v>286</v>
      </c>
      <c r="AE45" s="55" t="s">
        <v>286</v>
      </c>
      <c r="AF45" s="55" t="s">
        <v>286</v>
      </c>
      <c r="AG45" s="55" t="s">
        <v>286</v>
      </c>
      <c r="AH45" s="55" t="s">
        <v>286</v>
      </c>
      <c r="AI45" s="55" t="s">
        <v>286</v>
      </c>
      <c r="AJ45" s="55" t="s">
        <v>286</v>
      </c>
      <c r="AK45" s="55" t="s">
        <v>286</v>
      </c>
      <c r="AL45" s="55" t="s">
        <v>286</v>
      </c>
      <c r="AM45" s="55" t="s">
        <v>286</v>
      </c>
      <c r="AN45" s="55" t="s">
        <v>286</v>
      </c>
      <c r="AO45" s="55" t="s">
        <v>286</v>
      </c>
      <c r="AP45" s="55" t="s">
        <v>286</v>
      </c>
      <c r="AQ45" s="55" t="s">
        <v>286</v>
      </c>
      <c r="AR45" s="55" t="s">
        <v>286</v>
      </c>
      <c r="AS45" s="55" t="s">
        <v>286</v>
      </c>
      <c r="AT45" s="55" t="s">
        <v>286</v>
      </c>
      <c r="AU45" s="55" t="s">
        <v>286</v>
      </c>
      <c r="AV45" s="55" t="s">
        <v>286</v>
      </c>
      <c r="AW45" s="55" t="s">
        <v>286</v>
      </c>
      <c r="AX45" s="55" t="s">
        <v>286</v>
      </c>
      <c r="AY45" s="55" t="s">
        <v>286</v>
      </c>
      <c r="AZ45" s="57" t="s">
        <v>286</v>
      </c>
      <c r="BA45" s="55" t="s">
        <v>286</v>
      </c>
      <c r="BB45" s="55" t="s">
        <v>286</v>
      </c>
      <c r="BC45" s="55" t="s">
        <v>286</v>
      </c>
      <c r="BD45" s="55" t="s">
        <v>286</v>
      </c>
      <c r="BE45" s="55" t="s">
        <v>286</v>
      </c>
      <c r="BF45" s="55" t="s">
        <v>286</v>
      </c>
      <c r="BG45" s="55" t="s">
        <v>286</v>
      </c>
      <c r="BH45" s="55" t="s">
        <v>286</v>
      </c>
      <c r="BI45" s="55" t="s">
        <v>286</v>
      </c>
      <c r="BJ45" s="55" t="s">
        <v>286</v>
      </c>
      <c r="BK45" s="55" t="s">
        <v>286</v>
      </c>
      <c r="BL45" s="55" t="s">
        <v>286</v>
      </c>
      <c r="BM45" s="55" t="s">
        <v>286</v>
      </c>
      <c r="BN45" s="55" t="s">
        <v>286</v>
      </c>
      <c r="BO45" s="55" t="s">
        <v>286</v>
      </c>
      <c r="BP45" s="55" t="s">
        <v>286</v>
      </c>
      <c r="BQ45" s="55" t="s">
        <v>286</v>
      </c>
      <c r="BR45" s="55" t="s">
        <v>286</v>
      </c>
      <c r="BS45" s="55" t="s">
        <v>286</v>
      </c>
      <c r="BT45" s="55" t="s">
        <v>286</v>
      </c>
      <c r="BU45" s="55" t="s">
        <v>286</v>
      </c>
      <c r="BV45" s="55" t="s">
        <v>286</v>
      </c>
      <c r="BW45" s="55" t="s">
        <v>286</v>
      </c>
      <c r="BX45" s="55" t="s">
        <v>286</v>
      </c>
      <c r="BY45" s="57" t="s">
        <v>286</v>
      </c>
      <c r="BZ45" s="55" t="s">
        <v>286</v>
      </c>
      <c r="CA45" s="55" t="s">
        <v>286</v>
      </c>
      <c r="CB45" s="55" t="s">
        <v>286</v>
      </c>
      <c r="CC45" s="55" t="s">
        <v>286</v>
      </c>
      <c r="CD45" s="55" t="s">
        <v>286</v>
      </c>
      <c r="CE45" s="55" t="s">
        <v>286</v>
      </c>
      <c r="CF45" s="55" t="s">
        <v>286</v>
      </c>
      <c r="CG45" s="55" t="s">
        <v>286</v>
      </c>
      <c r="CH45" s="55" t="s">
        <v>286</v>
      </c>
      <c r="CI45" s="55" t="s">
        <v>286</v>
      </c>
      <c r="CJ45" s="55" t="s">
        <v>286</v>
      </c>
      <c r="CK45" s="55" t="s">
        <v>286</v>
      </c>
      <c r="CL45" s="55" t="s">
        <v>286</v>
      </c>
      <c r="CM45" s="55" t="s">
        <v>286</v>
      </c>
      <c r="CN45" s="55" t="s">
        <v>286</v>
      </c>
      <c r="CO45" s="55" t="s">
        <v>286</v>
      </c>
      <c r="CP45" s="55" t="s">
        <v>286</v>
      </c>
      <c r="CQ45" s="55" t="s">
        <v>286</v>
      </c>
      <c r="CR45" s="55" t="s">
        <v>286</v>
      </c>
      <c r="CS45" s="55" t="s">
        <v>286</v>
      </c>
      <c r="CT45" s="55" t="s">
        <v>286</v>
      </c>
      <c r="CU45" s="55" t="s">
        <v>286</v>
      </c>
      <c r="CV45" s="55" t="s">
        <v>286</v>
      </c>
      <c r="CW45" s="55" t="s">
        <v>286</v>
      </c>
      <c r="CX45" s="57" t="s">
        <v>286</v>
      </c>
    </row>
    <row r="46" spans="1:102" x14ac:dyDescent="0.2">
      <c r="A46" s="66" t="s">
        <v>311</v>
      </c>
    </row>
    <row r="47" spans="1:102" x14ac:dyDescent="0.2">
      <c r="A47" s="55" t="s">
        <v>305</v>
      </c>
      <c r="B47" s="17">
        <v>17.851277154999998</v>
      </c>
      <c r="C47" s="17">
        <v>17.703876700999999</v>
      </c>
      <c r="D47" s="17">
        <v>17.521842768999999</v>
      </c>
      <c r="E47" s="17">
        <v>17.287383622</v>
      </c>
      <c r="F47" s="17">
        <v>17.064638957</v>
      </c>
      <c r="G47" s="17">
        <v>16.827790707999998</v>
      </c>
      <c r="H47" s="17">
        <v>16.563246958000001</v>
      </c>
      <c r="I47" s="17">
        <v>16.275567346999999</v>
      </c>
      <c r="J47" s="17">
        <v>16.019635412</v>
      </c>
      <c r="K47" s="17">
        <v>15.785482185999999</v>
      </c>
      <c r="L47" s="17">
        <v>15.556340188</v>
      </c>
      <c r="M47" s="17">
        <v>15.321739834000001</v>
      </c>
      <c r="N47" s="17">
        <v>15.117600450999999</v>
      </c>
      <c r="O47" s="17">
        <v>14.942881895999999</v>
      </c>
      <c r="P47" s="17">
        <v>14.804609802</v>
      </c>
      <c r="Q47" s="17">
        <v>14.705289217000001</v>
      </c>
      <c r="R47" s="17">
        <v>14.657459011</v>
      </c>
      <c r="S47" s="17">
        <v>14.630741990000001</v>
      </c>
      <c r="T47" s="17">
        <v>14.619836429999999</v>
      </c>
      <c r="U47" s="17">
        <v>14.614255579</v>
      </c>
      <c r="V47" s="17">
        <v>14.617813647</v>
      </c>
      <c r="W47" s="17">
        <v>14.633335962</v>
      </c>
      <c r="X47" s="17">
        <v>14.659021741</v>
      </c>
      <c r="Y47" s="17">
        <v>14.693512108</v>
      </c>
      <c r="Z47" s="17">
        <v>14.735046899</v>
      </c>
      <c r="AA47" s="17">
        <v>14.780620752000001</v>
      </c>
      <c r="AB47" s="17">
        <v>14.826917601</v>
      </c>
      <c r="AC47" s="17">
        <v>14.871513467</v>
      </c>
      <c r="AD47" s="17">
        <v>14.912423238000001</v>
      </c>
      <c r="AE47" s="17">
        <v>14.947422587</v>
      </c>
      <c r="AF47" s="17">
        <v>14.974147255</v>
      </c>
      <c r="AG47" s="17">
        <v>14.989198772</v>
      </c>
      <c r="AH47" s="17">
        <v>14.989541724</v>
      </c>
      <c r="AI47" s="17">
        <v>14.974202270999999</v>
      </c>
      <c r="AJ47" s="17">
        <v>14.942892992999999</v>
      </c>
      <c r="AK47" s="17">
        <v>14.896033999</v>
      </c>
      <c r="AL47" s="17">
        <v>14.835383192</v>
      </c>
      <c r="AM47" s="17">
        <v>14.763165732999999</v>
      </c>
      <c r="AN47" s="17">
        <v>14.681113799</v>
      </c>
      <c r="AO47" s="17">
        <v>14.591193987</v>
      </c>
      <c r="AP47" s="17">
        <v>14.496810695000001</v>
      </c>
      <c r="AQ47" s="17">
        <v>14.401365404</v>
      </c>
      <c r="AR47" s="17">
        <v>14.307068269</v>
      </c>
      <c r="AS47" s="17">
        <v>14.216321687000001</v>
      </c>
      <c r="AT47" s="17">
        <v>14.131503631999999</v>
      </c>
      <c r="AU47" s="17">
        <v>14.054590526</v>
      </c>
      <c r="AV47" s="17">
        <v>13.986789988</v>
      </c>
      <c r="AW47" s="17">
        <v>13.928795036</v>
      </c>
      <c r="AX47" s="17">
        <v>13.88129395</v>
      </c>
      <c r="AY47" s="17">
        <v>13.844677955</v>
      </c>
      <c r="AZ47" s="17">
        <v>13.818701719</v>
      </c>
      <c r="BA47" s="17">
        <v>13.802665791000001</v>
      </c>
      <c r="BB47" s="17">
        <v>13.795632700000001</v>
      </c>
      <c r="BC47" s="17">
        <v>13.796593387</v>
      </c>
      <c r="BD47" s="17">
        <v>13.804396487</v>
      </c>
      <c r="BE47" s="17">
        <v>13.817802625000001</v>
      </c>
      <c r="BF47" s="17">
        <v>13.835482817999999</v>
      </c>
      <c r="BG47" s="17">
        <v>13.855949105000001</v>
      </c>
      <c r="BH47" s="17">
        <v>13.877645385999999</v>
      </c>
      <c r="BI47" s="17">
        <v>13.899068055000001</v>
      </c>
      <c r="BJ47" s="17">
        <v>13.918778365</v>
      </c>
      <c r="BK47" s="17">
        <v>13.935538218</v>
      </c>
      <c r="BL47" s="17">
        <v>13.948362655</v>
      </c>
      <c r="BM47" s="17">
        <v>13.956359868</v>
      </c>
      <c r="BN47" s="17">
        <v>13.958841680000001</v>
      </c>
      <c r="BO47" s="17">
        <v>13.955360807</v>
      </c>
      <c r="BP47" s="17">
        <v>13.945681679</v>
      </c>
      <c r="BQ47" s="17">
        <v>13.929817541</v>
      </c>
      <c r="BR47" s="17">
        <v>13.908005707999999</v>
      </c>
      <c r="BS47" s="17">
        <v>13.880735735</v>
      </c>
      <c r="BT47" s="17">
        <v>13.848651088</v>
      </c>
      <c r="BU47" s="17">
        <v>13.812600906</v>
      </c>
      <c r="BV47" s="17">
        <v>13.773516516000001</v>
      </c>
      <c r="BW47" s="17">
        <v>13.732435077</v>
      </c>
      <c r="BX47" s="17">
        <v>13.690445849</v>
      </c>
      <c r="BY47" s="17">
        <v>13.64864792</v>
      </c>
      <c r="BZ47" s="17">
        <v>13.608122678999999</v>
      </c>
      <c r="CA47" s="17">
        <v>13.569832672</v>
      </c>
      <c r="CB47" s="17">
        <v>13.534655260999999</v>
      </c>
      <c r="CC47" s="17">
        <v>13.503329001000001</v>
      </c>
      <c r="CD47" s="17">
        <v>13.476404598</v>
      </c>
      <c r="CE47" s="17">
        <v>13.454273005999999</v>
      </c>
      <c r="CF47" s="17">
        <v>13.437129497000001</v>
      </c>
      <c r="CG47" s="17">
        <v>13.42499216</v>
      </c>
      <c r="CH47" s="17">
        <v>13.417652356</v>
      </c>
      <c r="CI47" s="17">
        <v>13.414785035</v>
      </c>
      <c r="CJ47" s="17">
        <v>13.415850583999999</v>
      </c>
      <c r="CK47" s="17">
        <v>13.420221194</v>
      </c>
      <c r="CL47" s="17">
        <v>13.427163223999999</v>
      </c>
      <c r="CM47" s="17">
        <v>13.435877515</v>
      </c>
      <c r="CN47" s="17">
        <v>13.445501708</v>
      </c>
      <c r="CO47" s="17">
        <v>13.455222600000001</v>
      </c>
      <c r="CP47" s="17">
        <v>13.464235034</v>
      </c>
      <c r="CQ47" s="17">
        <v>13.471810549000001</v>
      </c>
      <c r="CR47" s="17">
        <v>13.477285527999999</v>
      </c>
      <c r="CS47" s="17">
        <v>13.480119363</v>
      </c>
      <c r="CT47" s="17">
        <v>13.479926796000001</v>
      </c>
      <c r="CU47" s="17">
        <v>13.476418238000001</v>
      </c>
      <c r="CV47" s="17">
        <v>13.469463946999999</v>
      </c>
      <c r="CW47" s="17">
        <v>13.459060915</v>
      </c>
      <c r="CX47" s="17">
        <v>13.445321079999999</v>
      </c>
    </row>
    <row r="48" spans="1:102" x14ac:dyDescent="0.2">
      <c r="A48" s="55" t="s">
        <v>306</v>
      </c>
      <c r="B48" s="17">
        <v>18.326240092999999</v>
      </c>
      <c r="C48" s="17">
        <v>18.207383012000001</v>
      </c>
      <c r="D48" s="17">
        <v>18.138932664999999</v>
      </c>
      <c r="E48" s="17">
        <v>18.146320734</v>
      </c>
      <c r="F48" s="17">
        <v>18.144849948000001</v>
      </c>
      <c r="G48" s="17">
        <v>18.189920750999999</v>
      </c>
      <c r="H48" s="17">
        <v>18.251429389999998</v>
      </c>
      <c r="I48" s="17">
        <v>18.327525495</v>
      </c>
      <c r="J48" s="17">
        <v>18.400796434</v>
      </c>
      <c r="K48" s="17">
        <v>18.464303862000001</v>
      </c>
      <c r="L48" s="17">
        <v>18.554643963</v>
      </c>
      <c r="M48" s="17">
        <v>18.676649383000001</v>
      </c>
      <c r="N48" s="17">
        <v>18.805884249000002</v>
      </c>
      <c r="O48" s="17">
        <v>18.894656682000001</v>
      </c>
      <c r="P48" s="17">
        <v>18.921741019999999</v>
      </c>
      <c r="Q48" s="17">
        <v>18.894699388999999</v>
      </c>
      <c r="R48" s="17">
        <v>18.779300896999999</v>
      </c>
      <c r="S48" s="17">
        <v>18.626851116000001</v>
      </c>
      <c r="T48" s="17">
        <v>18.426143308</v>
      </c>
      <c r="U48" s="17">
        <v>18.234897814</v>
      </c>
      <c r="V48" s="17">
        <v>18.027504267000001</v>
      </c>
      <c r="W48" s="17">
        <v>17.790414340000002</v>
      </c>
      <c r="X48" s="17">
        <v>17.528150787000001</v>
      </c>
      <c r="Y48" s="17">
        <v>17.293674120999999</v>
      </c>
      <c r="Z48" s="17">
        <v>17.077737089999999</v>
      </c>
      <c r="AA48" s="17">
        <v>16.864666963000001</v>
      </c>
      <c r="AB48" s="17">
        <v>16.644934229</v>
      </c>
      <c r="AC48" s="17">
        <v>16.454014870000002</v>
      </c>
      <c r="AD48" s="17">
        <v>16.291410333999998</v>
      </c>
      <c r="AE48" s="17">
        <v>16.164451840000002</v>
      </c>
      <c r="AF48" s="17">
        <v>16.076153199</v>
      </c>
      <c r="AG48" s="17">
        <v>16.039414497999999</v>
      </c>
      <c r="AH48" s="17">
        <v>16.025186225999999</v>
      </c>
      <c r="AI48" s="17">
        <v>16.028543225</v>
      </c>
      <c r="AJ48" s="17">
        <v>16.039305276</v>
      </c>
      <c r="AK48" s="17">
        <v>16.061191974</v>
      </c>
      <c r="AL48" s="17">
        <v>16.096650099000001</v>
      </c>
      <c r="AM48" s="17">
        <v>16.143565022000001</v>
      </c>
      <c r="AN48" s="17">
        <v>16.200276810999998</v>
      </c>
      <c r="AO48" s="17">
        <v>16.264630893</v>
      </c>
      <c r="AP48" s="17">
        <v>16.333055099999999</v>
      </c>
      <c r="AQ48" s="17">
        <v>16.401608731</v>
      </c>
      <c r="AR48" s="17">
        <v>16.467372602000001</v>
      </c>
      <c r="AS48" s="17">
        <v>16.527857058999999</v>
      </c>
      <c r="AT48" s="17">
        <v>16.580384818999999</v>
      </c>
      <c r="AU48" s="17">
        <v>16.622150156</v>
      </c>
      <c r="AV48" s="17">
        <v>16.64958858</v>
      </c>
      <c r="AW48" s="17">
        <v>16.659575497999999</v>
      </c>
      <c r="AX48" s="17">
        <v>16.651118165</v>
      </c>
      <c r="AY48" s="17">
        <v>16.624007842000001</v>
      </c>
      <c r="AZ48" s="17">
        <v>16.578913293999999</v>
      </c>
      <c r="BA48" s="17">
        <v>16.517962249</v>
      </c>
      <c r="BB48" s="17">
        <v>16.443795859000002</v>
      </c>
      <c r="BC48" s="17">
        <v>16.358597954</v>
      </c>
      <c r="BD48" s="17">
        <v>16.264802623000001</v>
      </c>
      <c r="BE48" s="17">
        <v>16.166234815999999</v>
      </c>
      <c r="BF48" s="17">
        <v>16.066657636999999</v>
      </c>
      <c r="BG48" s="17">
        <v>15.968628343000001</v>
      </c>
      <c r="BH48" s="17">
        <v>15.874861693</v>
      </c>
      <c r="BI48" s="17">
        <v>15.787934088</v>
      </c>
      <c r="BJ48" s="17">
        <v>15.7099937</v>
      </c>
      <c r="BK48" s="17">
        <v>15.642345949999999</v>
      </c>
      <c r="BL48" s="17">
        <v>15.585674623999999</v>
      </c>
      <c r="BM48" s="17">
        <v>15.540698838000001</v>
      </c>
      <c r="BN48" s="17">
        <v>15.507713535000001</v>
      </c>
      <c r="BO48" s="17">
        <v>15.486405746999999</v>
      </c>
      <c r="BP48" s="17">
        <v>15.475945822</v>
      </c>
      <c r="BQ48" s="17">
        <v>15.475215383</v>
      </c>
      <c r="BR48" s="17">
        <v>15.483064957</v>
      </c>
      <c r="BS48" s="17">
        <v>15.498169309</v>
      </c>
      <c r="BT48" s="17">
        <v>15.519091078000001</v>
      </c>
      <c r="BU48" s="17">
        <v>15.54436677</v>
      </c>
      <c r="BV48" s="17">
        <v>15.572352191</v>
      </c>
      <c r="BW48" s="17">
        <v>15.601324167</v>
      </c>
      <c r="BX48" s="17">
        <v>15.629710351</v>
      </c>
      <c r="BY48" s="17">
        <v>15.655989781000001</v>
      </c>
      <c r="BZ48" s="17">
        <v>15.678875442000001</v>
      </c>
      <c r="CA48" s="17">
        <v>15.697365762</v>
      </c>
      <c r="CB48" s="17">
        <v>15.710598239999999</v>
      </c>
      <c r="CC48" s="17">
        <v>15.717913531000001</v>
      </c>
      <c r="CD48" s="17">
        <v>15.718934717</v>
      </c>
      <c r="CE48" s="17">
        <v>15.7134544</v>
      </c>
      <c r="CF48" s="17">
        <v>15.701588707999999</v>
      </c>
      <c r="CG48" s="17">
        <v>15.683594124000001</v>
      </c>
      <c r="CH48" s="17">
        <v>15.660006982000001</v>
      </c>
      <c r="CI48" s="17">
        <v>15.631456503000001</v>
      </c>
      <c r="CJ48" s="17">
        <v>15.598788479</v>
      </c>
      <c r="CK48" s="17">
        <v>15.562876526</v>
      </c>
      <c r="CL48" s="17">
        <v>15.524678079999999</v>
      </c>
      <c r="CM48" s="17">
        <v>15.485195199</v>
      </c>
      <c r="CN48" s="17">
        <v>15.445415447</v>
      </c>
      <c r="CO48" s="17">
        <v>15.406308383000001</v>
      </c>
      <c r="CP48" s="17">
        <v>15.368686976999999</v>
      </c>
      <c r="CQ48" s="17">
        <v>15.333332159999999</v>
      </c>
      <c r="CR48" s="17">
        <v>15.300894012000001</v>
      </c>
      <c r="CS48" s="17">
        <v>15.271832785000001</v>
      </c>
      <c r="CT48" s="17">
        <v>15.246546990000001</v>
      </c>
      <c r="CU48" s="17">
        <v>15.225227526999999</v>
      </c>
      <c r="CV48" s="17">
        <v>15.207947977</v>
      </c>
      <c r="CW48" s="17">
        <v>15.194570582000001</v>
      </c>
      <c r="CX48" s="17">
        <v>15.184924406</v>
      </c>
    </row>
    <row r="49" spans="1:102" x14ac:dyDescent="0.2">
      <c r="A49" s="55" t="s">
        <v>307</v>
      </c>
      <c r="B49" s="17">
        <v>19.405752136</v>
      </c>
      <c r="C49" s="17">
        <v>19.547312763000001</v>
      </c>
      <c r="D49" s="17">
        <v>19.694191463999999</v>
      </c>
      <c r="E49" s="17">
        <v>19.784590647000002</v>
      </c>
      <c r="F49" s="17">
        <v>19.795510083</v>
      </c>
      <c r="G49" s="17">
        <v>19.727549103000001</v>
      </c>
      <c r="H49" s="17">
        <v>19.674629378999999</v>
      </c>
      <c r="I49" s="17">
        <v>19.643159952000001</v>
      </c>
      <c r="J49" s="17">
        <v>19.587119606000002</v>
      </c>
      <c r="K49" s="17">
        <v>19.533877410999999</v>
      </c>
      <c r="L49" s="17">
        <v>19.424176361000001</v>
      </c>
      <c r="M49" s="17">
        <v>19.291703156000001</v>
      </c>
      <c r="N49" s="17">
        <v>19.137207016000001</v>
      </c>
      <c r="O49" s="17">
        <v>18.967812323</v>
      </c>
      <c r="P49" s="17">
        <v>18.840799636</v>
      </c>
      <c r="Q49" s="17">
        <v>18.723763378000001</v>
      </c>
      <c r="R49" s="17">
        <v>18.625553670999999</v>
      </c>
      <c r="S49" s="17">
        <v>18.574040320000002</v>
      </c>
      <c r="T49" s="17">
        <v>18.599642129999999</v>
      </c>
      <c r="U49" s="17">
        <v>18.618692857999999</v>
      </c>
      <c r="V49" s="17">
        <v>18.683475024</v>
      </c>
      <c r="W49" s="17">
        <v>18.764034347999999</v>
      </c>
      <c r="X49" s="17">
        <v>18.859118336000002</v>
      </c>
      <c r="Y49" s="17">
        <v>18.948681289</v>
      </c>
      <c r="Z49" s="17">
        <v>19.026262999</v>
      </c>
      <c r="AA49" s="17">
        <v>19.127796089</v>
      </c>
      <c r="AB49" s="17">
        <v>19.258674522</v>
      </c>
      <c r="AC49" s="17">
        <v>19.395549457000001</v>
      </c>
      <c r="AD49" s="17">
        <v>19.492913725000001</v>
      </c>
      <c r="AE49" s="17">
        <v>19.530753192999999</v>
      </c>
      <c r="AF49" s="17">
        <v>19.516854093999999</v>
      </c>
      <c r="AG49" s="17">
        <v>19.418628690999999</v>
      </c>
      <c r="AH49" s="17">
        <v>19.286553679000001</v>
      </c>
      <c r="AI49" s="17">
        <v>19.109963343</v>
      </c>
      <c r="AJ49" s="17">
        <v>18.944813474</v>
      </c>
      <c r="AK49" s="17">
        <v>18.766033261</v>
      </c>
      <c r="AL49" s="17">
        <v>18.559989939000001</v>
      </c>
      <c r="AM49" s="17">
        <v>18.330328197</v>
      </c>
      <c r="AN49" s="17">
        <v>18.128250528999999</v>
      </c>
      <c r="AO49" s="17">
        <v>17.944323137000001</v>
      </c>
      <c r="AP49" s="17">
        <v>17.76248223</v>
      </c>
      <c r="AQ49" s="17">
        <v>17.572724981</v>
      </c>
      <c r="AR49" s="17">
        <v>17.409355458</v>
      </c>
      <c r="AS49" s="17">
        <v>17.271550294000001</v>
      </c>
      <c r="AT49" s="17">
        <v>17.166213371000001</v>
      </c>
      <c r="AU49" s="17">
        <v>17.096118184000002</v>
      </c>
      <c r="AV49" s="17">
        <v>17.073957736000001</v>
      </c>
      <c r="AW49" s="17">
        <v>17.071110053000002</v>
      </c>
      <c r="AX49" s="17">
        <v>17.082755121000002</v>
      </c>
      <c r="AY49" s="17">
        <v>17.098968004</v>
      </c>
      <c r="AZ49" s="17">
        <v>17.123677747999999</v>
      </c>
      <c r="BA49" s="17">
        <v>17.159629569</v>
      </c>
      <c r="BB49" s="17">
        <v>17.205156425999999</v>
      </c>
      <c r="BC49" s="17">
        <v>17.259064424999998</v>
      </c>
      <c r="BD49" s="17">
        <v>17.319616921000001</v>
      </c>
      <c r="BE49" s="17">
        <v>17.383723345</v>
      </c>
      <c r="BF49" s="17">
        <v>17.447859170000001</v>
      </c>
      <c r="BG49" s="17">
        <v>17.50954883</v>
      </c>
      <c r="BH49" s="17">
        <v>17.566634524000001</v>
      </c>
      <c r="BI49" s="17">
        <v>17.616769285</v>
      </c>
      <c r="BJ49" s="17">
        <v>17.657379776999999</v>
      </c>
      <c r="BK49" s="17">
        <v>17.68509937</v>
      </c>
      <c r="BL49" s="17">
        <v>17.696903844000001</v>
      </c>
      <c r="BM49" s="17">
        <v>17.691773778999998</v>
      </c>
      <c r="BN49" s="17">
        <v>17.669508187999998</v>
      </c>
      <c r="BO49" s="17">
        <v>17.630593543</v>
      </c>
      <c r="BP49" s="17">
        <v>17.576972187999999</v>
      </c>
      <c r="BQ49" s="17">
        <v>17.511079784</v>
      </c>
      <c r="BR49" s="17">
        <v>17.434847039000001</v>
      </c>
      <c r="BS49" s="17">
        <v>17.350437983999999</v>
      </c>
      <c r="BT49" s="17">
        <v>17.261454193999999</v>
      </c>
      <c r="BU49" s="17">
        <v>17.17140814</v>
      </c>
      <c r="BV49" s="17">
        <v>17.082676738</v>
      </c>
      <c r="BW49" s="17">
        <v>16.997832405</v>
      </c>
      <c r="BX49" s="17">
        <v>16.919323689999999</v>
      </c>
      <c r="BY49" s="17">
        <v>16.849256192999999</v>
      </c>
      <c r="BZ49" s="17">
        <v>16.788867965000001</v>
      </c>
      <c r="CA49" s="17">
        <v>16.738891821999999</v>
      </c>
      <c r="CB49" s="17">
        <v>16.700079709000001</v>
      </c>
      <c r="CC49" s="17">
        <v>16.672813013999999</v>
      </c>
      <c r="CD49" s="17">
        <v>16.656820253999999</v>
      </c>
      <c r="CE49" s="17">
        <v>16.651387622000001</v>
      </c>
      <c r="CF49" s="17">
        <v>16.655438088</v>
      </c>
      <c r="CG49" s="17">
        <v>16.667892611999999</v>
      </c>
      <c r="CH49" s="17">
        <v>16.687490412999999</v>
      </c>
      <c r="CI49" s="17">
        <v>16.712770131999999</v>
      </c>
      <c r="CJ49" s="17">
        <v>16.74226002</v>
      </c>
      <c r="CK49" s="17">
        <v>16.774266788999999</v>
      </c>
      <c r="CL49" s="17">
        <v>16.806977446000001</v>
      </c>
      <c r="CM49" s="17">
        <v>16.838667990000001</v>
      </c>
      <c r="CN49" s="17">
        <v>16.867722752999999</v>
      </c>
      <c r="CO49" s="17">
        <v>16.892684273</v>
      </c>
      <c r="CP49" s="17">
        <v>16.912415844000002</v>
      </c>
      <c r="CQ49" s="17">
        <v>16.925900172999999</v>
      </c>
      <c r="CR49" s="17">
        <v>16.932333154999998</v>
      </c>
      <c r="CS49" s="17">
        <v>16.931313611</v>
      </c>
      <c r="CT49" s="17">
        <v>16.922557511000001</v>
      </c>
      <c r="CU49" s="17">
        <v>16.906223293</v>
      </c>
      <c r="CV49" s="17">
        <v>16.882586782000001</v>
      </c>
      <c r="CW49" s="17">
        <v>16.852356872000001</v>
      </c>
      <c r="CX49" s="17">
        <v>16.816306879999999</v>
      </c>
    </row>
    <row r="50" spans="1:102" x14ac:dyDescent="0.2">
      <c r="A50" s="55" t="s">
        <v>308</v>
      </c>
      <c r="B50" s="17">
        <v>20.021747066</v>
      </c>
      <c r="C50" s="17">
        <v>19.818341888999999</v>
      </c>
      <c r="D50" s="17">
        <v>19.560051519999998</v>
      </c>
      <c r="E50" s="17">
        <v>19.297603638999998</v>
      </c>
      <c r="F50" s="17">
        <v>19.095788489</v>
      </c>
      <c r="G50" s="17">
        <v>18.939005751</v>
      </c>
      <c r="H50" s="17">
        <v>18.799602745000001</v>
      </c>
      <c r="I50" s="17">
        <v>18.655795481999998</v>
      </c>
      <c r="J50" s="17">
        <v>18.536534758999998</v>
      </c>
      <c r="K50" s="17">
        <v>18.414566999000002</v>
      </c>
      <c r="L50" s="17">
        <v>18.359998021999999</v>
      </c>
      <c r="M50" s="17">
        <v>18.284013366</v>
      </c>
      <c r="N50" s="17">
        <v>18.244528229</v>
      </c>
      <c r="O50" s="17">
        <v>18.293264867000001</v>
      </c>
      <c r="P50" s="17">
        <v>18.384352686</v>
      </c>
      <c r="Q50" s="17">
        <v>18.509479662</v>
      </c>
      <c r="R50" s="17">
        <v>18.682285160999999</v>
      </c>
      <c r="S50" s="17">
        <v>18.854809463999999</v>
      </c>
      <c r="T50" s="17">
        <v>18.97515404</v>
      </c>
      <c r="U50" s="17">
        <v>19.020249987</v>
      </c>
      <c r="V50" s="17">
        <v>18.988376940999999</v>
      </c>
      <c r="W50" s="17">
        <v>18.966971866000002</v>
      </c>
      <c r="X50" s="17">
        <v>18.962267272999998</v>
      </c>
      <c r="Y50" s="17">
        <v>18.931165256</v>
      </c>
      <c r="Z50" s="17">
        <v>18.899877598</v>
      </c>
      <c r="AA50" s="17">
        <v>18.813036997000001</v>
      </c>
      <c r="AB50" s="17">
        <v>18.703018182000001</v>
      </c>
      <c r="AC50" s="17">
        <v>18.570598166</v>
      </c>
      <c r="AD50" s="17">
        <v>18.424444926</v>
      </c>
      <c r="AE50" s="17">
        <v>18.319213758</v>
      </c>
      <c r="AF50" s="17">
        <v>18.224820467000001</v>
      </c>
      <c r="AG50" s="17">
        <v>18.150937267</v>
      </c>
      <c r="AH50" s="17">
        <v>18.123806754</v>
      </c>
      <c r="AI50" s="17">
        <v>18.172903536</v>
      </c>
      <c r="AJ50" s="17">
        <v>18.218289385999999</v>
      </c>
      <c r="AK50" s="17">
        <v>18.309817453000001</v>
      </c>
      <c r="AL50" s="17">
        <v>18.419130035999999</v>
      </c>
      <c r="AM50" s="17">
        <v>18.544526305000002</v>
      </c>
      <c r="AN50" s="17">
        <v>18.665258931</v>
      </c>
      <c r="AO50" s="17">
        <v>18.774853274000002</v>
      </c>
      <c r="AP50" s="17">
        <v>18.907262802999998</v>
      </c>
      <c r="AQ50" s="17">
        <v>19.067051574000001</v>
      </c>
      <c r="AR50" s="17">
        <v>19.230518587999999</v>
      </c>
      <c r="AS50" s="17">
        <v>19.353322874</v>
      </c>
      <c r="AT50" s="17">
        <v>19.415343389</v>
      </c>
      <c r="AU50" s="17">
        <v>19.423478212999999</v>
      </c>
      <c r="AV50" s="17">
        <v>19.345657278000001</v>
      </c>
      <c r="AW50" s="17">
        <v>19.231295973999998</v>
      </c>
      <c r="AX50" s="17">
        <v>19.070181749</v>
      </c>
      <c r="AY50" s="17">
        <v>18.916935099</v>
      </c>
      <c r="AZ50" s="17">
        <v>18.747456287999999</v>
      </c>
      <c r="BA50" s="17">
        <v>18.549139838999999</v>
      </c>
      <c r="BB50" s="17">
        <v>18.326015226999999</v>
      </c>
      <c r="BC50" s="17">
        <v>18.128327760000001</v>
      </c>
      <c r="BD50" s="17">
        <v>17.947451485999999</v>
      </c>
      <c r="BE50" s="17">
        <v>17.768317606</v>
      </c>
      <c r="BF50" s="17">
        <v>17.581700517000002</v>
      </c>
      <c r="BG50" s="17">
        <v>17.421294678999999</v>
      </c>
      <c r="BH50" s="17">
        <v>17.286648272000001</v>
      </c>
      <c r="BI50" s="17">
        <v>17.184705045000001</v>
      </c>
      <c r="BJ50" s="17">
        <v>17.118295400000001</v>
      </c>
      <c r="BK50" s="17">
        <v>17.099846112000002</v>
      </c>
      <c r="BL50" s="17">
        <v>17.101692508999999</v>
      </c>
      <c r="BM50" s="17">
        <v>17.119155024000001</v>
      </c>
      <c r="BN50" s="17">
        <v>17.142529754000002</v>
      </c>
      <c r="BO50" s="17">
        <v>17.175537339000002</v>
      </c>
      <c r="BP50" s="17">
        <v>17.220672084</v>
      </c>
      <c r="BQ50" s="17">
        <v>17.276116357999999</v>
      </c>
      <c r="BR50" s="17">
        <v>17.340496859000002</v>
      </c>
      <c r="BS50" s="17">
        <v>17.411845382999999</v>
      </c>
      <c r="BT50" s="17">
        <v>17.486908782</v>
      </c>
      <c r="BU50" s="17">
        <v>17.561991598999999</v>
      </c>
      <c r="BV50" s="17">
        <v>17.634478532999999</v>
      </c>
      <c r="BW50" s="17">
        <v>17.702036420999999</v>
      </c>
      <c r="BX50" s="17">
        <v>17.762216619</v>
      </c>
      <c r="BY50" s="17">
        <v>17.812355581999999</v>
      </c>
      <c r="BZ50" s="17">
        <v>17.849135037</v>
      </c>
      <c r="CA50" s="17">
        <v>17.869557463</v>
      </c>
      <c r="CB50" s="17">
        <v>17.872628135999999</v>
      </c>
      <c r="CC50" s="17">
        <v>17.858180569000002</v>
      </c>
      <c r="CD50" s="17">
        <v>17.826804612</v>
      </c>
      <c r="CE50" s="17">
        <v>17.780473983</v>
      </c>
      <c r="CF50" s="17">
        <v>17.721691446000001</v>
      </c>
      <c r="CG50" s="17">
        <v>17.652457508000001</v>
      </c>
      <c r="CH50" s="17">
        <v>17.574920492</v>
      </c>
      <c r="CI50" s="17">
        <v>17.492689197000001</v>
      </c>
      <c r="CJ50" s="17">
        <v>17.409190073000001</v>
      </c>
      <c r="CK50" s="17">
        <v>17.326734551000001</v>
      </c>
      <c r="CL50" s="17">
        <v>17.247783181999999</v>
      </c>
      <c r="CM50" s="17">
        <v>17.174681988</v>
      </c>
      <c r="CN50" s="17">
        <v>17.109401669</v>
      </c>
      <c r="CO50" s="17">
        <v>17.052982249999999</v>
      </c>
      <c r="CP50" s="17">
        <v>17.006073929999999</v>
      </c>
      <c r="CQ50" s="17">
        <v>16.969249439999999</v>
      </c>
      <c r="CR50" s="17">
        <v>16.942786664</v>
      </c>
      <c r="CS50" s="17">
        <v>16.926325987999999</v>
      </c>
      <c r="CT50" s="17">
        <v>16.919122005999998</v>
      </c>
      <c r="CU50" s="17">
        <v>16.920093504</v>
      </c>
      <c r="CV50" s="17">
        <v>16.928247090999999</v>
      </c>
      <c r="CW50" s="17">
        <v>16.942419193999999</v>
      </c>
      <c r="CX50" s="17">
        <v>16.961314928</v>
      </c>
    </row>
    <row r="51" spans="1:102" x14ac:dyDescent="0.2">
      <c r="A51" s="55" t="s">
        <v>309</v>
      </c>
      <c r="B51" s="17">
        <v>15.764625022000001</v>
      </c>
      <c r="C51" s="17">
        <v>15.932710123</v>
      </c>
      <c r="D51" s="17">
        <v>15.910411862</v>
      </c>
      <c r="E51" s="17">
        <v>16.015268192000001</v>
      </c>
      <c r="F51" s="17">
        <v>16.205926248000001</v>
      </c>
      <c r="G51" s="17">
        <v>16.438360555999999</v>
      </c>
      <c r="H51" s="17">
        <v>16.682412794000001</v>
      </c>
      <c r="I51" s="17">
        <v>16.938344401999998</v>
      </c>
      <c r="J51" s="17">
        <v>17.155142003999998</v>
      </c>
      <c r="K51" s="17">
        <v>17.363003748000001</v>
      </c>
      <c r="L51" s="17">
        <v>17.544207144000001</v>
      </c>
      <c r="M51" s="17">
        <v>17.725085262</v>
      </c>
      <c r="N51" s="17">
        <v>17.835031656000002</v>
      </c>
      <c r="O51" s="17">
        <v>17.862512094</v>
      </c>
      <c r="P51" s="17">
        <v>17.824643604999999</v>
      </c>
      <c r="Q51" s="17">
        <v>17.750532703000001</v>
      </c>
      <c r="R51" s="17">
        <v>17.619234950999999</v>
      </c>
      <c r="S51" s="17">
        <v>17.435803806999999</v>
      </c>
      <c r="T51" s="17">
        <v>17.249305884000002</v>
      </c>
      <c r="U51" s="17">
        <v>17.119250206</v>
      </c>
      <c r="V51" s="17">
        <v>17.029149903</v>
      </c>
      <c r="W51" s="17">
        <v>16.950392643000001</v>
      </c>
      <c r="X51" s="17">
        <v>16.864630446</v>
      </c>
      <c r="Y51" s="17">
        <v>16.797491113</v>
      </c>
      <c r="Z51" s="17">
        <v>16.725682929000001</v>
      </c>
      <c r="AA51" s="17">
        <v>16.711867635000001</v>
      </c>
      <c r="AB51" s="17">
        <v>16.680080035</v>
      </c>
      <c r="AC51" s="17">
        <v>16.678202546000001</v>
      </c>
      <c r="AD51" s="17">
        <v>16.753341616</v>
      </c>
      <c r="AE51" s="17">
        <v>16.862903588999998</v>
      </c>
      <c r="AF51" s="17">
        <v>17.002561087</v>
      </c>
      <c r="AG51" s="17">
        <v>17.185722770999998</v>
      </c>
      <c r="AH51" s="17">
        <v>17.367784226000001</v>
      </c>
      <c r="AI51" s="17">
        <v>17.503490447000001</v>
      </c>
      <c r="AJ51" s="17">
        <v>17.577023741000001</v>
      </c>
      <c r="AK51" s="17">
        <v>17.584070997000001</v>
      </c>
      <c r="AL51" s="17">
        <v>17.602660653000001</v>
      </c>
      <c r="AM51" s="17">
        <v>17.637366758999999</v>
      </c>
      <c r="AN51" s="17">
        <v>17.647795047999999</v>
      </c>
      <c r="AO51" s="17">
        <v>17.657513106</v>
      </c>
      <c r="AP51" s="17">
        <v>17.616381743000002</v>
      </c>
      <c r="AQ51" s="17">
        <v>17.552187951000001</v>
      </c>
      <c r="AR51" s="17">
        <v>17.463806149</v>
      </c>
      <c r="AS51" s="17">
        <v>17.362929952999998</v>
      </c>
      <c r="AT51" s="17">
        <v>17.298226568</v>
      </c>
      <c r="AU51" s="17">
        <v>17.242339391000002</v>
      </c>
      <c r="AV51" s="17">
        <v>17.205584042000002</v>
      </c>
      <c r="AW51" s="17">
        <v>17.209291119</v>
      </c>
      <c r="AX51" s="17">
        <v>17.28108005</v>
      </c>
      <c r="AY51" s="17">
        <v>17.346385883</v>
      </c>
      <c r="AZ51" s="17">
        <v>17.451231731</v>
      </c>
      <c r="BA51" s="17">
        <v>17.571513287999998</v>
      </c>
      <c r="BB51" s="17">
        <v>17.705791106</v>
      </c>
      <c r="BC51" s="17">
        <v>17.831930748000001</v>
      </c>
      <c r="BD51" s="17">
        <v>17.945292056</v>
      </c>
      <c r="BE51" s="17">
        <v>18.077803295999999</v>
      </c>
      <c r="BF51" s="17">
        <v>18.234439573</v>
      </c>
      <c r="BG51" s="17">
        <v>18.391764113000001</v>
      </c>
      <c r="BH51" s="17">
        <v>18.510460091999999</v>
      </c>
      <c r="BI51" s="17">
        <v>18.572507126000001</v>
      </c>
      <c r="BJ51" s="17">
        <v>18.584427018</v>
      </c>
      <c r="BK51" s="17">
        <v>18.516991429000001</v>
      </c>
      <c r="BL51" s="17">
        <v>18.417179015999999</v>
      </c>
      <c r="BM51" s="17">
        <v>18.276332311000001</v>
      </c>
      <c r="BN51" s="17">
        <v>18.144405125999999</v>
      </c>
      <c r="BO51" s="17">
        <v>17.999174305</v>
      </c>
      <c r="BP51" s="17">
        <v>17.829134334999999</v>
      </c>
      <c r="BQ51" s="17">
        <v>17.637648110000001</v>
      </c>
      <c r="BR51" s="17">
        <v>17.470197496000001</v>
      </c>
      <c r="BS51" s="17">
        <v>17.318754867999999</v>
      </c>
      <c r="BT51" s="17">
        <v>17.169440543</v>
      </c>
      <c r="BU51" s="17">
        <v>17.013738579000002</v>
      </c>
      <c r="BV51" s="17">
        <v>16.882284318</v>
      </c>
      <c r="BW51" s="17">
        <v>16.774583126</v>
      </c>
      <c r="BX51" s="17">
        <v>16.696919947000001</v>
      </c>
      <c r="BY51" s="17">
        <v>16.651737342000001</v>
      </c>
      <c r="BZ51" s="17">
        <v>16.650526846000002</v>
      </c>
      <c r="CA51" s="17">
        <v>16.667912507</v>
      </c>
      <c r="CB51" s="17">
        <v>16.699673915999998</v>
      </c>
      <c r="CC51" s="17">
        <v>16.736928665000001</v>
      </c>
      <c r="CD51" s="17">
        <v>16.783165127</v>
      </c>
      <c r="CE51" s="17">
        <v>16.840683124000002</v>
      </c>
      <c r="CF51" s="17">
        <v>16.907772060999999</v>
      </c>
      <c r="CG51" s="17">
        <v>16.983091406</v>
      </c>
      <c r="CH51" s="17">
        <v>17.064827437999998</v>
      </c>
      <c r="CI51" s="17">
        <v>17.149750989000001</v>
      </c>
      <c r="CJ51" s="17">
        <v>17.234241303000001</v>
      </c>
      <c r="CK51" s="17">
        <v>17.315680138000001</v>
      </c>
      <c r="CL51" s="17">
        <v>17.391750066</v>
      </c>
      <c r="CM51" s="17">
        <v>17.459932161000001</v>
      </c>
      <c r="CN51" s="17">
        <v>17.517504668000001</v>
      </c>
      <c r="CO51" s="17">
        <v>17.561253948000001</v>
      </c>
      <c r="CP51" s="17">
        <v>17.588138794999999</v>
      </c>
      <c r="CQ51" s="17">
        <v>17.597122347999999</v>
      </c>
      <c r="CR51" s="17">
        <v>17.587944709999999</v>
      </c>
      <c r="CS51" s="17">
        <v>17.561189822999999</v>
      </c>
      <c r="CT51" s="17">
        <v>17.518745800000001</v>
      </c>
      <c r="CU51" s="17">
        <v>17.463072394000001</v>
      </c>
      <c r="CV51" s="17">
        <v>17.396196895999999</v>
      </c>
      <c r="CW51" s="17">
        <v>17.320340444999999</v>
      </c>
      <c r="CX51" s="17">
        <v>17.239182781</v>
      </c>
    </row>
    <row r="52" spans="1:102" x14ac:dyDescent="0.2">
      <c r="A52" s="55" t="s">
        <v>310</v>
      </c>
      <c r="B52" s="17">
        <v>8.6303585292000005</v>
      </c>
      <c r="C52" s="17">
        <v>8.7903755113000006</v>
      </c>
      <c r="D52" s="17">
        <v>9.1745697190000008</v>
      </c>
      <c r="E52" s="17">
        <v>9.4688331660999996</v>
      </c>
      <c r="F52" s="17">
        <v>9.6932862754000002</v>
      </c>
      <c r="G52" s="17">
        <v>9.8773731302000005</v>
      </c>
      <c r="H52" s="17">
        <v>10.028678736</v>
      </c>
      <c r="I52" s="17">
        <v>10.159607321999999</v>
      </c>
      <c r="J52" s="17">
        <v>10.300771785</v>
      </c>
      <c r="K52" s="17">
        <v>10.438765794</v>
      </c>
      <c r="L52" s="17">
        <v>10.560634322</v>
      </c>
      <c r="M52" s="17">
        <v>10.700808998999999</v>
      </c>
      <c r="N52" s="17">
        <v>10.859748399000001</v>
      </c>
      <c r="O52" s="17">
        <v>11.038872139</v>
      </c>
      <c r="P52" s="17">
        <v>11.223853251</v>
      </c>
      <c r="Q52" s="17">
        <v>11.416235650000001</v>
      </c>
      <c r="R52" s="17">
        <v>11.636166309</v>
      </c>
      <c r="S52" s="17">
        <v>11.877753303</v>
      </c>
      <c r="T52" s="17">
        <v>12.129918209</v>
      </c>
      <c r="U52" s="17">
        <v>12.392653556999999</v>
      </c>
      <c r="V52" s="17">
        <v>12.653680219</v>
      </c>
      <c r="W52" s="17">
        <v>12.89485084</v>
      </c>
      <c r="X52" s="17">
        <v>13.126811416000001</v>
      </c>
      <c r="Y52" s="17">
        <v>13.335476113</v>
      </c>
      <c r="Z52" s="17">
        <v>13.535392484000001</v>
      </c>
      <c r="AA52" s="17">
        <v>13.702011563999999</v>
      </c>
      <c r="AB52" s="17">
        <v>13.886375430999999</v>
      </c>
      <c r="AC52" s="17">
        <v>14.030121493999999</v>
      </c>
      <c r="AD52" s="17">
        <v>14.125466161</v>
      </c>
      <c r="AE52" s="17">
        <v>14.175255032999999</v>
      </c>
      <c r="AF52" s="17">
        <v>14.205463898</v>
      </c>
      <c r="AG52" s="17">
        <v>14.216098001000001</v>
      </c>
      <c r="AH52" s="17">
        <v>14.20712739</v>
      </c>
      <c r="AI52" s="17">
        <v>14.210897178</v>
      </c>
      <c r="AJ52" s="17">
        <v>14.27767513</v>
      </c>
      <c r="AK52" s="17">
        <v>14.382852316999999</v>
      </c>
      <c r="AL52" s="17">
        <v>14.48618608</v>
      </c>
      <c r="AM52" s="17">
        <v>14.581047984</v>
      </c>
      <c r="AN52" s="17">
        <v>14.677304882</v>
      </c>
      <c r="AO52" s="17">
        <v>14.767485603000001</v>
      </c>
      <c r="AP52" s="17">
        <v>14.884007429</v>
      </c>
      <c r="AQ52" s="17">
        <v>15.005061359999999</v>
      </c>
      <c r="AR52" s="17">
        <v>15.121878935</v>
      </c>
      <c r="AS52" s="17">
        <v>15.268018133</v>
      </c>
      <c r="AT52" s="17">
        <v>15.40832822</v>
      </c>
      <c r="AU52" s="17">
        <v>15.561323528000001</v>
      </c>
      <c r="AV52" s="17">
        <v>15.738422375000001</v>
      </c>
      <c r="AW52" s="17">
        <v>15.89993232</v>
      </c>
      <c r="AX52" s="17">
        <v>16.033570965999999</v>
      </c>
      <c r="AY52" s="17">
        <v>16.169025218000002</v>
      </c>
      <c r="AZ52" s="17">
        <v>16.28001922</v>
      </c>
      <c r="BA52" s="17">
        <v>16.399089263</v>
      </c>
      <c r="BB52" s="17">
        <v>16.523608680999999</v>
      </c>
      <c r="BC52" s="17">
        <v>16.625485726000001</v>
      </c>
      <c r="BD52" s="17">
        <v>16.718440428000001</v>
      </c>
      <c r="BE52" s="17">
        <v>16.786118311999999</v>
      </c>
      <c r="BF52" s="17">
        <v>16.833860285</v>
      </c>
      <c r="BG52" s="17">
        <v>16.852814929000001</v>
      </c>
      <c r="BH52" s="17">
        <v>16.883750031999998</v>
      </c>
      <c r="BI52" s="17">
        <v>16.939016401</v>
      </c>
      <c r="BJ52" s="17">
        <v>17.011125740000001</v>
      </c>
      <c r="BK52" s="17">
        <v>17.120178922000001</v>
      </c>
      <c r="BL52" s="17">
        <v>17.250187352000001</v>
      </c>
      <c r="BM52" s="17">
        <v>17.415680179999999</v>
      </c>
      <c r="BN52" s="17">
        <v>17.577001717000002</v>
      </c>
      <c r="BO52" s="17">
        <v>17.752928259000001</v>
      </c>
      <c r="BP52" s="17">
        <v>17.951593891000002</v>
      </c>
      <c r="BQ52" s="17">
        <v>18.170122824</v>
      </c>
      <c r="BR52" s="17">
        <v>18.363387939999999</v>
      </c>
      <c r="BS52" s="17">
        <v>18.540056719999999</v>
      </c>
      <c r="BT52" s="17">
        <v>18.714454314000001</v>
      </c>
      <c r="BU52" s="17">
        <v>18.895894004999999</v>
      </c>
      <c r="BV52" s="17">
        <v>19.054691703</v>
      </c>
      <c r="BW52" s="17">
        <v>19.191788805000002</v>
      </c>
      <c r="BX52" s="17">
        <v>19.301383544</v>
      </c>
      <c r="BY52" s="17">
        <v>19.382013182000001</v>
      </c>
      <c r="BZ52" s="17">
        <v>19.42447203</v>
      </c>
      <c r="CA52" s="17">
        <v>19.456439774</v>
      </c>
      <c r="CB52" s="17">
        <v>19.482364737000001</v>
      </c>
      <c r="CC52" s="17">
        <v>19.510835220000001</v>
      </c>
      <c r="CD52" s="17">
        <v>19.537870692999999</v>
      </c>
      <c r="CE52" s="17">
        <v>19.559727864999999</v>
      </c>
      <c r="CF52" s="17">
        <v>19.576380198999999</v>
      </c>
      <c r="CG52" s="17">
        <v>19.587972189999999</v>
      </c>
      <c r="CH52" s="17">
        <v>19.595102319999999</v>
      </c>
      <c r="CI52" s="17">
        <v>19.598548143999999</v>
      </c>
      <c r="CJ52" s="17">
        <v>19.599669541000001</v>
      </c>
      <c r="CK52" s="17">
        <v>19.600220801999999</v>
      </c>
      <c r="CL52" s="17">
        <v>19.601648002000001</v>
      </c>
      <c r="CM52" s="17">
        <v>19.605645148000001</v>
      </c>
      <c r="CN52" s="17">
        <v>19.614453756</v>
      </c>
      <c r="CO52" s="17">
        <v>19.631548546000001</v>
      </c>
      <c r="CP52" s="17">
        <v>19.660449420999999</v>
      </c>
      <c r="CQ52" s="17">
        <v>19.702585331000002</v>
      </c>
      <c r="CR52" s="17">
        <v>19.758755931</v>
      </c>
      <c r="CS52" s="17">
        <v>19.829218432000001</v>
      </c>
      <c r="CT52" s="17">
        <v>19.913100897</v>
      </c>
      <c r="CU52" s="17">
        <v>20.008965044</v>
      </c>
      <c r="CV52" s="17">
        <v>20.115557308</v>
      </c>
      <c r="CW52" s="17">
        <v>20.231251991000001</v>
      </c>
      <c r="CX52" s="17">
        <v>20.352949926000001</v>
      </c>
    </row>
    <row r="53" spans="1:102" x14ac:dyDescent="0.2">
      <c r="B53" s="55" t="s">
        <v>286</v>
      </c>
      <c r="C53" s="55" t="s">
        <v>286</v>
      </c>
      <c r="D53" s="55" t="s">
        <v>286</v>
      </c>
      <c r="E53" s="55" t="s">
        <v>286</v>
      </c>
      <c r="F53" s="55" t="s">
        <v>286</v>
      </c>
      <c r="G53" s="55" t="s">
        <v>286</v>
      </c>
      <c r="H53" s="55" t="s">
        <v>286</v>
      </c>
      <c r="I53" s="55" t="s">
        <v>286</v>
      </c>
      <c r="J53" s="55" t="s">
        <v>286</v>
      </c>
      <c r="K53" s="55" t="s">
        <v>286</v>
      </c>
      <c r="L53" s="55" t="s">
        <v>286</v>
      </c>
      <c r="M53" s="55" t="s">
        <v>286</v>
      </c>
      <c r="N53" s="55" t="s">
        <v>286</v>
      </c>
      <c r="O53" s="55" t="s">
        <v>286</v>
      </c>
      <c r="P53" s="55" t="s">
        <v>286</v>
      </c>
      <c r="Q53" s="55" t="s">
        <v>286</v>
      </c>
      <c r="R53" s="55" t="s">
        <v>286</v>
      </c>
      <c r="S53" s="55" t="s">
        <v>286</v>
      </c>
      <c r="T53" s="55" t="s">
        <v>286</v>
      </c>
      <c r="U53" s="55" t="s">
        <v>286</v>
      </c>
      <c r="V53" s="55" t="s">
        <v>286</v>
      </c>
      <c r="W53" s="55" t="s">
        <v>286</v>
      </c>
      <c r="X53" s="55" t="s">
        <v>286</v>
      </c>
      <c r="Y53" s="55" t="s">
        <v>286</v>
      </c>
      <c r="Z53" s="55" t="s">
        <v>286</v>
      </c>
      <c r="AA53" s="57" t="s">
        <v>286</v>
      </c>
      <c r="AB53" s="55" t="s">
        <v>286</v>
      </c>
      <c r="AC53" s="55" t="s">
        <v>286</v>
      </c>
      <c r="AD53" s="55" t="s">
        <v>286</v>
      </c>
      <c r="AE53" s="55" t="s">
        <v>286</v>
      </c>
      <c r="AF53" s="55" t="s">
        <v>286</v>
      </c>
      <c r="AG53" s="55" t="s">
        <v>286</v>
      </c>
      <c r="AH53" s="55" t="s">
        <v>286</v>
      </c>
      <c r="AI53" s="55" t="s">
        <v>286</v>
      </c>
      <c r="AJ53" s="55" t="s">
        <v>286</v>
      </c>
      <c r="AK53" s="55" t="s">
        <v>286</v>
      </c>
      <c r="AL53" s="55" t="s">
        <v>286</v>
      </c>
      <c r="AM53" s="55" t="s">
        <v>286</v>
      </c>
      <c r="AN53" s="55" t="s">
        <v>286</v>
      </c>
      <c r="AO53" s="55" t="s">
        <v>286</v>
      </c>
      <c r="AP53" s="55" t="s">
        <v>286</v>
      </c>
      <c r="AQ53" s="55" t="s">
        <v>286</v>
      </c>
      <c r="AR53" s="55" t="s">
        <v>286</v>
      </c>
      <c r="AS53" s="55" t="s">
        <v>286</v>
      </c>
      <c r="AT53" s="55" t="s">
        <v>286</v>
      </c>
      <c r="AU53" s="55" t="s">
        <v>286</v>
      </c>
      <c r="AV53" s="55" t="s">
        <v>286</v>
      </c>
      <c r="AW53" s="55" t="s">
        <v>286</v>
      </c>
      <c r="AX53" s="55" t="s">
        <v>286</v>
      </c>
      <c r="AY53" s="55" t="s">
        <v>286</v>
      </c>
      <c r="AZ53" s="57" t="s">
        <v>286</v>
      </c>
      <c r="BA53" s="55" t="s">
        <v>286</v>
      </c>
      <c r="BB53" s="55" t="s">
        <v>286</v>
      </c>
      <c r="BC53" s="55" t="s">
        <v>286</v>
      </c>
      <c r="BD53" s="55" t="s">
        <v>286</v>
      </c>
      <c r="BE53" s="55" t="s">
        <v>286</v>
      </c>
      <c r="BF53" s="55" t="s">
        <v>286</v>
      </c>
      <c r="BG53" s="55" t="s">
        <v>286</v>
      </c>
      <c r="BH53" s="55" t="s">
        <v>286</v>
      </c>
      <c r="BI53" s="55" t="s">
        <v>286</v>
      </c>
      <c r="BJ53" s="55" t="s">
        <v>286</v>
      </c>
      <c r="BK53" s="55" t="s">
        <v>286</v>
      </c>
      <c r="BL53" s="55" t="s">
        <v>286</v>
      </c>
      <c r="BM53" s="55" t="s">
        <v>286</v>
      </c>
      <c r="BN53" s="55" t="s">
        <v>286</v>
      </c>
      <c r="BO53" s="55" t="s">
        <v>286</v>
      </c>
      <c r="BP53" s="55" t="s">
        <v>286</v>
      </c>
      <c r="BQ53" s="55" t="s">
        <v>286</v>
      </c>
      <c r="BR53" s="55" t="s">
        <v>286</v>
      </c>
      <c r="BS53" s="55" t="s">
        <v>286</v>
      </c>
      <c r="BT53" s="55" t="s">
        <v>286</v>
      </c>
      <c r="BU53" s="55" t="s">
        <v>286</v>
      </c>
      <c r="BV53" s="55" t="s">
        <v>286</v>
      </c>
      <c r="BW53" s="55" t="s">
        <v>286</v>
      </c>
      <c r="BX53" s="55" t="s">
        <v>286</v>
      </c>
      <c r="BY53" s="57" t="s">
        <v>286</v>
      </c>
      <c r="BZ53" s="55" t="s">
        <v>286</v>
      </c>
      <c r="CA53" s="55" t="s">
        <v>286</v>
      </c>
      <c r="CB53" s="55" t="s">
        <v>286</v>
      </c>
      <c r="CC53" s="55" t="s">
        <v>286</v>
      </c>
      <c r="CD53" s="55" t="s">
        <v>286</v>
      </c>
      <c r="CE53" s="55" t="s">
        <v>286</v>
      </c>
      <c r="CF53" s="55" t="s">
        <v>286</v>
      </c>
      <c r="CG53" s="55" t="s">
        <v>286</v>
      </c>
      <c r="CH53" s="55" t="s">
        <v>286</v>
      </c>
      <c r="CI53" s="55" t="s">
        <v>286</v>
      </c>
      <c r="CJ53" s="55" t="s">
        <v>286</v>
      </c>
      <c r="CK53" s="55" t="s">
        <v>286</v>
      </c>
      <c r="CL53" s="55" t="s">
        <v>286</v>
      </c>
      <c r="CM53" s="55" t="s">
        <v>286</v>
      </c>
      <c r="CN53" s="55" t="s">
        <v>286</v>
      </c>
      <c r="CO53" s="55" t="s">
        <v>286</v>
      </c>
      <c r="CP53" s="55" t="s">
        <v>286</v>
      </c>
      <c r="CQ53" s="55" t="s">
        <v>286</v>
      </c>
      <c r="CR53" s="55" t="s">
        <v>286</v>
      </c>
      <c r="CS53" s="55" t="s">
        <v>286</v>
      </c>
      <c r="CT53" s="55" t="s">
        <v>286</v>
      </c>
      <c r="CU53" s="55" t="s">
        <v>286</v>
      </c>
      <c r="CV53" s="55" t="s">
        <v>286</v>
      </c>
      <c r="CW53" s="55" t="s">
        <v>286</v>
      </c>
      <c r="CX53" s="57" t="s">
        <v>286</v>
      </c>
    </row>
    <row r="54" spans="1:102" x14ac:dyDescent="0.2">
      <c r="A54" s="67" t="s">
        <v>135</v>
      </c>
      <c r="B54" s="17">
        <v>100</v>
      </c>
      <c r="C54" s="17">
        <v>100</v>
      </c>
      <c r="D54" s="17">
        <v>100</v>
      </c>
      <c r="E54" s="17">
        <v>100</v>
      </c>
      <c r="F54" s="17">
        <v>100</v>
      </c>
      <c r="G54" s="17">
        <v>100</v>
      </c>
      <c r="H54" s="17">
        <v>100</v>
      </c>
      <c r="I54" s="17">
        <v>100</v>
      </c>
      <c r="J54" s="17">
        <v>100</v>
      </c>
      <c r="K54" s="17">
        <v>100</v>
      </c>
      <c r="L54" s="17">
        <v>100</v>
      </c>
      <c r="M54" s="17">
        <v>100</v>
      </c>
      <c r="N54" s="17">
        <v>100</v>
      </c>
      <c r="O54" s="17">
        <v>100</v>
      </c>
      <c r="P54" s="17">
        <v>100</v>
      </c>
      <c r="Q54" s="17">
        <v>100</v>
      </c>
      <c r="R54" s="17">
        <v>100</v>
      </c>
      <c r="S54" s="17">
        <v>100</v>
      </c>
      <c r="T54" s="17">
        <v>100</v>
      </c>
      <c r="U54" s="17">
        <v>100</v>
      </c>
      <c r="V54" s="17">
        <v>100</v>
      </c>
      <c r="W54" s="17">
        <v>100</v>
      </c>
      <c r="X54" s="17">
        <v>100</v>
      </c>
      <c r="Y54" s="17">
        <v>100</v>
      </c>
      <c r="Z54" s="17">
        <v>100</v>
      </c>
      <c r="AA54" s="17">
        <v>100</v>
      </c>
      <c r="AB54" s="17">
        <v>100</v>
      </c>
      <c r="AC54" s="17">
        <v>100</v>
      </c>
      <c r="AD54" s="17">
        <v>100</v>
      </c>
      <c r="AE54" s="17">
        <v>100</v>
      </c>
      <c r="AF54" s="17">
        <v>100</v>
      </c>
      <c r="AG54" s="17">
        <v>100</v>
      </c>
      <c r="AH54" s="17">
        <v>100</v>
      </c>
      <c r="AI54" s="17">
        <v>100</v>
      </c>
      <c r="AJ54" s="17">
        <v>100</v>
      </c>
      <c r="AK54" s="17">
        <v>100</v>
      </c>
      <c r="AL54" s="17">
        <v>100</v>
      </c>
      <c r="AM54" s="17">
        <v>100</v>
      </c>
      <c r="AN54" s="17">
        <v>100</v>
      </c>
      <c r="AO54" s="17">
        <v>100</v>
      </c>
      <c r="AP54" s="17">
        <v>100</v>
      </c>
      <c r="AQ54" s="17">
        <v>100</v>
      </c>
      <c r="AR54" s="17">
        <v>100</v>
      </c>
      <c r="AS54" s="17">
        <v>100</v>
      </c>
      <c r="AT54" s="17">
        <v>100</v>
      </c>
      <c r="AU54" s="17">
        <v>100</v>
      </c>
      <c r="AV54" s="17">
        <v>100</v>
      </c>
      <c r="AW54" s="17">
        <v>100</v>
      </c>
      <c r="AX54" s="17">
        <v>100</v>
      </c>
      <c r="AY54" s="17">
        <v>100</v>
      </c>
      <c r="AZ54" s="17">
        <v>100</v>
      </c>
      <c r="BA54" s="17">
        <v>100</v>
      </c>
      <c r="BB54" s="17">
        <v>100</v>
      </c>
      <c r="BC54" s="17">
        <v>100</v>
      </c>
      <c r="BD54" s="17">
        <v>100</v>
      </c>
      <c r="BE54" s="17">
        <v>100</v>
      </c>
      <c r="BF54" s="17">
        <v>100</v>
      </c>
      <c r="BG54" s="17">
        <v>100</v>
      </c>
      <c r="BH54" s="17">
        <v>100</v>
      </c>
      <c r="BI54" s="17">
        <v>100</v>
      </c>
      <c r="BJ54" s="17">
        <v>100</v>
      </c>
      <c r="BK54" s="17">
        <v>100</v>
      </c>
      <c r="BL54" s="17">
        <v>100</v>
      </c>
      <c r="BM54" s="17">
        <v>100</v>
      </c>
      <c r="BN54" s="17">
        <v>100</v>
      </c>
      <c r="BO54" s="17">
        <v>100</v>
      </c>
      <c r="BP54" s="17">
        <v>100</v>
      </c>
      <c r="BQ54" s="17">
        <v>100</v>
      </c>
      <c r="BR54" s="17">
        <v>100</v>
      </c>
      <c r="BS54" s="17">
        <v>100</v>
      </c>
      <c r="BT54" s="17">
        <v>100</v>
      </c>
      <c r="BU54" s="17">
        <v>100</v>
      </c>
      <c r="BV54" s="17">
        <v>100</v>
      </c>
      <c r="BW54" s="17">
        <v>100</v>
      </c>
      <c r="BX54" s="17">
        <v>100</v>
      </c>
      <c r="BY54" s="17">
        <v>100</v>
      </c>
      <c r="BZ54" s="17">
        <v>100</v>
      </c>
      <c r="CA54" s="17">
        <v>100</v>
      </c>
      <c r="CB54" s="17">
        <v>100</v>
      </c>
      <c r="CC54" s="17">
        <v>100</v>
      </c>
      <c r="CD54" s="17">
        <v>100</v>
      </c>
      <c r="CE54" s="17">
        <v>100</v>
      </c>
      <c r="CF54" s="17">
        <v>100</v>
      </c>
      <c r="CG54" s="17">
        <v>100</v>
      </c>
      <c r="CH54" s="17">
        <v>100</v>
      </c>
      <c r="CI54" s="17">
        <v>100</v>
      </c>
      <c r="CJ54" s="17">
        <v>100</v>
      </c>
      <c r="CK54" s="17">
        <v>100</v>
      </c>
      <c r="CL54" s="17">
        <v>100</v>
      </c>
      <c r="CM54" s="17">
        <v>100</v>
      </c>
      <c r="CN54" s="17">
        <v>100</v>
      </c>
      <c r="CO54" s="17">
        <v>100</v>
      </c>
      <c r="CP54" s="17">
        <v>100</v>
      </c>
      <c r="CQ54" s="17">
        <v>100</v>
      </c>
      <c r="CR54" s="17">
        <v>100</v>
      </c>
      <c r="CS54" s="17">
        <v>100</v>
      </c>
      <c r="CT54" s="17">
        <v>100</v>
      </c>
      <c r="CU54" s="17">
        <v>100</v>
      </c>
      <c r="CV54" s="17">
        <v>100</v>
      </c>
      <c r="CW54" s="17">
        <v>100</v>
      </c>
      <c r="CX54" s="17">
        <v>100</v>
      </c>
    </row>
    <row r="55" spans="1:102" ht="8.25" customHeight="1" thickBot="1" x14ac:dyDescent="0.25">
      <c r="A55" s="6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</row>
    <row r="56" spans="1:102" ht="23.25" customHeight="1" x14ac:dyDescent="0.2">
      <c r="A56" s="56" t="s">
        <v>136</v>
      </c>
      <c r="B56" s="17">
        <v>41.020786737000002</v>
      </c>
      <c r="C56" s="17">
        <v>41.189480205000002</v>
      </c>
      <c r="D56" s="17">
        <v>41.361665567000003</v>
      </c>
      <c r="E56" s="17">
        <v>41.545834407999997</v>
      </c>
      <c r="F56" s="17">
        <v>41.726832469000001</v>
      </c>
      <c r="G56" s="17">
        <v>41.906252684999998</v>
      </c>
      <c r="H56" s="17">
        <v>42.085301782000002</v>
      </c>
      <c r="I56" s="17">
        <v>42.263693875999998</v>
      </c>
      <c r="J56" s="17">
        <v>42.439498870999998</v>
      </c>
      <c r="K56" s="17">
        <v>42.612187726999998</v>
      </c>
      <c r="L56" s="17">
        <v>42.781250980000003</v>
      </c>
      <c r="M56" s="17">
        <v>42.946054429999997</v>
      </c>
      <c r="N56" s="17">
        <v>43.105925333999998</v>
      </c>
      <c r="O56" s="17">
        <v>43.260507314999998</v>
      </c>
      <c r="P56" s="17">
        <v>43.409415602999999</v>
      </c>
      <c r="Q56" s="17">
        <v>43.552120875999996</v>
      </c>
      <c r="R56" s="17">
        <v>43.687514825000001</v>
      </c>
      <c r="S56" s="17">
        <v>43.814582520999998</v>
      </c>
      <c r="T56" s="17">
        <v>43.933304454000002</v>
      </c>
      <c r="U56" s="17">
        <v>44.043926835000001</v>
      </c>
      <c r="V56" s="17">
        <v>44.146890102999997</v>
      </c>
      <c r="W56" s="17">
        <v>44.243043178000001</v>
      </c>
      <c r="X56" s="17">
        <v>44.333443541999998</v>
      </c>
      <c r="Y56" s="17">
        <v>44.418858704999998</v>
      </c>
      <c r="Z56" s="17">
        <v>44.500093434999997</v>
      </c>
      <c r="AA56" s="17">
        <v>44.578527164999997</v>
      </c>
      <c r="AB56" s="17">
        <v>44.655365721999999</v>
      </c>
      <c r="AC56" s="17">
        <v>44.731126599</v>
      </c>
      <c r="AD56" s="17">
        <v>44.806349914000002</v>
      </c>
      <c r="AE56" s="17">
        <v>44.881584158999999</v>
      </c>
      <c r="AF56" s="17">
        <v>44.957174424000002</v>
      </c>
      <c r="AG56" s="17">
        <v>45.033250645999999</v>
      </c>
      <c r="AH56" s="17">
        <v>45.109824228999997</v>
      </c>
      <c r="AI56" s="17">
        <v>45.186966394000002</v>
      </c>
      <c r="AJ56" s="17">
        <v>45.264777547999998</v>
      </c>
      <c r="AK56" s="17">
        <v>45.343172621000001</v>
      </c>
      <c r="AL56" s="17">
        <v>45.422010098999998</v>
      </c>
      <c r="AM56" s="17">
        <v>45.501190098000002</v>
      </c>
      <c r="AN56" s="17">
        <v>45.580682646</v>
      </c>
      <c r="AO56" s="17">
        <v>45.660483595999999</v>
      </c>
      <c r="AP56" s="17">
        <v>45.740620903999996</v>
      </c>
      <c r="AQ56" s="17">
        <v>45.821079372</v>
      </c>
      <c r="AR56" s="17">
        <v>45.901793240000003</v>
      </c>
      <c r="AS56" s="17">
        <v>45.982597317</v>
      </c>
      <c r="AT56" s="17">
        <v>46.063327237000003</v>
      </c>
      <c r="AU56" s="17">
        <v>46.143760884999999</v>
      </c>
      <c r="AV56" s="17">
        <v>46.22369793</v>
      </c>
      <c r="AW56" s="17">
        <v>46.302906092000001</v>
      </c>
      <c r="AX56" s="17">
        <v>46.381109441</v>
      </c>
      <c r="AY56" s="17">
        <v>46.457987416999998</v>
      </c>
      <c r="AZ56" s="17">
        <v>46.533217192999999</v>
      </c>
      <c r="BA56" s="17">
        <v>46.606457216999999</v>
      </c>
      <c r="BB56" s="17">
        <v>46.677398554</v>
      </c>
      <c r="BC56" s="17">
        <v>46.745776644000003</v>
      </c>
      <c r="BD56" s="17">
        <v>46.811419360999999</v>
      </c>
      <c r="BE56" s="17">
        <v>46.874229016000001</v>
      </c>
      <c r="BF56" s="17">
        <v>46.934241141000001</v>
      </c>
      <c r="BG56" s="17">
        <v>46.991566990999999</v>
      </c>
      <c r="BH56" s="17">
        <v>47.046426314000001</v>
      </c>
      <c r="BI56" s="17">
        <v>47.099151181000003</v>
      </c>
      <c r="BJ56" s="17">
        <v>47.150142500999998</v>
      </c>
      <c r="BK56" s="17">
        <v>47.199851916999997</v>
      </c>
      <c r="BL56" s="17">
        <v>47.248722512999997</v>
      </c>
      <c r="BM56" s="17">
        <v>47.297189488000001</v>
      </c>
      <c r="BN56" s="17">
        <v>47.345648320000002</v>
      </c>
      <c r="BO56" s="17">
        <v>47.394430595999999</v>
      </c>
      <c r="BP56" s="17">
        <v>47.443803174999999</v>
      </c>
      <c r="BQ56" s="17">
        <v>47.493975683999999</v>
      </c>
      <c r="BR56" s="17">
        <v>47.545036863999997</v>
      </c>
      <c r="BS56" s="17">
        <v>47.597001507999998</v>
      </c>
      <c r="BT56" s="17">
        <v>47.649830065000003</v>
      </c>
      <c r="BU56" s="17">
        <v>47.703383207000002</v>
      </c>
      <c r="BV56" s="17">
        <v>47.757470118000001</v>
      </c>
      <c r="BW56" s="17">
        <v>47.811853190000001</v>
      </c>
      <c r="BX56" s="17">
        <v>47.866206175999999</v>
      </c>
      <c r="BY56" s="17">
        <v>47.920168490999998</v>
      </c>
      <c r="BZ56" s="17">
        <v>47.973308107999998</v>
      </c>
      <c r="CA56" s="17">
        <v>48.025192971000003</v>
      </c>
      <c r="CB56" s="17">
        <v>48.075346154000002</v>
      </c>
      <c r="CC56" s="17">
        <v>48.123290836999999</v>
      </c>
      <c r="CD56" s="17">
        <v>48.16860664</v>
      </c>
      <c r="CE56" s="17">
        <v>48.210934709999997</v>
      </c>
      <c r="CF56" s="17">
        <v>48.249979670999998</v>
      </c>
      <c r="CG56" s="17">
        <v>48.285547895000001</v>
      </c>
      <c r="CH56" s="17">
        <v>48.317587701000001</v>
      </c>
      <c r="CI56" s="17">
        <v>48.346215526000002</v>
      </c>
      <c r="CJ56" s="17">
        <v>48.371707983999997</v>
      </c>
      <c r="CK56" s="17">
        <v>48.394493900000001</v>
      </c>
      <c r="CL56" s="17">
        <v>48.415141140000003</v>
      </c>
      <c r="CM56" s="17">
        <v>48.434321128000001</v>
      </c>
      <c r="CN56" s="17">
        <v>48.452792266000003</v>
      </c>
      <c r="CO56" s="17">
        <v>48.471316508000001</v>
      </c>
      <c r="CP56" s="17">
        <v>48.490701555999998</v>
      </c>
      <c r="CQ56" s="17">
        <v>48.511651407999999</v>
      </c>
      <c r="CR56" s="17">
        <v>48.534820893000003</v>
      </c>
      <c r="CS56" s="17">
        <v>48.560712617</v>
      </c>
      <c r="CT56" s="17">
        <v>48.589683411999999</v>
      </c>
      <c r="CU56" s="17">
        <v>48.621947611000003</v>
      </c>
      <c r="CV56" s="17">
        <v>48.657591076000003</v>
      </c>
      <c r="CW56" s="17">
        <v>48.696514583000003</v>
      </c>
      <c r="CX56" s="17">
        <v>48.738517698999999</v>
      </c>
    </row>
    <row r="57" spans="1:102" ht="23.25" customHeight="1" x14ac:dyDescent="0.2">
      <c r="A57" s="70" t="s">
        <v>137</v>
      </c>
      <c r="B57" s="17">
        <v>40.392379685000002</v>
      </c>
      <c r="C57" s="17">
        <v>40.571950708000003</v>
      </c>
      <c r="D57" s="17">
        <v>40.752298918999998</v>
      </c>
      <c r="E57" s="17">
        <v>40.940128115</v>
      </c>
      <c r="F57" s="17">
        <v>41.125784443000001</v>
      </c>
      <c r="G57" s="17">
        <v>41.305156855</v>
      </c>
      <c r="H57" s="17">
        <v>41.495508297000001</v>
      </c>
      <c r="I57" s="17">
        <v>41.693511903000001</v>
      </c>
      <c r="J57" s="17">
        <v>41.888948493999997</v>
      </c>
      <c r="K57" s="17">
        <v>42.076372589999998</v>
      </c>
      <c r="L57" s="17">
        <v>42.278893537999998</v>
      </c>
      <c r="M57" s="17">
        <v>42.475354392</v>
      </c>
      <c r="N57" s="17">
        <v>42.668470386000003</v>
      </c>
      <c r="O57" s="17">
        <v>42.864337161000002</v>
      </c>
      <c r="P57" s="17">
        <v>43.068811973999999</v>
      </c>
      <c r="Q57" s="17">
        <v>43.256480293000003</v>
      </c>
      <c r="R57" s="17">
        <v>43.421451173999998</v>
      </c>
      <c r="S57" s="17">
        <v>43.572587327999997</v>
      </c>
      <c r="T57" s="17">
        <v>43.71008647</v>
      </c>
      <c r="U57" s="17">
        <v>43.828086681999999</v>
      </c>
      <c r="V57" s="17">
        <v>43.945218965000002</v>
      </c>
      <c r="W57" s="17">
        <v>44.061138139000001</v>
      </c>
      <c r="X57" s="17">
        <v>44.155137648999997</v>
      </c>
      <c r="Y57" s="17">
        <v>44.238046797999999</v>
      </c>
      <c r="Z57" s="17">
        <v>44.300331851000003</v>
      </c>
      <c r="AA57" s="17">
        <v>44.342720911999997</v>
      </c>
      <c r="AB57" s="17">
        <v>44.360739434999999</v>
      </c>
      <c r="AC57" s="17">
        <v>44.376628416999999</v>
      </c>
      <c r="AD57" s="17">
        <v>44.412042393999997</v>
      </c>
      <c r="AE57" s="17">
        <v>44.466467368000004</v>
      </c>
      <c r="AF57" s="17">
        <v>44.545139224000003</v>
      </c>
      <c r="AG57" s="17">
        <v>44.648071414999997</v>
      </c>
      <c r="AH57" s="17">
        <v>44.770237485000003</v>
      </c>
      <c r="AI57" s="17">
        <v>44.913700241000001</v>
      </c>
      <c r="AJ57" s="17">
        <v>45.055908875999997</v>
      </c>
      <c r="AK57" s="17">
        <v>45.209428750999997</v>
      </c>
      <c r="AL57" s="17">
        <v>45.377145919999997</v>
      </c>
      <c r="AM57" s="17">
        <v>45.557396873999998</v>
      </c>
      <c r="AN57" s="17">
        <v>45.739394982</v>
      </c>
      <c r="AO57" s="17">
        <v>45.909174589000003</v>
      </c>
      <c r="AP57" s="17">
        <v>46.069239429</v>
      </c>
      <c r="AQ57" s="17">
        <v>46.228507719</v>
      </c>
      <c r="AR57" s="17">
        <v>46.392023254999998</v>
      </c>
      <c r="AS57" s="17">
        <v>46.548723999000003</v>
      </c>
      <c r="AT57" s="17">
        <v>46.692266740000001</v>
      </c>
      <c r="AU57" s="17">
        <v>46.821055303000001</v>
      </c>
      <c r="AV57" s="17">
        <v>46.930770805000002</v>
      </c>
      <c r="AW57" s="17">
        <v>47.018109342000002</v>
      </c>
      <c r="AX57" s="17">
        <v>47.072197015</v>
      </c>
      <c r="AY57" s="17">
        <v>47.116196578</v>
      </c>
      <c r="AZ57" s="17">
        <v>47.154019881000004</v>
      </c>
      <c r="BA57" s="17">
        <v>47.192757321999999</v>
      </c>
      <c r="BB57" s="17">
        <v>47.230508315999998</v>
      </c>
      <c r="BC57" s="17">
        <v>47.264098363000002</v>
      </c>
      <c r="BD57" s="17">
        <v>47.292902513000001</v>
      </c>
      <c r="BE57" s="17">
        <v>47.317049535000002</v>
      </c>
      <c r="BF57" s="17">
        <v>47.336993421000003</v>
      </c>
      <c r="BG57" s="17">
        <v>47.353320447000002</v>
      </c>
      <c r="BH57" s="17">
        <v>47.366956129000002</v>
      </c>
      <c r="BI57" s="17">
        <v>47.379189242999999</v>
      </c>
      <c r="BJ57" s="17">
        <v>47.391172419999997</v>
      </c>
      <c r="BK57" s="17">
        <v>47.404016384999998</v>
      </c>
      <c r="BL57" s="17">
        <v>47.419138036</v>
      </c>
      <c r="BM57" s="17">
        <v>47.438767769999998</v>
      </c>
      <c r="BN57" s="17">
        <v>47.465496618000003</v>
      </c>
      <c r="BO57" s="17">
        <v>47.500788663000002</v>
      </c>
      <c r="BP57" s="17">
        <v>47.545017651999999</v>
      </c>
      <c r="BQ57" s="17">
        <v>47.598188508</v>
      </c>
      <c r="BR57" s="17">
        <v>47.659780933</v>
      </c>
      <c r="BS57" s="17">
        <v>47.728742126999997</v>
      </c>
      <c r="BT57" s="17">
        <v>47.803957543999999</v>
      </c>
      <c r="BU57" s="17">
        <v>47.884468873000003</v>
      </c>
      <c r="BV57" s="17">
        <v>47.969168330999999</v>
      </c>
      <c r="BW57" s="17">
        <v>48.056037273000001</v>
      </c>
      <c r="BX57" s="17">
        <v>48.142834286999999</v>
      </c>
      <c r="BY57" s="17">
        <v>48.228376417</v>
      </c>
      <c r="BZ57" s="17">
        <v>48.311291228000002</v>
      </c>
      <c r="CA57" s="17">
        <v>48.390197172999997</v>
      </c>
      <c r="CB57" s="17">
        <v>48.463755616</v>
      </c>
      <c r="CC57" s="17">
        <v>48.530918466999999</v>
      </c>
      <c r="CD57" s="17">
        <v>48.590953137</v>
      </c>
      <c r="CE57" s="17">
        <v>48.643258213999999</v>
      </c>
      <c r="CF57" s="17">
        <v>48.687345413000003</v>
      </c>
      <c r="CG57" s="17">
        <v>48.723041985000002</v>
      </c>
      <c r="CH57" s="17">
        <v>48.750647127000001</v>
      </c>
      <c r="CI57" s="17">
        <v>48.770880628999997</v>
      </c>
      <c r="CJ57" s="17">
        <v>48.784738333</v>
      </c>
      <c r="CK57" s="17">
        <v>48.793310925</v>
      </c>
      <c r="CL57" s="17">
        <v>48.797878339999997</v>
      </c>
      <c r="CM57" s="17">
        <v>48.799809906</v>
      </c>
      <c r="CN57" s="17">
        <v>48.800499625999997</v>
      </c>
      <c r="CO57" s="17">
        <v>48.801463632999997</v>
      </c>
      <c r="CP57" s="17">
        <v>48.804221855999998</v>
      </c>
      <c r="CQ57" s="17">
        <v>48.810066358999997</v>
      </c>
      <c r="CR57" s="17">
        <v>48.820154987999999</v>
      </c>
      <c r="CS57" s="17">
        <v>48.835307696999998</v>
      </c>
      <c r="CT57" s="17">
        <v>48.85605262</v>
      </c>
      <c r="CU57" s="17">
        <v>48.882749666000002</v>
      </c>
      <c r="CV57" s="17">
        <v>48.915553492999997</v>
      </c>
      <c r="CW57" s="17">
        <v>48.954330839999997</v>
      </c>
      <c r="CX57" s="17">
        <v>48.998827716999998</v>
      </c>
    </row>
    <row r="58" spans="1:102" ht="15.75" thickBot="1" x14ac:dyDescent="0.3">
      <c r="A58" s="83"/>
      <c r="B58" s="84"/>
      <c r="C58" s="51" t="s">
        <v>321</v>
      </c>
      <c r="D58" s="84"/>
      <c r="E58" s="84"/>
      <c r="F58" s="84"/>
      <c r="G58" s="84"/>
      <c r="H58" s="84"/>
      <c r="I58" s="84"/>
      <c r="J58" s="84"/>
      <c r="K58" s="84"/>
      <c r="L58" s="84"/>
      <c r="M58" s="85"/>
      <c r="N58" s="86"/>
      <c r="O58" s="86"/>
      <c r="P58" s="86"/>
      <c r="Q58" s="86"/>
      <c r="R58" s="86"/>
      <c r="S58" s="86"/>
      <c r="T58" s="86"/>
      <c r="U58" s="86"/>
      <c r="V58" s="86"/>
      <c r="W58" s="85"/>
      <c r="X58" s="86"/>
      <c r="Y58" s="86"/>
      <c r="Z58" s="86"/>
      <c r="AA58" s="86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</row>
    <row r="59" spans="1:102" ht="23.25" customHeight="1" x14ac:dyDescent="0.2">
      <c r="A59" s="64"/>
      <c r="B59" s="54" t="s">
        <v>169</v>
      </c>
      <c r="C59" s="54" t="s">
        <v>170</v>
      </c>
      <c r="D59" s="54" t="s">
        <v>128</v>
      </c>
      <c r="E59" s="54" t="s">
        <v>8</v>
      </c>
      <c r="F59" s="54" t="s">
        <v>9</v>
      </c>
      <c r="G59" s="54" t="s">
        <v>10</v>
      </c>
      <c r="H59" s="54" t="s">
        <v>11</v>
      </c>
      <c r="I59" s="54" t="s">
        <v>12</v>
      </c>
      <c r="J59" s="54" t="s">
        <v>13</v>
      </c>
      <c r="K59" s="54" t="s">
        <v>14</v>
      </c>
      <c r="L59" s="54" t="s">
        <v>15</v>
      </c>
      <c r="M59" s="54" t="s">
        <v>16</v>
      </c>
      <c r="N59" s="54" t="s">
        <v>17</v>
      </c>
      <c r="O59" s="54" t="s">
        <v>18</v>
      </c>
      <c r="P59" s="54" t="s">
        <v>19</v>
      </c>
      <c r="Q59" s="54" t="s">
        <v>20</v>
      </c>
      <c r="R59" s="54" t="s">
        <v>21</v>
      </c>
      <c r="S59" s="54" t="s">
        <v>22</v>
      </c>
      <c r="T59" s="54" t="s">
        <v>23</v>
      </c>
      <c r="U59" s="54" t="s">
        <v>24</v>
      </c>
      <c r="V59" s="54" t="s">
        <v>25</v>
      </c>
      <c r="W59" s="54" t="s">
        <v>26</v>
      </c>
      <c r="X59" s="54" t="s">
        <v>27</v>
      </c>
      <c r="Y59" s="54" t="s">
        <v>28</v>
      </c>
      <c r="Z59" s="54" t="s">
        <v>29</v>
      </c>
      <c r="AA59" s="54" t="s">
        <v>30</v>
      </c>
      <c r="AB59" s="54" t="s">
        <v>31</v>
      </c>
      <c r="AC59" s="54" t="s">
        <v>32</v>
      </c>
      <c r="AD59" s="54" t="s">
        <v>33</v>
      </c>
      <c r="AE59" s="54" t="s">
        <v>34</v>
      </c>
      <c r="AF59" s="54" t="s">
        <v>35</v>
      </c>
      <c r="AG59" s="54" t="s">
        <v>36</v>
      </c>
      <c r="AH59" s="54" t="s">
        <v>37</v>
      </c>
      <c r="AI59" s="54" t="s">
        <v>38</v>
      </c>
      <c r="AJ59" s="54" t="s">
        <v>39</v>
      </c>
      <c r="AK59" s="54" t="s">
        <v>40</v>
      </c>
      <c r="AL59" s="54" t="s">
        <v>41</v>
      </c>
      <c r="AM59" s="54" t="s">
        <v>42</v>
      </c>
      <c r="AN59" s="54" t="s">
        <v>43</v>
      </c>
      <c r="AO59" s="54" t="s">
        <v>44</v>
      </c>
      <c r="AP59" s="54" t="s">
        <v>45</v>
      </c>
      <c r="AQ59" s="54" t="s">
        <v>46</v>
      </c>
      <c r="AR59" s="54" t="s">
        <v>47</v>
      </c>
      <c r="AS59" s="54" t="s">
        <v>48</v>
      </c>
      <c r="AT59" s="54" t="s">
        <v>49</v>
      </c>
      <c r="AU59" s="54" t="s">
        <v>50</v>
      </c>
      <c r="AV59" s="54" t="s">
        <v>51</v>
      </c>
      <c r="AW59" s="54" t="s">
        <v>52</v>
      </c>
      <c r="AX59" s="54" t="s">
        <v>53</v>
      </c>
      <c r="AY59" s="54" t="s">
        <v>54</v>
      </c>
      <c r="AZ59" s="54" t="s">
        <v>55</v>
      </c>
      <c r="BA59" s="54" t="s">
        <v>56</v>
      </c>
      <c r="BB59" s="54" t="s">
        <v>57</v>
      </c>
      <c r="BC59" s="54" t="s">
        <v>58</v>
      </c>
      <c r="BD59" s="54" t="s">
        <v>59</v>
      </c>
      <c r="BE59" s="54" t="s">
        <v>60</v>
      </c>
      <c r="BF59" s="54" t="s">
        <v>61</v>
      </c>
      <c r="BG59" s="54" t="s">
        <v>62</v>
      </c>
      <c r="BH59" s="54" t="s">
        <v>63</v>
      </c>
      <c r="BI59" s="54" t="s">
        <v>64</v>
      </c>
      <c r="BJ59" s="54" t="s">
        <v>65</v>
      </c>
      <c r="BK59" s="54" t="s">
        <v>66</v>
      </c>
      <c r="BL59" s="54" t="s">
        <v>67</v>
      </c>
      <c r="BM59" s="54" t="s">
        <v>68</v>
      </c>
      <c r="BN59" s="54" t="s">
        <v>69</v>
      </c>
      <c r="BO59" s="54" t="s">
        <v>70</v>
      </c>
      <c r="BP59" s="54" t="s">
        <v>71</v>
      </c>
      <c r="BQ59" s="54" t="s">
        <v>72</v>
      </c>
      <c r="BR59" s="54" t="s">
        <v>73</v>
      </c>
      <c r="BS59" s="54" t="s">
        <v>74</v>
      </c>
      <c r="BT59" s="54" t="s">
        <v>75</v>
      </c>
      <c r="BU59" s="54" t="s">
        <v>76</v>
      </c>
      <c r="BV59" s="54" t="s">
        <v>77</v>
      </c>
      <c r="BW59" s="54" t="s">
        <v>78</v>
      </c>
      <c r="BX59" s="54" t="s">
        <v>79</v>
      </c>
      <c r="BY59" s="54" t="s">
        <v>80</v>
      </c>
      <c r="BZ59" s="54" t="s">
        <v>81</v>
      </c>
      <c r="CA59" s="54" t="s">
        <v>82</v>
      </c>
      <c r="CB59" s="54" t="s">
        <v>83</v>
      </c>
      <c r="CC59" s="54" t="s">
        <v>84</v>
      </c>
      <c r="CD59" s="54" t="s">
        <v>85</v>
      </c>
      <c r="CE59" s="54" t="s">
        <v>86</v>
      </c>
      <c r="CF59" s="54" t="s">
        <v>87</v>
      </c>
      <c r="CG59" s="54" t="s">
        <v>88</v>
      </c>
      <c r="CH59" s="54" t="s">
        <v>89</v>
      </c>
      <c r="CI59" s="54" t="s">
        <v>90</v>
      </c>
      <c r="CJ59" s="54" t="s">
        <v>91</v>
      </c>
      <c r="CK59" s="54" t="s">
        <v>92</v>
      </c>
      <c r="CL59" s="54" t="s">
        <v>93</v>
      </c>
      <c r="CM59" s="54" t="s">
        <v>94</v>
      </c>
      <c r="CN59" s="54" t="s">
        <v>95</v>
      </c>
      <c r="CO59" s="54" t="s">
        <v>96</v>
      </c>
      <c r="CP59" s="54" t="s">
        <v>97</v>
      </c>
      <c r="CQ59" s="54" t="s">
        <v>98</v>
      </c>
      <c r="CR59" s="54" t="s">
        <v>99</v>
      </c>
      <c r="CS59" s="54" t="s">
        <v>100</v>
      </c>
      <c r="CT59" s="54" t="s">
        <v>101</v>
      </c>
      <c r="CU59" s="54" t="s">
        <v>102</v>
      </c>
      <c r="CV59" s="54" t="s">
        <v>103</v>
      </c>
      <c r="CW59" s="54" t="s">
        <v>104</v>
      </c>
      <c r="CX59" s="54" t="s">
        <v>105</v>
      </c>
    </row>
    <row r="60" spans="1:102" x14ac:dyDescent="0.2">
      <c r="A60" s="55"/>
      <c r="B60" s="55" t="s">
        <v>286</v>
      </c>
      <c r="C60" s="55" t="s">
        <v>286</v>
      </c>
      <c r="D60" s="55" t="s">
        <v>286</v>
      </c>
      <c r="E60" s="55" t="s">
        <v>286</v>
      </c>
      <c r="F60" s="55" t="s">
        <v>286</v>
      </c>
      <c r="G60" s="55" t="s">
        <v>286</v>
      </c>
      <c r="H60" s="55" t="s">
        <v>286</v>
      </c>
      <c r="I60" s="55" t="s">
        <v>286</v>
      </c>
      <c r="J60" s="55" t="s">
        <v>286</v>
      </c>
      <c r="K60" s="55" t="s">
        <v>286</v>
      </c>
      <c r="L60" s="55" t="s">
        <v>286</v>
      </c>
      <c r="M60" s="55" t="s">
        <v>286</v>
      </c>
      <c r="N60" s="55" t="s">
        <v>286</v>
      </c>
      <c r="O60" s="55" t="s">
        <v>286</v>
      </c>
      <c r="P60" s="55" t="s">
        <v>286</v>
      </c>
      <c r="Q60" s="55" t="s">
        <v>286</v>
      </c>
      <c r="R60" s="55" t="s">
        <v>286</v>
      </c>
      <c r="S60" s="55" t="s">
        <v>286</v>
      </c>
      <c r="T60" s="55" t="s">
        <v>286</v>
      </c>
      <c r="U60" s="55" t="s">
        <v>286</v>
      </c>
      <c r="V60" s="55" t="s">
        <v>286</v>
      </c>
      <c r="W60" s="55" t="s">
        <v>286</v>
      </c>
      <c r="X60" s="55" t="s">
        <v>286</v>
      </c>
      <c r="Y60" s="55" t="s">
        <v>286</v>
      </c>
      <c r="Z60" s="55" t="s">
        <v>286</v>
      </c>
      <c r="AA60" s="55" t="s">
        <v>286</v>
      </c>
      <c r="AB60" s="55" t="s">
        <v>286</v>
      </c>
      <c r="AC60" s="55" t="s">
        <v>286</v>
      </c>
      <c r="AD60" s="55" t="s">
        <v>286</v>
      </c>
      <c r="AE60" s="55" t="s">
        <v>286</v>
      </c>
      <c r="AF60" s="55" t="s">
        <v>286</v>
      </c>
      <c r="AG60" s="55" t="s">
        <v>286</v>
      </c>
      <c r="AH60" s="55" t="s">
        <v>286</v>
      </c>
      <c r="AI60" s="55" t="s">
        <v>286</v>
      </c>
      <c r="AJ60" s="55" t="s">
        <v>286</v>
      </c>
      <c r="AK60" s="55" t="s">
        <v>286</v>
      </c>
      <c r="AL60" s="55" t="s">
        <v>286</v>
      </c>
      <c r="AM60" s="55" t="s">
        <v>286</v>
      </c>
      <c r="AN60" s="55" t="s">
        <v>286</v>
      </c>
      <c r="AO60" s="55" t="s">
        <v>286</v>
      </c>
      <c r="AP60" s="55" t="s">
        <v>286</v>
      </c>
      <c r="AQ60" s="55" t="s">
        <v>286</v>
      </c>
      <c r="AR60" s="55" t="s">
        <v>286</v>
      </c>
      <c r="AS60" s="55" t="s">
        <v>286</v>
      </c>
      <c r="AT60" s="55" t="s">
        <v>286</v>
      </c>
      <c r="AU60" s="55" t="s">
        <v>286</v>
      </c>
      <c r="AV60" s="55" t="s">
        <v>286</v>
      </c>
      <c r="AW60" s="55" t="s">
        <v>286</v>
      </c>
      <c r="AX60" s="55" t="s">
        <v>286</v>
      </c>
      <c r="AY60" s="55" t="s">
        <v>286</v>
      </c>
      <c r="AZ60" s="57" t="s">
        <v>286</v>
      </c>
      <c r="BA60" s="55" t="s">
        <v>286</v>
      </c>
      <c r="BB60" s="55" t="s">
        <v>286</v>
      </c>
      <c r="BC60" s="55" t="s">
        <v>286</v>
      </c>
      <c r="BD60" s="55" t="s">
        <v>286</v>
      </c>
      <c r="BE60" s="55" t="s">
        <v>286</v>
      </c>
      <c r="BF60" s="55" t="s">
        <v>286</v>
      </c>
      <c r="BG60" s="55" t="s">
        <v>286</v>
      </c>
      <c r="BH60" s="55" t="s">
        <v>286</v>
      </c>
      <c r="BI60" s="55" t="s">
        <v>286</v>
      </c>
      <c r="BJ60" s="55" t="s">
        <v>286</v>
      </c>
      <c r="BK60" s="55" t="s">
        <v>286</v>
      </c>
      <c r="BL60" s="55" t="s">
        <v>286</v>
      </c>
      <c r="BM60" s="55" t="s">
        <v>286</v>
      </c>
      <c r="BN60" s="55" t="s">
        <v>286</v>
      </c>
      <c r="BO60" s="55" t="s">
        <v>286</v>
      </c>
      <c r="BP60" s="55" t="s">
        <v>286</v>
      </c>
      <c r="BQ60" s="55" t="s">
        <v>286</v>
      </c>
      <c r="BR60" s="55" t="s">
        <v>286</v>
      </c>
      <c r="BS60" s="55" t="s">
        <v>286</v>
      </c>
      <c r="BT60" s="55" t="s">
        <v>286</v>
      </c>
      <c r="BU60" s="55" t="s">
        <v>286</v>
      </c>
      <c r="BV60" s="55" t="s">
        <v>286</v>
      </c>
      <c r="BW60" s="55" t="s">
        <v>286</v>
      </c>
      <c r="BX60" s="55" t="s">
        <v>286</v>
      </c>
      <c r="BY60" s="57" t="s">
        <v>286</v>
      </c>
      <c r="BZ60" s="55" t="s">
        <v>286</v>
      </c>
      <c r="CA60" s="55" t="s">
        <v>286</v>
      </c>
      <c r="CB60" s="55" t="s">
        <v>286</v>
      </c>
      <c r="CC60" s="55" t="s">
        <v>286</v>
      </c>
      <c r="CD60" s="55" t="s">
        <v>286</v>
      </c>
      <c r="CE60" s="55" t="s">
        <v>286</v>
      </c>
      <c r="CF60" s="55" t="s">
        <v>286</v>
      </c>
      <c r="CG60" s="55" t="s">
        <v>286</v>
      </c>
      <c r="CH60" s="55" t="s">
        <v>286</v>
      </c>
      <c r="CI60" s="55" t="s">
        <v>286</v>
      </c>
      <c r="CJ60" s="55" t="s">
        <v>286</v>
      </c>
      <c r="CK60" s="55" t="s">
        <v>286</v>
      </c>
      <c r="CL60" s="55" t="s">
        <v>286</v>
      </c>
      <c r="CM60" s="55" t="s">
        <v>286</v>
      </c>
      <c r="CN60" s="55" t="s">
        <v>286</v>
      </c>
      <c r="CO60" s="55" t="s">
        <v>286</v>
      </c>
      <c r="CP60" s="55" t="s">
        <v>286</v>
      </c>
      <c r="CQ60" s="55" t="s">
        <v>286</v>
      </c>
      <c r="CR60" s="55" t="s">
        <v>286</v>
      </c>
      <c r="CS60" s="55" t="s">
        <v>286</v>
      </c>
      <c r="CT60" s="55" t="s">
        <v>286</v>
      </c>
      <c r="CU60" s="55" t="s">
        <v>286</v>
      </c>
      <c r="CV60" s="55" t="s">
        <v>286</v>
      </c>
      <c r="CW60" s="55" t="s">
        <v>286</v>
      </c>
      <c r="CX60" s="57" t="s">
        <v>286</v>
      </c>
    </row>
    <row r="61" spans="1:102" x14ac:dyDescent="0.2">
      <c r="A61" s="65" t="s">
        <v>304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</row>
    <row r="62" spans="1:102" x14ac:dyDescent="0.2">
      <c r="A62" s="55" t="s">
        <v>140</v>
      </c>
      <c r="B62" s="10">
        <v>12727.569</v>
      </c>
      <c r="C62" s="10">
        <v>12709.091</v>
      </c>
      <c r="D62" s="10">
        <v>12648.395</v>
      </c>
      <c r="E62" s="10">
        <v>12563.34</v>
      </c>
      <c r="F62" s="10">
        <v>12449.620999999999</v>
      </c>
      <c r="G62" s="10">
        <v>12337.764999999999</v>
      </c>
      <c r="H62" s="10">
        <v>12210.016</v>
      </c>
      <c r="I62" s="10">
        <v>12059.582</v>
      </c>
      <c r="J62" s="10">
        <v>11890.927</v>
      </c>
      <c r="K62" s="10">
        <v>11741.666999999999</v>
      </c>
      <c r="L62" s="10">
        <v>11605.224</v>
      </c>
      <c r="M62" s="10">
        <v>11470.505999999999</v>
      </c>
      <c r="N62" s="10">
        <v>11330.598</v>
      </c>
      <c r="O62" s="10">
        <v>11210.248</v>
      </c>
      <c r="P62" s="10">
        <v>11109.165000000001</v>
      </c>
      <c r="Q62" s="10">
        <v>11032.878000000001</v>
      </c>
      <c r="R62" s="10">
        <v>10984.556</v>
      </c>
      <c r="S62" s="10">
        <v>10973.481</v>
      </c>
      <c r="T62" s="10">
        <v>10977.397999999999</v>
      </c>
      <c r="U62" s="10">
        <v>10992.43</v>
      </c>
      <c r="V62" s="10">
        <v>11011.12</v>
      </c>
      <c r="W62" s="10">
        <v>11035.527</v>
      </c>
      <c r="X62" s="10">
        <v>11067.300999999999</v>
      </c>
      <c r="Y62" s="10">
        <v>11105.454</v>
      </c>
      <c r="Z62" s="10">
        <v>11148.852999999999</v>
      </c>
      <c r="AA62" s="10">
        <v>11195.142</v>
      </c>
      <c r="AB62" s="10">
        <v>11241.965</v>
      </c>
      <c r="AC62" s="10">
        <v>11287.606</v>
      </c>
      <c r="AD62" s="10">
        <v>11330.066999999999</v>
      </c>
      <c r="AE62" s="10">
        <v>11367.706</v>
      </c>
      <c r="AF62" s="10">
        <v>11399.013000000001</v>
      </c>
      <c r="AG62" s="10">
        <v>11422.558000000001</v>
      </c>
      <c r="AH62" s="10">
        <v>11436.094999999999</v>
      </c>
      <c r="AI62" s="10">
        <v>11437.432000000001</v>
      </c>
      <c r="AJ62" s="10">
        <v>11425.989</v>
      </c>
      <c r="AK62" s="10">
        <v>11401.986999999999</v>
      </c>
      <c r="AL62" s="10">
        <v>11366.098</v>
      </c>
      <c r="AM62" s="10">
        <v>11319.825999999999</v>
      </c>
      <c r="AN62" s="10">
        <v>11264.947</v>
      </c>
      <c r="AO62" s="10">
        <v>11202.92</v>
      </c>
      <c r="AP62" s="10">
        <v>11135.351000000001</v>
      </c>
      <c r="AQ62" s="10">
        <v>11064.864</v>
      </c>
      <c r="AR62" s="10">
        <v>10994.144</v>
      </c>
      <c r="AS62" s="10">
        <v>10924.939</v>
      </c>
      <c r="AT62" s="10">
        <v>10859.061</v>
      </c>
      <c r="AU62" s="10">
        <v>10798.272000000001</v>
      </c>
      <c r="AV62" s="10">
        <v>10743.92</v>
      </c>
      <c r="AW62" s="10">
        <v>10696.826999999999</v>
      </c>
      <c r="AX62" s="10">
        <v>10657.447</v>
      </c>
      <c r="AY62" s="10">
        <v>10626.204</v>
      </c>
      <c r="AZ62" s="10">
        <v>10603.263000000001</v>
      </c>
      <c r="BA62" s="10">
        <v>10588.3</v>
      </c>
      <c r="BB62" s="10">
        <v>10580.661</v>
      </c>
      <c r="BC62" s="10">
        <v>10579.504999999999</v>
      </c>
      <c r="BD62" s="10">
        <v>10583.936</v>
      </c>
      <c r="BE62" s="10">
        <v>10592.960999999999</v>
      </c>
      <c r="BF62" s="10">
        <v>10605.519</v>
      </c>
      <c r="BG62" s="10">
        <v>10620.546</v>
      </c>
      <c r="BH62" s="10">
        <v>10636.880999999999</v>
      </c>
      <c r="BI62" s="10">
        <v>10653.308000000001</v>
      </c>
      <c r="BJ62" s="10">
        <v>10668.715</v>
      </c>
      <c r="BK62" s="10">
        <v>10682.047</v>
      </c>
      <c r="BL62" s="10">
        <v>10692.460999999999</v>
      </c>
      <c r="BM62" s="10">
        <v>10699.286</v>
      </c>
      <c r="BN62" s="10">
        <v>10701.959000000001</v>
      </c>
      <c r="BO62" s="10">
        <v>10700.083000000001</v>
      </c>
      <c r="BP62" s="10">
        <v>10693.428</v>
      </c>
      <c r="BQ62" s="10">
        <v>10681.941999999999</v>
      </c>
      <c r="BR62" s="10">
        <v>10665.752</v>
      </c>
      <c r="BS62" s="10">
        <v>10645.148999999999</v>
      </c>
      <c r="BT62" s="10">
        <v>10620.566000000001</v>
      </c>
      <c r="BU62" s="10">
        <v>10592.578</v>
      </c>
      <c r="BV62" s="10">
        <v>10561.855</v>
      </c>
      <c r="BW62" s="10">
        <v>10529.126</v>
      </c>
      <c r="BX62" s="10">
        <v>10495.200999999999</v>
      </c>
      <c r="BY62" s="10">
        <v>10460.878000000001</v>
      </c>
      <c r="BZ62" s="10">
        <v>10426.949000000001</v>
      </c>
      <c r="CA62" s="10">
        <v>10394.157999999999</v>
      </c>
      <c r="CB62" s="10">
        <v>10363.179</v>
      </c>
      <c r="CC62" s="10">
        <v>10334.574000000001</v>
      </c>
      <c r="CD62" s="10">
        <v>10308.828</v>
      </c>
      <c r="CE62" s="10">
        <v>10286.24</v>
      </c>
      <c r="CF62" s="10">
        <v>10267.054</v>
      </c>
      <c r="CG62" s="10">
        <v>10251.316000000001</v>
      </c>
      <c r="CH62" s="10">
        <v>10239.005999999999</v>
      </c>
      <c r="CI62" s="10">
        <v>10229.931</v>
      </c>
      <c r="CJ62" s="10">
        <v>10223.839</v>
      </c>
      <c r="CK62" s="10">
        <v>10220.364</v>
      </c>
      <c r="CL62" s="10">
        <v>10219.084999999999</v>
      </c>
      <c r="CM62" s="10">
        <v>10219.522999999999</v>
      </c>
      <c r="CN62" s="10">
        <v>10221.17</v>
      </c>
      <c r="CO62" s="10">
        <v>10223.499</v>
      </c>
      <c r="CP62" s="10">
        <v>10225.994000000001</v>
      </c>
      <c r="CQ62" s="10">
        <v>10228.200000000001</v>
      </c>
      <c r="CR62" s="10">
        <v>10229.638000000001</v>
      </c>
      <c r="CS62" s="10">
        <v>10229.939</v>
      </c>
      <c r="CT62" s="10">
        <v>10228.76</v>
      </c>
      <c r="CU62" s="10">
        <v>10225.862999999999</v>
      </c>
      <c r="CV62" s="10">
        <v>10221.034</v>
      </c>
      <c r="CW62" s="10">
        <v>10214.209999999999</v>
      </c>
      <c r="CX62" s="10">
        <v>10205.355</v>
      </c>
    </row>
    <row r="63" spans="1:102" x14ac:dyDescent="0.2">
      <c r="A63" s="76" t="s">
        <v>141</v>
      </c>
      <c r="B63" s="10">
        <v>42466.249000000003</v>
      </c>
      <c r="C63" s="10">
        <v>42668.294999999998</v>
      </c>
      <c r="D63" s="10">
        <v>42805.637000000002</v>
      </c>
      <c r="E63" s="10">
        <v>42938.472000000002</v>
      </c>
      <c r="F63" s="10">
        <v>43071.476000000002</v>
      </c>
      <c r="G63" s="10">
        <v>43182.500999999997</v>
      </c>
      <c r="H63" s="10">
        <v>43406.47</v>
      </c>
      <c r="I63" s="10">
        <v>43902.177000000003</v>
      </c>
      <c r="J63" s="10">
        <v>44291.133000000002</v>
      </c>
      <c r="K63" s="10">
        <v>44347.538</v>
      </c>
      <c r="L63" s="10">
        <v>44372.561000000002</v>
      </c>
      <c r="M63" s="10">
        <v>44378.298000000003</v>
      </c>
      <c r="N63" s="10">
        <v>44382.612999999998</v>
      </c>
      <c r="O63" s="10">
        <v>44376.237000000001</v>
      </c>
      <c r="P63" s="10">
        <v>44352.171999999999</v>
      </c>
      <c r="Q63" s="10">
        <v>44317.77</v>
      </c>
      <c r="R63" s="10">
        <v>44260.908000000003</v>
      </c>
      <c r="S63" s="10">
        <v>44194.396000000001</v>
      </c>
      <c r="T63" s="10">
        <v>44101.036</v>
      </c>
      <c r="U63" s="10">
        <v>44030.998</v>
      </c>
      <c r="V63" s="10">
        <v>43998.417000000001</v>
      </c>
      <c r="W63" s="10">
        <v>43998.7</v>
      </c>
      <c r="X63" s="10">
        <v>44008.85</v>
      </c>
      <c r="Y63" s="10">
        <v>44029.324999999997</v>
      </c>
      <c r="Z63" s="10">
        <v>44172.495999999999</v>
      </c>
      <c r="AA63" s="10">
        <v>44559.08</v>
      </c>
      <c r="AB63" s="10">
        <v>44834.824000000001</v>
      </c>
      <c r="AC63" s="10">
        <v>44798.826000000001</v>
      </c>
      <c r="AD63" s="10">
        <v>44731.053</v>
      </c>
      <c r="AE63" s="10">
        <v>44663.718000000001</v>
      </c>
      <c r="AF63" s="10">
        <v>44603.180999999997</v>
      </c>
      <c r="AG63" s="10">
        <v>44543.197999999997</v>
      </c>
      <c r="AH63" s="10">
        <v>44492.178999999996</v>
      </c>
      <c r="AI63" s="10">
        <v>44427.296999999999</v>
      </c>
      <c r="AJ63" s="10">
        <v>44366.423999999999</v>
      </c>
      <c r="AK63" s="10">
        <v>44316.945</v>
      </c>
      <c r="AL63" s="10">
        <v>44252.654999999999</v>
      </c>
      <c r="AM63" s="10">
        <v>44199.999000000003</v>
      </c>
      <c r="AN63" s="10">
        <v>44143.47</v>
      </c>
      <c r="AO63" s="10">
        <v>44073.322</v>
      </c>
      <c r="AP63" s="10">
        <v>44019.167000000001</v>
      </c>
      <c r="AQ63" s="10">
        <v>43988.14</v>
      </c>
      <c r="AR63" s="10">
        <v>43955.040000000001</v>
      </c>
      <c r="AS63" s="10">
        <v>43938.781999999999</v>
      </c>
      <c r="AT63" s="10">
        <v>43912.618000000002</v>
      </c>
      <c r="AU63" s="10">
        <v>43876.968999999997</v>
      </c>
      <c r="AV63" s="10">
        <v>43852.086000000003</v>
      </c>
      <c r="AW63" s="10">
        <v>43826.678</v>
      </c>
      <c r="AX63" s="10">
        <v>43812.913999999997</v>
      </c>
      <c r="AY63" s="10">
        <v>43806.517999999996</v>
      </c>
      <c r="AZ63" s="10">
        <v>43814.305</v>
      </c>
      <c r="BA63" s="10">
        <v>43805.468000000001</v>
      </c>
      <c r="BB63" s="10">
        <v>43771.277999999998</v>
      </c>
      <c r="BC63" s="10">
        <v>43718.387999999999</v>
      </c>
      <c r="BD63" s="10">
        <v>43632.37</v>
      </c>
      <c r="BE63" s="10">
        <v>43526.373</v>
      </c>
      <c r="BF63" s="10">
        <v>43390.256999999998</v>
      </c>
      <c r="BG63" s="10">
        <v>43255.277999999998</v>
      </c>
      <c r="BH63" s="10">
        <v>43108.188999999998</v>
      </c>
      <c r="BI63" s="10">
        <v>42943.624000000003</v>
      </c>
      <c r="BJ63" s="10">
        <v>42764.726000000002</v>
      </c>
      <c r="BK63" s="10">
        <v>42606.491999999998</v>
      </c>
      <c r="BL63" s="10">
        <v>42462.934999999998</v>
      </c>
      <c r="BM63" s="10">
        <v>42323.506999999998</v>
      </c>
      <c r="BN63" s="10">
        <v>42181.394</v>
      </c>
      <c r="BO63" s="10">
        <v>42059.207999999999</v>
      </c>
      <c r="BP63" s="10">
        <v>41956.226999999999</v>
      </c>
      <c r="BQ63" s="10">
        <v>41876.701000000001</v>
      </c>
      <c r="BR63" s="10">
        <v>41821.466</v>
      </c>
      <c r="BS63" s="10">
        <v>41797.038</v>
      </c>
      <c r="BT63" s="10">
        <v>41781.991000000002</v>
      </c>
      <c r="BU63" s="10">
        <v>41772.264000000003</v>
      </c>
      <c r="BV63" s="10">
        <v>41760.614000000001</v>
      </c>
      <c r="BW63" s="10">
        <v>41749.292000000001</v>
      </c>
      <c r="BX63" s="10">
        <v>41740.398999999998</v>
      </c>
      <c r="BY63" s="10">
        <v>41733.302000000003</v>
      </c>
      <c r="BZ63" s="10">
        <v>41727.358</v>
      </c>
      <c r="CA63" s="10">
        <v>41721.682999999997</v>
      </c>
      <c r="CB63" s="10">
        <v>41715.571000000004</v>
      </c>
      <c r="CC63" s="10">
        <v>41708.038</v>
      </c>
      <c r="CD63" s="10">
        <v>41698.017999999996</v>
      </c>
      <c r="CE63" s="10">
        <v>41684.874000000003</v>
      </c>
      <c r="CF63" s="10">
        <v>41667.911</v>
      </c>
      <c r="CG63" s="10">
        <v>41646.197999999997</v>
      </c>
      <c r="CH63" s="10">
        <v>41617.891000000003</v>
      </c>
      <c r="CI63" s="10">
        <v>41581.252</v>
      </c>
      <c r="CJ63" s="10">
        <v>41535.968999999997</v>
      </c>
      <c r="CK63" s="10">
        <v>41482.192999999999</v>
      </c>
      <c r="CL63" s="10">
        <v>41420.317000000003</v>
      </c>
      <c r="CM63" s="10">
        <v>41351.423999999999</v>
      </c>
      <c r="CN63" s="10">
        <v>41276.915000000001</v>
      </c>
      <c r="CO63" s="10">
        <v>41197.906000000003</v>
      </c>
      <c r="CP63" s="10">
        <v>41115.614000000001</v>
      </c>
      <c r="CQ63" s="10">
        <v>41032.216</v>
      </c>
      <c r="CR63" s="10">
        <v>40949.862999999998</v>
      </c>
      <c r="CS63" s="10">
        <v>40869.773999999998</v>
      </c>
      <c r="CT63" s="10">
        <v>40793.235999999997</v>
      </c>
      <c r="CU63" s="10">
        <v>40721.502</v>
      </c>
      <c r="CV63" s="10">
        <v>40655.572</v>
      </c>
      <c r="CW63" s="10">
        <v>40595.856</v>
      </c>
      <c r="CX63" s="10">
        <v>40542.603999999999</v>
      </c>
    </row>
    <row r="64" spans="1:102" x14ac:dyDescent="0.2">
      <c r="A64" s="55" t="s">
        <v>142</v>
      </c>
      <c r="B64" s="10">
        <v>11887.415999999999</v>
      </c>
      <c r="C64" s="10">
        <v>11973.308999999999</v>
      </c>
      <c r="D64" s="10">
        <v>12141.791999999999</v>
      </c>
      <c r="E64" s="10">
        <v>12342.503000000001</v>
      </c>
      <c r="F64" s="10">
        <v>12560.695</v>
      </c>
      <c r="G64" s="10">
        <v>12784.665999999999</v>
      </c>
      <c r="H64" s="10">
        <v>12895.6</v>
      </c>
      <c r="I64" s="10">
        <v>12740.227000000001</v>
      </c>
      <c r="J64" s="10">
        <v>12699.002</v>
      </c>
      <c r="K64" s="10">
        <v>12960.183999999999</v>
      </c>
      <c r="L64" s="10">
        <v>13229.412</v>
      </c>
      <c r="M64" s="10">
        <v>13506.27</v>
      </c>
      <c r="N64" s="10">
        <v>13780.655000000001</v>
      </c>
      <c r="O64" s="10">
        <v>14037.674999999999</v>
      </c>
      <c r="P64" s="10">
        <v>14285.432000000001</v>
      </c>
      <c r="Q64" s="10">
        <v>14512.337</v>
      </c>
      <c r="R64" s="10">
        <v>14729.781999999999</v>
      </c>
      <c r="S64" s="10">
        <v>14918.172</v>
      </c>
      <c r="T64" s="10">
        <v>15118.008</v>
      </c>
      <c r="U64" s="10">
        <v>15283.629000000001</v>
      </c>
      <c r="V64" s="10">
        <v>15408.846</v>
      </c>
      <c r="W64" s="10">
        <v>15495.856</v>
      </c>
      <c r="X64" s="10">
        <v>15565.391</v>
      </c>
      <c r="Y64" s="10">
        <v>15617.543</v>
      </c>
      <c r="Z64" s="10">
        <v>15540.475</v>
      </c>
      <c r="AA64" s="10">
        <v>15214.022000000001</v>
      </c>
      <c r="AB64" s="10">
        <v>14992.858</v>
      </c>
      <c r="AC64" s="10">
        <v>15078.496999999999</v>
      </c>
      <c r="AD64" s="10">
        <v>15191.686</v>
      </c>
      <c r="AE64" s="10">
        <v>15300.633</v>
      </c>
      <c r="AF64" s="10">
        <v>15399.508</v>
      </c>
      <c r="AG64" s="10">
        <v>15495.562</v>
      </c>
      <c r="AH64" s="10">
        <v>15582.558000000001</v>
      </c>
      <c r="AI64" s="10">
        <v>15685.56</v>
      </c>
      <c r="AJ64" s="10">
        <v>15787.594999999999</v>
      </c>
      <c r="AK64" s="10">
        <v>15881.831</v>
      </c>
      <c r="AL64" s="10">
        <v>15994.955</v>
      </c>
      <c r="AM64" s="10">
        <v>16100.322</v>
      </c>
      <c r="AN64" s="10">
        <v>16212.995000000001</v>
      </c>
      <c r="AO64" s="10">
        <v>16342.592000000001</v>
      </c>
      <c r="AP64" s="10">
        <v>16459.205999999998</v>
      </c>
      <c r="AQ64" s="10">
        <v>16554.234</v>
      </c>
      <c r="AR64" s="10">
        <v>16651.376</v>
      </c>
      <c r="AS64" s="10">
        <v>16730.987000000001</v>
      </c>
      <c r="AT64" s="10">
        <v>16818.891</v>
      </c>
      <c r="AU64" s="10">
        <v>16913.554</v>
      </c>
      <c r="AV64" s="10">
        <v>16993.787</v>
      </c>
      <c r="AW64" s="10">
        <v>17070.240000000002</v>
      </c>
      <c r="AX64" s="10">
        <v>17130.32</v>
      </c>
      <c r="AY64" s="10">
        <v>17177.705000000002</v>
      </c>
      <c r="AZ64" s="10">
        <v>17205.13</v>
      </c>
      <c r="BA64" s="10">
        <v>17243.198</v>
      </c>
      <c r="BB64" s="10">
        <v>17300.707999999999</v>
      </c>
      <c r="BC64" s="10">
        <v>17371.183000000001</v>
      </c>
      <c r="BD64" s="10">
        <v>17469.297999999999</v>
      </c>
      <c r="BE64" s="10">
        <v>17582.204000000002</v>
      </c>
      <c r="BF64" s="10">
        <v>17720.477999999999</v>
      </c>
      <c r="BG64" s="10">
        <v>17853.38</v>
      </c>
      <c r="BH64" s="10">
        <v>17994.881000000001</v>
      </c>
      <c r="BI64" s="10">
        <v>18151.195</v>
      </c>
      <c r="BJ64" s="10">
        <v>18320.076000000001</v>
      </c>
      <c r="BK64" s="10">
        <v>18467.404999999999</v>
      </c>
      <c r="BL64" s="10">
        <v>18599.957999999999</v>
      </c>
      <c r="BM64" s="10">
        <v>18728.960999999999</v>
      </c>
      <c r="BN64" s="10">
        <v>18861.898000000001</v>
      </c>
      <c r="BO64" s="10">
        <v>18976.683000000001</v>
      </c>
      <c r="BP64" s="10">
        <v>19074.433000000001</v>
      </c>
      <c r="BQ64" s="10">
        <v>19151.241000000002</v>
      </c>
      <c r="BR64" s="10">
        <v>19206.339</v>
      </c>
      <c r="BS64" s="10">
        <v>19233.214</v>
      </c>
      <c r="BT64" s="10">
        <v>19253.115000000002</v>
      </c>
      <c r="BU64" s="10">
        <v>19269.784</v>
      </c>
      <c r="BV64" s="10">
        <v>19290.02</v>
      </c>
      <c r="BW64" s="10">
        <v>19311.062999999998</v>
      </c>
      <c r="BX64" s="10">
        <v>19330.191999999999</v>
      </c>
      <c r="BY64" s="10">
        <v>19347.346000000001</v>
      </c>
      <c r="BZ64" s="10">
        <v>19362.391</v>
      </c>
      <c r="CA64" s="10">
        <v>19375.409</v>
      </c>
      <c r="CB64" s="10">
        <v>19386.358</v>
      </c>
      <c r="CC64" s="10">
        <v>19395.483</v>
      </c>
      <c r="CD64" s="10">
        <v>19403.254000000001</v>
      </c>
      <c r="CE64" s="10">
        <v>19409.874</v>
      </c>
      <c r="CF64" s="10">
        <v>19415.713</v>
      </c>
      <c r="CG64" s="10">
        <v>19421.603999999999</v>
      </c>
      <c r="CH64" s="10">
        <v>19429.508000000002</v>
      </c>
      <c r="CI64" s="10">
        <v>19441.595000000001</v>
      </c>
      <c r="CJ64" s="10">
        <v>19458.755000000001</v>
      </c>
      <c r="CK64" s="10">
        <v>19481.687000000002</v>
      </c>
      <c r="CL64" s="10">
        <v>19510.988000000001</v>
      </c>
      <c r="CM64" s="10">
        <v>19546.626</v>
      </c>
      <c r="CN64" s="10">
        <v>19588.381000000001</v>
      </c>
      <c r="CO64" s="10">
        <v>19636.259999999998</v>
      </c>
      <c r="CP64" s="10">
        <v>19690.166000000001</v>
      </c>
      <c r="CQ64" s="10">
        <v>19748.859</v>
      </c>
      <c r="CR64" s="10">
        <v>19811.010999999999</v>
      </c>
      <c r="CS64" s="10">
        <v>19875.978999999999</v>
      </c>
      <c r="CT64" s="10">
        <v>19942.832999999999</v>
      </c>
      <c r="CU64" s="10">
        <v>20010.457999999999</v>
      </c>
      <c r="CV64" s="10">
        <v>20077.798999999999</v>
      </c>
      <c r="CW64" s="10">
        <v>20144.133999999998</v>
      </c>
      <c r="CX64" s="10">
        <v>20208.792000000001</v>
      </c>
    </row>
    <row r="65" spans="1:102" x14ac:dyDescent="0.2">
      <c r="A65" s="55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</row>
    <row r="66" spans="1:102" x14ac:dyDescent="0.2">
      <c r="A66" s="55" t="s">
        <v>322</v>
      </c>
      <c r="B66" s="10">
        <v>41845.027000000002</v>
      </c>
      <c r="C66" s="10">
        <v>41956.328000000001</v>
      </c>
      <c r="D66" s="10">
        <v>42070.201999999997</v>
      </c>
      <c r="E66" s="10">
        <v>42177.894</v>
      </c>
      <c r="F66" s="10">
        <v>42297.112999999998</v>
      </c>
      <c r="G66" s="10">
        <v>42393.184999999998</v>
      </c>
      <c r="H66" s="10">
        <v>42466.133999999998</v>
      </c>
      <c r="I66" s="10">
        <v>42526.504000000001</v>
      </c>
      <c r="J66" s="10">
        <v>42585.43</v>
      </c>
      <c r="K66" s="10">
        <v>42605.938000000002</v>
      </c>
      <c r="L66" s="10">
        <v>42605.281000000003</v>
      </c>
      <c r="M66" s="10">
        <v>42610.523999999998</v>
      </c>
      <c r="N66" s="10">
        <v>42621.356</v>
      </c>
      <c r="O66" s="10">
        <v>42625.654000000002</v>
      </c>
      <c r="P66" s="10">
        <v>42613.120999999999</v>
      </c>
      <c r="Q66" s="10">
        <v>42599.646000000001</v>
      </c>
      <c r="R66" s="10">
        <v>42543.402000000002</v>
      </c>
      <c r="S66" s="10">
        <v>42484.1</v>
      </c>
      <c r="T66" s="10">
        <v>42451.464</v>
      </c>
      <c r="U66" s="10">
        <v>42447.786999999997</v>
      </c>
      <c r="V66" s="10">
        <v>42459.877</v>
      </c>
      <c r="W66" s="10">
        <v>42485.150999999998</v>
      </c>
      <c r="X66" s="10">
        <v>42521.243000000002</v>
      </c>
      <c r="Y66" s="10">
        <v>42542.756999999998</v>
      </c>
      <c r="Z66" s="10">
        <v>42509.682999999997</v>
      </c>
      <c r="AA66" s="10">
        <v>42442.239999999998</v>
      </c>
      <c r="AB66" s="10">
        <v>42373.3</v>
      </c>
      <c r="AC66" s="10">
        <v>42309.476999999999</v>
      </c>
      <c r="AD66" s="10">
        <v>42244.207000000002</v>
      </c>
      <c r="AE66" s="10">
        <v>42184.478999999999</v>
      </c>
      <c r="AF66" s="10">
        <v>42105.423999999999</v>
      </c>
      <c r="AG66" s="10">
        <v>42025.758999999998</v>
      </c>
      <c r="AH66" s="10">
        <v>41955.014999999999</v>
      </c>
      <c r="AI66" s="10">
        <v>41868.383999999998</v>
      </c>
      <c r="AJ66" s="10">
        <v>41794.277999999998</v>
      </c>
      <c r="AK66" s="10">
        <v>41718.086000000003</v>
      </c>
      <c r="AL66" s="10">
        <v>41630.589</v>
      </c>
      <c r="AM66" s="10">
        <v>41562.182000000001</v>
      </c>
      <c r="AN66" s="10">
        <v>41521.055999999997</v>
      </c>
      <c r="AO66" s="10">
        <v>41482.726999999999</v>
      </c>
      <c r="AP66" s="10">
        <v>41466.635000000002</v>
      </c>
      <c r="AQ66" s="10">
        <v>41444.65</v>
      </c>
      <c r="AR66" s="10">
        <v>41416.447</v>
      </c>
      <c r="AS66" s="10">
        <v>41402.595999999998</v>
      </c>
      <c r="AT66" s="10">
        <v>41390.917999999998</v>
      </c>
      <c r="AU66" s="10">
        <v>41392.83</v>
      </c>
      <c r="AV66" s="10">
        <v>41403.33</v>
      </c>
      <c r="AW66" s="10">
        <v>41428.934000000001</v>
      </c>
      <c r="AX66" s="10">
        <v>41437.752999999997</v>
      </c>
      <c r="AY66" s="10">
        <v>41420.061999999998</v>
      </c>
      <c r="AZ66" s="10">
        <v>41381.900999999998</v>
      </c>
      <c r="BA66" s="10">
        <v>41308.22</v>
      </c>
      <c r="BB66" s="10">
        <v>41212.285000000003</v>
      </c>
      <c r="BC66" s="10">
        <v>41083.766000000003</v>
      </c>
      <c r="BD66" s="10">
        <v>40954.46</v>
      </c>
      <c r="BE66" s="10">
        <v>40810.847000000002</v>
      </c>
      <c r="BF66" s="10">
        <v>40647.345000000001</v>
      </c>
      <c r="BG66" s="10">
        <v>40467.114000000001</v>
      </c>
      <c r="BH66" s="10">
        <v>40305.858999999997</v>
      </c>
      <c r="BI66" s="10">
        <v>40157.741999999998</v>
      </c>
      <c r="BJ66" s="10">
        <v>40012.381999999998</v>
      </c>
      <c r="BK66" s="10">
        <v>39863.1</v>
      </c>
      <c r="BL66" s="10">
        <v>39733.148000000001</v>
      </c>
      <c r="BM66" s="10">
        <v>39621.998</v>
      </c>
      <c r="BN66" s="10">
        <v>39534.224000000002</v>
      </c>
      <c r="BO66" s="10">
        <v>39471</v>
      </c>
      <c r="BP66" s="10">
        <v>39439.203000000001</v>
      </c>
      <c r="BQ66" s="10">
        <v>39417.400999999998</v>
      </c>
      <c r="BR66" s="10">
        <v>39401.716</v>
      </c>
      <c r="BS66" s="10">
        <v>39385.065000000002</v>
      </c>
      <c r="BT66" s="10">
        <v>39369.908000000003</v>
      </c>
      <c r="BU66" s="10">
        <v>39358.523000000001</v>
      </c>
      <c r="BV66" s="10">
        <v>39350.349000000002</v>
      </c>
      <c r="BW66" s="10">
        <v>39344.794000000002</v>
      </c>
      <c r="BX66" s="10">
        <v>39340.980000000003</v>
      </c>
      <c r="BY66" s="10">
        <v>39338.1</v>
      </c>
      <c r="BZ66" s="10">
        <v>39335.044000000002</v>
      </c>
      <c r="CA66" s="10">
        <v>39330.534</v>
      </c>
      <c r="CB66" s="10">
        <v>39323.714</v>
      </c>
      <c r="CC66" s="10">
        <v>39313.684999999998</v>
      </c>
      <c r="CD66" s="10">
        <v>39299.22</v>
      </c>
      <c r="CE66" s="10">
        <v>39278.25</v>
      </c>
      <c r="CF66" s="10">
        <v>39248.712</v>
      </c>
      <c r="CG66" s="10">
        <v>39210.133000000002</v>
      </c>
      <c r="CH66" s="10">
        <v>39162.417999999998</v>
      </c>
      <c r="CI66" s="10">
        <v>39105.837</v>
      </c>
      <c r="CJ66" s="10">
        <v>39041.351000000002</v>
      </c>
      <c r="CK66" s="10">
        <v>38970.290999999997</v>
      </c>
      <c r="CL66" s="10">
        <v>38893.737000000001</v>
      </c>
      <c r="CM66" s="10">
        <v>38812.877</v>
      </c>
      <c r="CN66" s="10">
        <v>38729.97</v>
      </c>
      <c r="CO66" s="10">
        <v>38647.224999999999</v>
      </c>
      <c r="CP66" s="10">
        <v>38565.968999999997</v>
      </c>
      <c r="CQ66" s="10">
        <v>38487.597000000002</v>
      </c>
      <c r="CR66" s="10">
        <v>38413.5</v>
      </c>
      <c r="CS66" s="10">
        <v>38344.800999999999</v>
      </c>
      <c r="CT66" s="10">
        <v>38282.076000000001</v>
      </c>
      <c r="CU66" s="10">
        <v>38225.709000000003</v>
      </c>
      <c r="CV66" s="10">
        <v>38175.976000000002</v>
      </c>
      <c r="CW66" s="10">
        <v>38132.930999999997</v>
      </c>
      <c r="CX66" s="10">
        <v>38096.277000000002</v>
      </c>
    </row>
    <row r="67" spans="1:102" x14ac:dyDescent="0.2">
      <c r="A67" s="55" t="s">
        <v>323</v>
      </c>
      <c r="B67" s="10">
        <v>12508.638000000001</v>
      </c>
      <c r="C67" s="10">
        <v>12685.276</v>
      </c>
      <c r="D67" s="10">
        <v>12877.227000000001</v>
      </c>
      <c r="E67" s="10">
        <v>13103.081</v>
      </c>
      <c r="F67" s="10">
        <v>13335.058000000001</v>
      </c>
      <c r="G67" s="10">
        <v>13573.982</v>
      </c>
      <c r="H67" s="10">
        <v>13835.936</v>
      </c>
      <c r="I67" s="10">
        <v>14115.9</v>
      </c>
      <c r="J67" s="10">
        <v>14404.705</v>
      </c>
      <c r="K67" s="10">
        <v>14701.784</v>
      </c>
      <c r="L67" s="10">
        <v>14996.691999999999</v>
      </c>
      <c r="M67" s="10">
        <v>15274.044</v>
      </c>
      <c r="N67" s="10">
        <v>15541.912</v>
      </c>
      <c r="O67" s="10">
        <v>15788.258</v>
      </c>
      <c r="P67" s="10">
        <v>16024.483</v>
      </c>
      <c r="Q67" s="10">
        <v>16230.460999999999</v>
      </c>
      <c r="R67" s="10">
        <v>16447.288</v>
      </c>
      <c r="S67" s="10">
        <v>16628.468000000001</v>
      </c>
      <c r="T67" s="10">
        <v>16767.580000000002</v>
      </c>
      <c r="U67" s="10">
        <v>16866.84</v>
      </c>
      <c r="V67" s="10">
        <v>16947.385999999999</v>
      </c>
      <c r="W67" s="10">
        <v>17009.404999999999</v>
      </c>
      <c r="X67" s="10">
        <v>17052.998</v>
      </c>
      <c r="Y67" s="10">
        <v>17104.111000000001</v>
      </c>
      <c r="Z67" s="10">
        <v>17203.288</v>
      </c>
      <c r="AA67" s="10">
        <v>17330.862000000001</v>
      </c>
      <c r="AB67" s="10">
        <v>17454.382000000001</v>
      </c>
      <c r="AC67" s="10">
        <v>17567.846000000001</v>
      </c>
      <c r="AD67" s="10">
        <v>17678.531999999999</v>
      </c>
      <c r="AE67" s="10">
        <v>17779.871999999999</v>
      </c>
      <c r="AF67" s="10">
        <v>17897.264999999999</v>
      </c>
      <c r="AG67" s="10">
        <v>18013.001</v>
      </c>
      <c r="AH67" s="10">
        <v>18119.722000000002</v>
      </c>
      <c r="AI67" s="10">
        <v>18244.473000000002</v>
      </c>
      <c r="AJ67" s="10">
        <v>18359.741000000002</v>
      </c>
      <c r="AK67" s="10">
        <v>18480.689999999999</v>
      </c>
      <c r="AL67" s="10">
        <v>18617.021000000001</v>
      </c>
      <c r="AM67" s="10">
        <v>18738.138999999999</v>
      </c>
      <c r="AN67" s="10">
        <v>18835.409</v>
      </c>
      <c r="AO67" s="10">
        <v>18933.187000000002</v>
      </c>
      <c r="AP67" s="10">
        <v>19011.738000000001</v>
      </c>
      <c r="AQ67" s="10">
        <v>19097.723999999998</v>
      </c>
      <c r="AR67" s="10">
        <v>19189.969000000001</v>
      </c>
      <c r="AS67" s="10">
        <v>19267.172999999999</v>
      </c>
      <c r="AT67" s="10">
        <v>19340.591</v>
      </c>
      <c r="AU67" s="10">
        <v>19397.692999999999</v>
      </c>
      <c r="AV67" s="10">
        <v>19442.543000000001</v>
      </c>
      <c r="AW67" s="10">
        <v>19467.984</v>
      </c>
      <c r="AX67" s="10">
        <v>19505.481</v>
      </c>
      <c r="AY67" s="10">
        <v>19564.161</v>
      </c>
      <c r="AZ67" s="10">
        <v>19637.534</v>
      </c>
      <c r="BA67" s="10">
        <v>19740.446</v>
      </c>
      <c r="BB67" s="10">
        <v>19859.701000000001</v>
      </c>
      <c r="BC67" s="10">
        <v>20005.805</v>
      </c>
      <c r="BD67" s="10">
        <v>20147.207999999999</v>
      </c>
      <c r="BE67" s="10">
        <v>20297.73</v>
      </c>
      <c r="BF67" s="10">
        <v>20463.39</v>
      </c>
      <c r="BG67" s="10">
        <v>20641.544000000002</v>
      </c>
      <c r="BH67" s="10">
        <v>20797.210999999999</v>
      </c>
      <c r="BI67" s="10">
        <v>20937.077000000001</v>
      </c>
      <c r="BJ67" s="10">
        <v>21072.42</v>
      </c>
      <c r="BK67" s="10">
        <v>21210.796999999999</v>
      </c>
      <c r="BL67" s="10">
        <v>21329.744999999999</v>
      </c>
      <c r="BM67" s="10">
        <v>21430.47</v>
      </c>
      <c r="BN67" s="10">
        <v>21509.067999999999</v>
      </c>
      <c r="BO67" s="10">
        <v>21564.891</v>
      </c>
      <c r="BP67" s="10">
        <v>21591.456999999999</v>
      </c>
      <c r="BQ67" s="10">
        <v>21610.541000000001</v>
      </c>
      <c r="BR67" s="10">
        <v>21626.089</v>
      </c>
      <c r="BS67" s="10">
        <v>21645.187000000002</v>
      </c>
      <c r="BT67" s="10">
        <v>21665.198</v>
      </c>
      <c r="BU67" s="10">
        <v>21683.525000000001</v>
      </c>
      <c r="BV67" s="10">
        <v>21700.285</v>
      </c>
      <c r="BW67" s="10">
        <v>21715.561000000002</v>
      </c>
      <c r="BX67" s="10">
        <v>21729.611000000001</v>
      </c>
      <c r="BY67" s="10">
        <v>21742.547999999999</v>
      </c>
      <c r="BZ67" s="10">
        <v>21754.705000000002</v>
      </c>
      <c r="CA67" s="10">
        <v>21766.558000000001</v>
      </c>
      <c r="CB67" s="10">
        <v>21778.215</v>
      </c>
      <c r="CC67" s="10">
        <v>21789.835999999999</v>
      </c>
      <c r="CD67" s="10">
        <v>21802.052</v>
      </c>
      <c r="CE67" s="10">
        <v>21816.498</v>
      </c>
      <c r="CF67" s="10">
        <v>21834.912</v>
      </c>
      <c r="CG67" s="10">
        <v>21857.669000000002</v>
      </c>
      <c r="CH67" s="10">
        <v>21884.981</v>
      </c>
      <c r="CI67" s="10">
        <v>21917.01</v>
      </c>
      <c r="CJ67" s="10">
        <v>21953.373</v>
      </c>
      <c r="CK67" s="10">
        <v>21993.589</v>
      </c>
      <c r="CL67" s="10">
        <v>22037.567999999999</v>
      </c>
      <c r="CM67" s="10">
        <v>22085.172999999999</v>
      </c>
      <c r="CN67" s="10">
        <v>22135.326000000001</v>
      </c>
      <c r="CO67" s="10">
        <v>22186.940999999999</v>
      </c>
      <c r="CP67" s="10">
        <v>22239.811000000002</v>
      </c>
      <c r="CQ67" s="10">
        <v>22293.477999999999</v>
      </c>
      <c r="CR67" s="10">
        <v>22347.374</v>
      </c>
      <c r="CS67" s="10">
        <v>22400.952000000001</v>
      </c>
      <c r="CT67" s="10">
        <v>22453.992999999999</v>
      </c>
      <c r="CU67" s="10">
        <v>22506.251</v>
      </c>
      <c r="CV67" s="10">
        <v>22557.395</v>
      </c>
      <c r="CW67" s="10">
        <v>22607.059000000001</v>
      </c>
      <c r="CX67" s="10">
        <v>22655.118999999999</v>
      </c>
    </row>
    <row r="68" spans="1:102" x14ac:dyDescent="0.2">
      <c r="A68" s="55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</row>
    <row r="69" spans="1:102" x14ac:dyDescent="0.2">
      <c r="A69" s="77" t="s">
        <v>311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</row>
    <row r="70" spans="1:102" x14ac:dyDescent="0.2">
      <c r="A70" s="55" t="s">
        <v>140</v>
      </c>
      <c r="B70" s="17">
        <v>18.973367424999999</v>
      </c>
      <c r="C70" s="17">
        <v>18.870022054</v>
      </c>
      <c r="D70" s="17">
        <v>18.711799415000002</v>
      </c>
      <c r="E70" s="17">
        <v>18.517896451999999</v>
      </c>
      <c r="F70" s="17">
        <v>18.286271019000001</v>
      </c>
      <c r="G70" s="17">
        <v>18.062773271000001</v>
      </c>
      <c r="H70" s="17">
        <v>17.821696452000001</v>
      </c>
      <c r="I70" s="17">
        <v>17.553469269000001</v>
      </c>
      <c r="J70" s="17">
        <v>17.262984417999998</v>
      </c>
      <c r="K70" s="17">
        <v>17.004737000999999</v>
      </c>
      <c r="L70" s="17">
        <v>16.768810907999999</v>
      </c>
      <c r="M70" s="17">
        <v>16.538813007000002</v>
      </c>
      <c r="N70" s="17">
        <v>16.304457719999998</v>
      </c>
      <c r="O70" s="17">
        <v>16.101089046999999</v>
      </c>
      <c r="P70" s="17">
        <v>15.927856099</v>
      </c>
      <c r="Q70" s="17">
        <v>15.792165193000001</v>
      </c>
      <c r="R70" s="17">
        <v>15.697774039</v>
      </c>
      <c r="S70" s="17">
        <v>15.657154536</v>
      </c>
      <c r="T70" s="17">
        <v>15.638111687</v>
      </c>
      <c r="U70" s="17">
        <v>15.634888543000001</v>
      </c>
      <c r="V70" s="17">
        <v>15.636712362000001</v>
      </c>
      <c r="W70" s="17">
        <v>15.646553258999999</v>
      </c>
      <c r="X70" s="17">
        <v>15.666845155000001</v>
      </c>
      <c r="Y70" s="17">
        <v>15.696239623</v>
      </c>
      <c r="Z70" s="17">
        <v>15.733228939</v>
      </c>
      <c r="AA70" s="17">
        <v>15.774861218</v>
      </c>
      <c r="AB70" s="17">
        <v>15.818236722</v>
      </c>
      <c r="AC70" s="17">
        <v>15.861191964</v>
      </c>
      <c r="AD70" s="17">
        <v>15.901222192000001</v>
      </c>
      <c r="AE70" s="17">
        <v>15.93632159</v>
      </c>
      <c r="AF70" s="17">
        <v>15.964623644</v>
      </c>
      <c r="AG70" s="17">
        <v>15.984253187</v>
      </c>
      <c r="AH70" s="17">
        <v>15.992115712</v>
      </c>
      <c r="AI70" s="17">
        <v>15.985165343</v>
      </c>
      <c r="AJ70" s="17">
        <v>15.962542223</v>
      </c>
      <c r="AK70" s="17">
        <v>15.924393152</v>
      </c>
      <c r="AL70" s="17">
        <v>15.871399928000001</v>
      </c>
      <c r="AM70" s="17">
        <v>15.805365493</v>
      </c>
      <c r="AN70" s="17">
        <v>15.7284626</v>
      </c>
      <c r="AO70" s="17">
        <v>15.642421657</v>
      </c>
      <c r="AP70" s="17">
        <v>15.549185796</v>
      </c>
      <c r="AQ70" s="17">
        <v>15.452158621000001</v>
      </c>
      <c r="AR70" s="17">
        <v>15.354829627000001</v>
      </c>
      <c r="AS70" s="17">
        <v>15.259422526</v>
      </c>
      <c r="AT70" s="17">
        <v>15.168284034999999</v>
      </c>
      <c r="AU70" s="17">
        <v>15.083745996999999</v>
      </c>
      <c r="AV70" s="17">
        <v>15.007614284000001</v>
      </c>
      <c r="AW70" s="17">
        <v>14.941007765</v>
      </c>
      <c r="AX70" s="17">
        <v>14.884560944</v>
      </c>
      <c r="AY70" s="17">
        <v>14.838906072</v>
      </c>
      <c r="AZ70" s="17">
        <v>14.804333397000001</v>
      </c>
      <c r="BA70" s="17">
        <v>14.780497543999999</v>
      </c>
      <c r="BB70" s="17">
        <v>14.766601714</v>
      </c>
      <c r="BC70" s="17">
        <v>14.761603735</v>
      </c>
      <c r="BD70" s="17">
        <v>14.764381423</v>
      </c>
      <c r="BE70" s="17">
        <v>14.773687281000001</v>
      </c>
      <c r="BF70" s="17">
        <v>14.788166432000001</v>
      </c>
      <c r="BG70" s="17">
        <v>14.8064462</v>
      </c>
      <c r="BH70" s="17">
        <v>14.826997861000001</v>
      </c>
      <c r="BI70" s="17">
        <v>14.848203633000001</v>
      </c>
      <c r="BJ70" s="17">
        <v>14.86856038</v>
      </c>
      <c r="BK70" s="17">
        <v>14.886637127</v>
      </c>
      <c r="BL70" s="17">
        <v>14.901272733000001</v>
      </c>
      <c r="BM70" s="17">
        <v>14.911532337000001</v>
      </c>
      <c r="BN70" s="17">
        <v>14.916609601999999</v>
      </c>
      <c r="BO70" s="17">
        <v>14.915923494999999</v>
      </c>
      <c r="BP70" s="17">
        <v>14.909116725000001</v>
      </c>
      <c r="BQ70" s="17">
        <v>14.896052544</v>
      </c>
      <c r="BR70" s="17">
        <v>14.876862644999999</v>
      </c>
      <c r="BS70" s="17">
        <v>14.851886214</v>
      </c>
      <c r="BT70" s="17">
        <v>14.821668269</v>
      </c>
      <c r="BU70" s="17">
        <v>14.786952332</v>
      </c>
      <c r="BV70" s="17">
        <v>14.748621570999999</v>
      </c>
      <c r="BW70" s="17">
        <v>14.707643989999999</v>
      </c>
      <c r="BX70" s="17">
        <v>14.665108436000001</v>
      </c>
      <c r="BY70" s="17">
        <v>14.622106326999999</v>
      </c>
      <c r="BZ70" s="17">
        <v>14.579740524</v>
      </c>
      <c r="CA70" s="17">
        <v>14.539063172000001</v>
      </c>
      <c r="CB70" s="17">
        <v>14.501033147999999</v>
      </c>
      <c r="CC70" s="17">
        <v>14.466474785000001</v>
      </c>
      <c r="CD70" s="17">
        <v>14.436092372999999</v>
      </c>
      <c r="CE70" s="17">
        <v>14.410335705</v>
      </c>
      <c r="CF70" s="17">
        <v>14.389567539</v>
      </c>
      <c r="CG70" s="17">
        <v>14.373868168</v>
      </c>
      <c r="CH70" s="17">
        <v>14.363195899999999</v>
      </c>
      <c r="CI70" s="17">
        <v>14.357238113999999</v>
      </c>
      <c r="CJ70" s="17">
        <v>14.355581704</v>
      </c>
      <c r="CK70" s="17">
        <v>14.357621049</v>
      </c>
      <c r="CL70" s="17">
        <v>14.362654934</v>
      </c>
      <c r="CM70" s="17">
        <v>14.369898422</v>
      </c>
      <c r="CN70" s="17">
        <v>14.378503497000001</v>
      </c>
      <c r="CO70" s="17">
        <v>14.387608993000001</v>
      </c>
      <c r="CP70" s="17">
        <v>14.396365772999999</v>
      </c>
      <c r="CQ70" s="17">
        <v>14.404033839</v>
      </c>
      <c r="CR70" s="17">
        <v>14.409866490000001</v>
      </c>
      <c r="CS70" s="17">
        <v>14.413299414999999</v>
      </c>
      <c r="CT70" s="17">
        <v>14.413844357</v>
      </c>
      <c r="CU70" s="17">
        <v>14.411184796000001</v>
      </c>
      <c r="CV70" s="17">
        <v>14.405073229999999</v>
      </c>
      <c r="CW70" s="17">
        <v>14.395497377</v>
      </c>
      <c r="CX70" s="17">
        <v>14.382500405</v>
      </c>
    </row>
    <row r="71" spans="1:102" x14ac:dyDescent="0.2">
      <c r="A71" s="55" t="s">
        <v>141</v>
      </c>
      <c r="B71" s="17">
        <v>63.305706332</v>
      </c>
      <c r="C71" s="17">
        <v>63.352419748999999</v>
      </c>
      <c r="D71" s="17">
        <v>63.325860188999997</v>
      </c>
      <c r="E71" s="17">
        <v>63.289712631</v>
      </c>
      <c r="F71" s="17">
        <v>63.264310082000002</v>
      </c>
      <c r="G71" s="17">
        <v>63.220180059999997</v>
      </c>
      <c r="H71" s="17">
        <v>63.355931097999999</v>
      </c>
      <c r="I71" s="17">
        <v>63.902340465000002</v>
      </c>
      <c r="J71" s="17">
        <v>64.300885778999998</v>
      </c>
      <c r="K71" s="17">
        <v>64.225822476000005</v>
      </c>
      <c r="L71" s="17">
        <v>64.115529776000002</v>
      </c>
      <c r="M71" s="17">
        <v>63.987096315000002</v>
      </c>
      <c r="N71" s="17">
        <v>63.865511525999999</v>
      </c>
      <c r="O71" s="17">
        <v>63.736836466</v>
      </c>
      <c r="P71" s="17">
        <v>63.590289034999998</v>
      </c>
      <c r="Q71" s="17">
        <v>63.435265469999997</v>
      </c>
      <c r="R71" s="17">
        <v>63.252236369000002</v>
      </c>
      <c r="S71" s="17">
        <v>63.057336845999998</v>
      </c>
      <c r="T71" s="17">
        <v>62.825172819999999</v>
      </c>
      <c r="U71" s="17">
        <v>62.626711853000003</v>
      </c>
      <c r="V71" s="17">
        <v>62.481436133000003</v>
      </c>
      <c r="W71" s="17">
        <v>62.382884193999999</v>
      </c>
      <c r="X71" s="17">
        <v>62.298824111000002</v>
      </c>
      <c r="Y71" s="17">
        <v>62.230219102</v>
      </c>
      <c r="Z71" s="17">
        <v>62.336097924999997</v>
      </c>
      <c r="AA71" s="17">
        <v>62.787350353000001</v>
      </c>
      <c r="AB71" s="17">
        <v>63.085755863999999</v>
      </c>
      <c r="AC71" s="17">
        <v>62.950707082000001</v>
      </c>
      <c r="AD71" s="17">
        <v>62.777952913</v>
      </c>
      <c r="AE71" s="17">
        <v>62.613809103999998</v>
      </c>
      <c r="AF71" s="17">
        <v>62.467952093999997</v>
      </c>
      <c r="AG71" s="17">
        <v>62.331901015</v>
      </c>
      <c r="AH71" s="17">
        <v>62.217398058000001</v>
      </c>
      <c r="AI71" s="17">
        <v>62.092407481000002</v>
      </c>
      <c r="AJ71" s="17">
        <v>61.981585696000003</v>
      </c>
      <c r="AK71" s="17">
        <v>61.894515007000003</v>
      </c>
      <c r="AL71" s="17">
        <v>61.793553547000002</v>
      </c>
      <c r="AM71" s="17">
        <v>61.714476793999999</v>
      </c>
      <c r="AN71" s="17">
        <v>61.634459259000003</v>
      </c>
      <c r="AO71" s="17">
        <v>61.538731558000002</v>
      </c>
      <c r="AP71" s="17">
        <v>61.467501675999998</v>
      </c>
      <c r="AQ71" s="17">
        <v>61.429739826000002</v>
      </c>
      <c r="AR71" s="17">
        <v>61.389240530999999</v>
      </c>
      <c r="AS71" s="17">
        <v>61.371549975000001</v>
      </c>
      <c r="AT71" s="17">
        <v>61.338550593999997</v>
      </c>
      <c r="AU71" s="17">
        <v>61.290274545999999</v>
      </c>
      <c r="AV71" s="17">
        <v>61.254662379000003</v>
      </c>
      <c r="AW71" s="17">
        <v>61.215791965999998</v>
      </c>
      <c r="AX71" s="17">
        <v>61.190638675999999</v>
      </c>
      <c r="AY71" s="17">
        <v>61.173379122999997</v>
      </c>
      <c r="AZ71" s="17">
        <v>61.173770638999997</v>
      </c>
      <c r="BA71" s="17">
        <v>61.149250793</v>
      </c>
      <c r="BB71" s="17">
        <v>61.088152123999997</v>
      </c>
      <c r="BC71" s="17">
        <v>61.000351113999997</v>
      </c>
      <c r="BD71" s="17">
        <v>60.866293321999997</v>
      </c>
      <c r="BE71" s="17">
        <v>60.704936343</v>
      </c>
      <c r="BF71" s="17">
        <v>60.502681860999999</v>
      </c>
      <c r="BG71" s="17">
        <v>60.303580115000003</v>
      </c>
      <c r="BH71" s="17">
        <v>60.089515534</v>
      </c>
      <c r="BI71" s="17">
        <v>59.853303209000003</v>
      </c>
      <c r="BJ71" s="17">
        <v>59.599484162000003</v>
      </c>
      <c r="BK71" s="17">
        <v>59.376951406000003</v>
      </c>
      <c r="BL71" s="17">
        <v>59.177375112999997</v>
      </c>
      <c r="BM71" s="17">
        <v>58.986024229999998</v>
      </c>
      <c r="BN71" s="17">
        <v>58.793290722000002</v>
      </c>
      <c r="BO71" s="17">
        <v>58.630566582999997</v>
      </c>
      <c r="BP71" s="17">
        <v>58.496703367000002</v>
      </c>
      <c r="BQ71" s="17">
        <v>58.397390518999998</v>
      </c>
      <c r="BR71" s="17">
        <v>58.333646354999999</v>
      </c>
      <c r="BS71" s="17">
        <v>58.314341345999999</v>
      </c>
      <c r="BT71" s="17">
        <v>58.309398033000001</v>
      </c>
      <c r="BU71" s="17">
        <v>58.312950499999999</v>
      </c>
      <c r="BV71" s="17">
        <v>58.314708207000002</v>
      </c>
      <c r="BW71" s="17">
        <v>58.317634681999998</v>
      </c>
      <c r="BX71" s="17">
        <v>58.324512079999998</v>
      </c>
      <c r="BY71" s="17">
        <v>58.334374920000002</v>
      </c>
      <c r="BZ71" s="17">
        <v>58.346315150000002</v>
      </c>
      <c r="CA71" s="17">
        <v>58.359146049000003</v>
      </c>
      <c r="CB71" s="17">
        <v>58.371941450999998</v>
      </c>
      <c r="CC71" s="17">
        <v>58.383468932</v>
      </c>
      <c r="CD71" s="17">
        <v>58.392325454999998</v>
      </c>
      <c r="CE71" s="17">
        <v>58.397726296999998</v>
      </c>
      <c r="CF71" s="17">
        <v>58.398759714999997</v>
      </c>
      <c r="CG71" s="17">
        <v>58.394157370000002</v>
      </c>
      <c r="CH71" s="17">
        <v>58.381245344</v>
      </c>
      <c r="CI71" s="17">
        <v>58.357376606000003</v>
      </c>
      <c r="CJ71" s="17">
        <v>58.321829661000002</v>
      </c>
      <c r="CK71" s="17">
        <v>58.274402688999999</v>
      </c>
      <c r="CL71" s="17">
        <v>58.215165089000003</v>
      </c>
      <c r="CM71" s="17">
        <v>58.145156331000003</v>
      </c>
      <c r="CN71" s="17">
        <v>58.065785687000002</v>
      </c>
      <c r="CO71" s="17">
        <v>57.97813086</v>
      </c>
      <c r="CP71" s="17">
        <v>57.883411443</v>
      </c>
      <c r="CQ71" s="17">
        <v>57.784304937999998</v>
      </c>
      <c r="CR71" s="17">
        <v>57.683571854999997</v>
      </c>
      <c r="CS71" s="17">
        <v>57.582776367999998</v>
      </c>
      <c r="CT71" s="17">
        <v>57.483737472000001</v>
      </c>
      <c r="CU71" s="17">
        <v>57.388319256000003</v>
      </c>
      <c r="CV71" s="17">
        <v>57.298164927000002</v>
      </c>
      <c r="CW71" s="17">
        <v>57.214169140000003</v>
      </c>
      <c r="CX71" s="17">
        <v>57.137063673999997</v>
      </c>
    </row>
    <row r="72" spans="1:102" x14ac:dyDescent="0.2">
      <c r="A72" s="55" t="s">
        <v>142</v>
      </c>
      <c r="B72" s="17">
        <v>17.720926243000001</v>
      </c>
      <c r="C72" s="17">
        <v>17.777558197000001</v>
      </c>
      <c r="D72" s="17">
        <v>17.962340394999998</v>
      </c>
      <c r="E72" s="17">
        <v>18.192390917000001</v>
      </c>
      <c r="F72" s="17">
        <v>18.449418899000001</v>
      </c>
      <c r="G72" s="17">
        <v>18.717046668999998</v>
      </c>
      <c r="H72" s="17">
        <v>18.82237245</v>
      </c>
      <c r="I72" s="17">
        <v>18.544190265000001</v>
      </c>
      <c r="J72" s="17">
        <v>18.436129803</v>
      </c>
      <c r="K72" s="17">
        <v>18.769440523</v>
      </c>
      <c r="L72" s="17">
        <v>19.115659314999998</v>
      </c>
      <c r="M72" s="17">
        <v>19.474090677</v>
      </c>
      <c r="N72" s="17">
        <v>19.830030753999999</v>
      </c>
      <c r="O72" s="17">
        <v>20.162074487000002</v>
      </c>
      <c r="P72" s="17">
        <v>20.481854865999999</v>
      </c>
      <c r="Q72" s="17">
        <v>20.772569337</v>
      </c>
      <c r="R72" s="17">
        <v>21.049989591999999</v>
      </c>
      <c r="S72" s="17">
        <v>21.285508618000001</v>
      </c>
      <c r="T72" s="17">
        <v>21.536715492999999</v>
      </c>
      <c r="U72" s="17">
        <v>21.738399603000001</v>
      </c>
      <c r="V72" s="17">
        <v>21.881851505</v>
      </c>
      <c r="W72" s="17">
        <v>21.970562547</v>
      </c>
      <c r="X72" s="17">
        <v>22.034330734000001</v>
      </c>
      <c r="Y72" s="17">
        <v>22.073541275</v>
      </c>
      <c r="Z72" s="17">
        <v>21.930673135999999</v>
      </c>
      <c r="AA72" s="17">
        <v>21.437788428000001</v>
      </c>
      <c r="AB72" s="17">
        <v>21.096007413999999</v>
      </c>
      <c r="AC72" s="17">
        <v>21.188100952999999</v>
      </c>
      <c r="AD72" s="17">
        <v>21.320824895000001</v>
      </c>
      <c r="AE72" s="17">
        <v>21.449869306</v>
      </c>
      <c r="AF72" s="17">
        <v>21.567424260999999</v>
      </c>
      <c r="AG72" s="17">
        <v>21.683845798</v>
      </c>
      <c r="AH72" s="17">
        <v>21.790486229999999</v>
      </c>
      <c r="AI72" s="17">
        <v>21.922427175999999</v>
      </c>
      <c r="AJ72" s="17">
        <v>22.055872081</v>
      </c>
      <c r="AK72" s="17">
        <v>22.181091841000001</v>
      </c>
      <c r="AL72" s="17">
        <v>22.335046524999999</v>
      </c>
      <c r="AM72" s="17">
        <v>22.480157713000001</v>
      </c>
      <c r="AN72" s="17">
        <v>22.637078141</v>
      </c>
      <c r="AO72" s="17">
        <v>22.818846785000002</v>
      </c>
      <c r="AP72" s="17">
        <v>22.983312527999999</v>
      </c>
      <c r="AQ72" s="17">
        <v>23.118101552999999</v>
      </c>
      <c r="AR72" s="17">
        <v>23.255929842</v>
      </c>
      <c r="AS72" s="17">
        <v>23.369027499000001</v>
      </c>
      <c r="AT72" s="17">
        <v>23.493165371</v>
      </c>
      <c r="AU72" s="17">
        <v>23.625979457</v>
      </c>
      <c r="AV72" s="17">
        <v>23.737723336999998</v>
      </c>
      <c r="AW72" s="17">
        <v>23.843200268</v>
      </c>
      <c r="AX72" s="17">
        <v>23.924800380000001</v>
      </c>
      <c r="AY72" s="17">
        <v>23.987714806</v>
      </c>
      <c r="AZ72" s="17">
        <v>24.021895963999999</v>
      </c>
      <c r="BA72" s="17">
        <v>24.070251663000001</v>
      </c>
      <c r="BB72" s="17">
        <v>24.145246161999999</v>
      </c>
      <c r="BC72" s="17">
        <v>24.238045151000001</v>
      </c>
      <c r="BD72" s="17">
        <v>24.369325255</v>
      </c>
      <c r="BE72" s="17">
        <v>24.521376374999999</v>
      </c>
      <c r="BF72" s="17">
        <v>24.709151708</v>
      </c>
      <c r="BG72" s="17">
        <v>24.889973685000001</v>
      </c>
      <c r="BH72" s="17">
        <v>25.083486606000001</v>
      </c>
      <c r="BI72" s="17">
        <v>25.298493157999999</v>
      </c>
      <c r="BJ72" s="17">
        <v>25.531955457999999</v>
      </c>
      <c r="BK72" s="17">
        <v>25.736411467</v>
      </c>
      <c r="BL72" s="17">
        <v>25.921352154000001</v>
      </c>
      <c r="BM72" s="17">
        <v>26.102443433000001</v>
      </c>
      <c r="BN72" s="17">
        <v>26.290099675</v>
      </c>
      <c r="BO72" s="17">
        <v>26.453509921999999</v>
      </c>
      <c r="BP72" s="17">
        <v>26.594179908000001</v>
      </c>
      <c r="BQ72" s="17">
        <v>26.706556936999998</v>
      </c>
      <c r="BR72" s="17">
        <v>26.789491000000002</v>
      </c>
      <c r="BS72" s="17">
        <v>26.833772440000001</v>
      </c>
      <c r="BT72" s="17">
        <v>26.868933696999999</v>
      </c>
      <c r="BU72" s="17">
        <v>26.900097167999999</v>
      </c>
      <c r="BV72" s="17">
        <v>26.936670222</v>
      </c>
      <c r="BW72" s="17">
        <v>26.974721328000001</v>
      </c>
      <c r="BX72" s="17">
        <v>27.010379484000001</v>
      </c>
      <c r="BY72" s="17">
        <v>27.043518753000001</v>
      </c>
      <c r="BZ72" s="17">
        <v>27.073944325999999</v>
      </c>
      <c r="CA72" s="17">
        <v>27.101790779000002</v>
      </c>
      <c r="CB72" s="17">
        <v>27.127025401000001</v>
      </c>
      <c r="CC72" s="17">
        <v>27.150056283000001</v>
      </c>
      <c r="CD72" s="17">
        <v>27.171582171000001</v>
      </c>
      <c r="CE72" s="17">
        <v>27.191937999</v>
      </c>
      <c r="CF72" s="17">
        <v>27.211672747000001</v>
      </c>
      <c r="CG72" s="17">
        <v>27.231974462</v>
      </c>
      <c r="CH72" s="17">
        <v>27.255558755999999</v>
      </c>
      <c r="CI72" s="17">
        <v>27.28538528</v>
      </c>
      <c r="CJ72" s="17">
        <v>27.322588634999999</v>
      </c>
      <c r="CK72" s="17">
        <v>27.367976261999999</v>
      </c>
      <c r="CL72" s="17">
        <v>27.422179976999999</v>
      </c>
      <c r="CM72" s="17">
        <v>27.484945246999999</v>
      </c>
      <c r="CN72" s="17">
        <v>27.555710816000001</v>
      </c>
      <c r="CO72" s="17">
        <v>27.634260145999999</v>
      </c>
      <c r="CP72" s="17">
        <v>27.720222784000001</v>
      </c>
      <c r="CQ72" s="17">
        <v>27.811661223000002</v>
      </c>
      <c r="CR72" s="17">
        <v>27.906561654000001</v>
      </c>
      <c r="CS72" s="17">
        <v>28.003924217000002</v>
      </c>
      <c r="CT72" s="17">
        <v>28.102418171</v>
      </c>
      <c r="CU72" s="17">
        <v>28.200495948</v>
      </c>
      <c r="CV72" s="17">
        <v>28.296761842999999</v>
      </c>
      <c r="CW72" s="17">
        <v>28.390333482999999</v>
      </c>
      <c r="CX72" s="17">
        <v>28.480435921000002</v>
      </c>
    </row>
    <row r="73" spans="1:102" x14ac:dyDescent="0.2">
      <c r="A73" s="78" t="s">
        <v>315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spans="1:102" x14ac:dyDescent="0.2">
      <c r="A74" s="55" t="s">
        <v>140</v>
      </c>
      <c r="B74" s="10">
        <v>299.71022398999997</v>
      </c>
      <c r="C74" s="10">
        <v>297.85795284</v>
      </c>
      <c r="D74" s="10">
        <v>295.48433072</v>
      </c>
      <c r="E74" s="10">
        <v>292.58935903000003</v>
      </c>
      <c r="F74" s="10">
        <v>289.04560874999999</v>
      </c>
      <c r="G74" s="10">
        <v>285.71214529999997</v>
      </c>
      <c r="H74" s="10">
        <v>281.29483922999998</v>
      </c>
      <c r="I74" s="10">
        <v>274.69211833999998</v>
      </c>
      <c r="J74" s="10">
        <v>268.47195352</v>
      </c>
      <c r="K74" s="10">
        <v>264.76479934000002</v>
      </c>
      <c r="L74" s="10">
        <v>261.54054980000001</v>
      </c>
      <c r="M74" s="10">
        <v>258.4710662</v>
      </c>
      <c r="N74" s="10">
        <v>255.29362140000001</v>
      </c>
      <c r="O74" s="10">
        <v>252.61826504000001</v>
      </c>
      <c r="P74" s="10">
        <v>250.47623372000001</v>
      </c>
      <c r="Q74" s="10">
        <v>248.94930407999999</v>
      </c>
      <c r="R74" s="10">
        <v>248.17737585</v>
      </c>
      <c r="S74" s="10">
        <v>248.30028222999999</v>
      </c>
      <c r="T74" s="10">
        <v>248.91474205</v>
      </c>
      <c r="U74" s="10">
        <v>249.65207466000001</v>
      </c>
      <c r="V74" s="10">
        <v>250.26173101000001</v>
      </c>
      <c r="W74" s="10">
        <v>250.81484226000001</v>
      </c>
      <c r="X74" s="10">
        <v>251.47898660999999</v>
      </c>
      <c r="Y74" s="10">
        <v>252.22857719999999</v>
      </c>
      <c r="Z74" s="10">
        <v>252.39354824</v>
      </c>
      <c r="AA74" s="10">
        <v>251.24266478999999</v>
      </c>
      <c r="AB74" s="10">
        <v>250.74181177</v>
      </c>
      <c r="AC74" s="10">
        <v>251.96209382999999</v>
      </c>
      <c r="AD74" s="10">
        <v>253.2930982</v>
      </c>
      <c r="AE74" s="10">
        <v>254.51768256</v>
      </c>
      <c r="AF74" s="10">
        <v>255.56502348999999</v>
      </c>
      <c r="AG74" s="10">
        <v>256.43776183</v>
      </c>
      <c r="AH74" s="10">
        <v>257.03607369000002</v>
      </c>
      <c r="AI74" s="10">
        <v>257.44154544999998</v>
      </c>
      <c r="AJ74" s="10">
        <v>257.53684814000002</v>
      </c>
      <c r="AK74" s="10">
        <v>257.28278426999998</v>
      </c>
      <c r="AL74" s="10">
        <v>256.84556101999999</v>
      </c>
      <c r="AM74" s="10">
        <v>256.10466643000001</v>
      </c>
      <c r="AN74" s="10">
        <v>255.18943118999999</v>
      </c>
      <c r="AO74" s="10">
        <v>254.18823659</v>
      </c>
      <c r="AP74" s="10">
        <v>252.96596367000001</v>
      </c>
      <c r="AQ74" s="10">
        <v>251.54198382000001</v>
      </c>
      <c r="AR74" s="10">
        <v>250.12248880000001</v>
      </c>
      <c r="AS74" s="10">
        <v>248.64000554</v>
      </c>
      <c r="AT74" s="10">
        <v>247.28794352</v>
      </c>
      <c r="AU74" s="10">
        <v>246.10341703</v>
      </c>
      <c r="AV74" s="10">
        <v>245.00362423000001</v>
      </c>
      <c r="AW74" s="10">
        <v>244.07113401999999</v>
      </c>
      <c r="AX74" s="10">
        <v>243.24898819000001</v>
      </c>
      <c r="AY74" s="10">
        <v>242.57129954999999</v>
      </c>
      <c r="AZ74" s="10">
        <v>242.00459187999999</v>
      </c>
      <c r="BA74" s="10">
        <v>241.71183378000001</v>
      </c>
      <c r="BB74" s="10">
        <v>241.72611547</v>
      </c>
      <c r="BC74" s="10">
        <v>241.99211095999999</v>
      </c>
      <c r="BD74" s="10">
        <v>242.57073360999999</v>
      </c>
      <c r="BE74" s="10">
        <v>243.36879619999999</v>
      </c>
      <c r="BF74" s="10">
        <v>244.42166821000001</v>
      </c>
      <c r="BG74" s="10">
        <v>245.53179383</v>
      </c>
      <c r="BH74" s="10">
        <v>246.74850061999999</v>
      </c>
      <c r="BI74" s="10">
        <v>248.07659455999999</v>
      </c>
      <c r="BJ74" s="10">
        <v>249.47464880000001</v>
      </c>
      <c r="BK74" s="10">
        <v>250.71406958</v>
      </c>
      <c r="BL74" s="10">
        <v>251.80692291</v>
      </c>
      <c r="BM74" s="10">
        <v>252.79771830000001</v>
      </c>
      <c r="BN74" s="10">
        <v>253.71278626</v>
      </c>
      <c r="BO74" s="10">
        <v>254.40524224999999</v>
      </c>
      <c r="BP74" s="10">
        <v>254.87105883000001</v>
      </c>
      <c r="BQ74" s="10">
        <v>255.08079063</v>
      </c>
      <c r="BR74" s="10">
        <v>255.03056253</v>
      </c>
      <c r="BS74" s="10">
        <v>254.68668378000001</v>
      </c>
      <c r="BT74" s="10">
        <v>254.19004086999999</v>
      </c>
      <c r="BU74" s="10">
        <v>253.57921705999999</v>
      </c>
      <c r="BV74" s="10">
        <v>252.91426509999999</v>
      </c>
      <c r="BW74" s="10">
        <v>252.19891154000001</v>
      </c>
      <c r="BX74" s="10">
        <v>251.43988202</v>
      </c>
      <c r="BY74" s="10">
        <v>250.66020416999999</v>
      </c>
      <c r="BZ74" s="10">
        <v>249.88279871</v>
      </c>
      <c r="CA74" s="10">
        <v>249.13084162999999</v>
      </c>
      <c r="CB74" s="10">
        <v>248.42471891</v>
      </c>
      <c r="CC74" s="10">
        <v>247.78374854</v>
      </c>
      <c r="CD74" s="10">
        <v>247.22585136000001</v>
      </c>
      <c r="CE74" s="10">
        <v>246.76193096</v>
      </c>
      <c r="CF74" s="10">
        <v>246.40193744999999</v>
      </c>
      <c r="CG74" s="10">
        <v>246.15250592999999</v>
      </c>
      <c r="CH74" s="10">
        <v>246.02414379999999</v>
      </c>
      <c r="CI74" s="10">
        <v>246.02267868000001</v>
      </c>
      <c r="CJ74" s="10">
        <v>246.14422743</v>
      </c>
      <c r="CK74" s="10">
        <v>246.37954893</v>
      </c>
      <c r="CL74" s="10">
        <v>246.71672599999999</v>
      </c>
      <c r="CM74" s="10">
        <v>247.13835732000001</v>
      </c>
      <c r="CN74" s="10">
        <v>247.62436825</v>
      </c>
      <c r="CO74" s="10">
        <v>248.15579219</v>
      </c>
      <c r="CP74" s="10">
        <v>248.71315311000001</v>
      </c>
      <c r="CQ74" s="10">
        <v>249.27242534999999</v>
      </c>
      <c r="CR74" s="10">
        <v>249.80884551</v>
      </c>
      <c r="CS74" s="10">
        <v>250.30573939999999</v>
      </c>
      <c r="CT74" s="10">
        <v>250.74647178999999</v>
      </c>
      <c r="CU74" s="10">
        <v>251.11703886000001</v>
      </c>
      <c r="CV74" s="10">
        <v>251.40548999999999</v>
      </c>
      <c r="CW74" s="10">
        <v>251.60720838</v>
      </c>
      <c r="CX74" s="10">
        <v>251.71927782</v>
      </c>
    </row>
    <row r="75" spans="1:102" x14ac:dyDescent="0.2">
      <c r="A75" s="55" t="s">
        <v>142</v>
      </c>
      <c r="B75" s="10">
        <v>279.92620681</v>
      </c>
      <c r="C75" s="10">
        <v>280.61372032999998</v>
      </c>
      <c r="D75" s="10">
        <v>283.64937076000001</v>
      </c>
      <c r="E75" s="10">
        <v>287.44625566000002</v>
      </c>
      <c r="F75" s="10">
        <v>291.62443840999998</v>
      </c>
      <c r="G75" s="10">
        <v>296.06126797000002</v>
      </c>
      <c r="H75" s="10">
        <v>297.08935097</v>
      </c>
      <c r="I75" s="10">
        <v>290.19579142999999</v>
      </c>
      <c r="J75" s="10">
        <v>286.71657598000002</v>
      </c>
      <c r="K75" s="10">
        <v>292.24134156000002</v>
      </c>
      <c r="L75" s="10">
        <v>298.14398137000001</v>
      </c>
      <c r="M75" s="10">
        <v>304.34402870000002</v>
      </c>
      <c r="N75" s="10">
        <v>310.49670284000001</v>
      </c>
      <c r="O75" s="10">
        <v>316.33315370999998</v>
      </c>
      <c r="P75" s="10">
        <v>322.09092263000002</v>
      </c>
      <c r="Q75" s="10">
        <v>327.46090337999999</v>
      </c>
      <c r="R75" s="10">
        <v>332.79439273999998</v>
      </c>
      <c r="S75" s="10">
        <v>337.55800169999998</v>
      </c>
      <c r="T75" s="10">
        <v>342.80391961999999</v>
      </c>
      <c r="U75" s="10">
        <v>347.11066507999999</v>
      </c>
      <c r="V75" s="10">
        <v>350.21364519000002</v>
      </c>
      <c r="W75" s="10">
        <v>352.18895104000001</v>
      </c>
      <c r="X75" s="10">
        <v>353.68774689999998</v>
      </c>
      <c r="Y75" s="10">
        <v>354.70775443000002</v>
      </c>
      <c r="Z75" s="10">
        <v>351.81337726999999</v>
      </c>
      <c r="AA75" s="10">
        <v>341.43483214000003</v>
      </c>
      <c r="AB75" s="10">
        <v>334.40207103</v>
      </c>
      <c r="AC75" s="10">
        <v>336.58241400999998</v>
      </c>
      <c r="AD75" s="10">
        <v>339.62281192</v>
      </c>
      <c r="AE75" s="10">
        <v>342.57410007999999</v>
      </c>
      <c r="AF75" s="10">
        <v>345.25582379000002</v>
      </c>
      <c r="AG75" s="10">
        <v>347.87717757000001</v>
      </c>
      <c r="AH75" s="10">
        <v>350.23139685000001</v>
      </c>
      <c r="AI75" s="10">
        <v>353.06131722999999</v>
      </c>
      <c r="AJ75" s="10">
        <v>355.84556014999998</v>
      </c>
      <c r="AK75" s="10">
        <v>358.36926484999998</v>
      </c>
      <c r="AL75" s="10">
        <v>361.44622283000001</v>
      </c>
      <c r="AM75" s="10">
        <v>364.26068696999999</v>
      </c>
      <c r="AN75" s="10">
        <v>367.27957724999999</v>
      </c>
      <c r="AO75" s="10">
        <v>370.80463323999999</v>
      </c>
      <c r="AP75" s="10">
        <v>373.90998335</v>
      </c>
      <c r="AQ75" s="10">
        <v>376.33403004000002</v>
      </c>
      <c r="AR75" s="10">
        <v>378.82745641999998</v>
      </c>
      <c r="AS75" s="10">
        <v>380.77948996999999</v>
      </c>
      <c r="AT75" s="10">
        <v>383.00815951999999</v>
      </c>
      <c r="AU75" s="10">
        <v>385.47680903000003</v>
      </c>
      <c r="AV75" s="10">
        <v>387.52516813</v>
      </c>
      <c r="AW75" s="10">
        <v>389.49427105000001</v>
      </c>
      <c r="AX75" s="10">
        <v>390.98791740000001</v>
      </c>
      <c r="AY75" s="10">
        <v>392.12669219999998</v>
      </c>
      <c r="AZ75" s="10">
        <v>392.68293768000001</v>
      </c>
      <c r="BA75" s="10">
        <v>393.63117864999998</v>
      </c>
      <c r="BB75" s="10">
        <v>395.25252153000002</v>
      </c>
      <c r="BC75" s="10">
        <v>397.34271538000002</v>
      </c>
      <c r="BD75" s="10">
        <v>400.37472179000002</v>
      </c>
      <c r="BE75" s="10">
        <v>403.94369639000001</v>
      </c>
      <c r="BF75" s="10">
        <v>408.39762714</v>
      </c>
      <c r="BG75" s="10">
        <v>412.74454415000002</v>
      </c>
      <c r="BH75" s="10">
        <v>417.43532765999998</v>
      </c>
      <c r="BI75" s="10">
        <v>422.67497033000001</v>
      </c>
      <c r="BJ75" s="10">
        <v>428.39222212999999</v>
      </c>
      <c r="BK75" s="10">
        <v>433.44110563999999</v>
      </c>
      <c r="BL75" s="10">
        <v>438.02808261000001</v>
      </c>
      <c r="BM75" s="10">
        <v>442.51911827999999</v>
      </c>
      <c r="BN75" s="10">
        <v>447.16156132999998</v>
      </c>
      <c r="BO75" s="10">
        <v>451.1897371</v>
      </c>
      <c r="BP75" s="10">
        <v>454.62698540999997</v>
      </c>
      <c r="BQ75" s="10">
        <v>457.32449172999998</v>
      </c>
      <c r="BR75" s="10">
        <v>459.24595277999998</v>
      </c>
      <c r="BS75" s="10">
        <v>460.15734415999998</v>
      </c>
      <c r="BT75" s="10">
        <v>460.79936688999999</v>
      </c>
      <c r="BU75" s="10">
        <v>461.30571233000001</v>
      </c>
      <c r="BV75" s="10">
        <v>461.91897466</v>
      </c>
      <c r="BW75" s="10">
        <v>462.54827506999999</v>
      </c>
      <c r="BX75" s="10">
        <v>463.10510830999999</v>
      </c>
      <c r="BY75" s="10">
        <v>463.59490077999999</v>
      </c>
      <c r="BZ75" s="10">
        <v>464.02149400000002</v>
      </c>
      <c r="CA75" s="10">
        <v>464.39663039999999</v>
      </c>
      <c r="CB75" s="10">
        <v>464.7271399</v>
      </c>
      <c r="CC75" s="10">
        <v>465.02985826999998</v>
      </c>
      <c r="CD75" s="10">
        <v>465.32796834999999</v>
      </c>
      <c r="CE75" s="10">
        <v>465.63350532999999</v>
      </c>
      <c r="CF75" s="10">
        <v>465.96319648000002</v>
      </c>
      <c r="CG75" s="10">
        <v>466.34758832</v>
      </c>
      <c r="CH75" s="10">
        <v>466.85469957999999</v>
      </c>
      <c r="CI75" s="10">
        <v>467.55674888999999</v>
      </c>
      <c r="CJ75" s="10">
        <v>468.47962064000001</v>
      </c>
      <c r="CK75" s="10">
        <v>469.63975603</v>
      </c>
      <c r="CL75" s="10">
        <v>471.04873678000001</v>
      </c>
      <c r="CM75" s="10">
        <v>472.69535385</v>
      </c>
      <c r="CN75" s="10">
        <v>474.56019908000002</v>
      </c>
      <c r="CO75" s="10">
        <v>476.63247739000002</v>
      </c>
      <c r="CP75" s="10">
        <v>478.89753027</v>
      </c>
      <c r="CQ75" s="10">
        <v>481.30130236999997</v>
      </c>
      <c r="CR75" s="10">
        <v>483.78699094000001</v>
      </c>
      <c r="CS75" s="10">
        <v>486.32466134999999</v>
      </c>
      <c r="CT75" s="10">
        <v>488.87597443999999</v>
      </c>
      <c r="CU75" s="10">
        <v>491.39783695</v>
      </c>
      <c r="CV75" s="10">
        <v>493.85110114999998</v>
      </c>
      <c r="CW75" s="10">
        <v>496.21158376</v>
      </c>
      <c r="CX75" s="10">
        <v>498.45816514000001</v>
      </c>
    </row>
    <row r="76" spans="1:102" x14ac:dyDescent="0.2">
      <c r="A76" s="55" t="s">
        <v>316</v>
      </c>
      <c r="B76" s="10">
        <v>579.63643079999997</v>
      </c>
      <c r="C76" s="10">
        <v>578.47167317000003</v>
      </c>
      <c r="D76" s="10">
        <v>579.13370148000001</v>
      </c>
      <c r="E76" s="10">
        <v>580.03561467999998</v>
      </c>
      <c r="F76" s="10">
        <v>580.67004715999997</v>
      </c>
      <c r="G76" s="10">
        <v>581.77341325999998</v>
      </c>
      <c r="H76" s="10">
        <v>578.38419019000003</v>
      </c>
      <c r="I76" s="10">
        <v>564.88790976999996</v>
      </c>
      <c r="J76" s="10">
        <v>555.18852949999996</v>
      </c>
      <c r="K76" s="10">
        <v>557.00614089999999</v>
      </c>
      <c r="L76" s="10">
        <v>559.68453117000001</v>
      </c>
      <c r="M76" s="10">
        <v>562.81509488999995</v>
      </c>
      <c r="N76" s="10">
        <v>565.79032424000002</v>
      </c>
      <c r="O76" s="10">
        <v>568.95141875000002</v>
      </c>
      <c r="P76" s="10">
        <v>572.56715635</v>
      </c>
      <c r="Q76" s="10">
        <v>576.41020746000004</v>
      </c>
      <c r="R76" s="10">
        <v>580.97176859000001</v>
      </c>
      <c r="S76" s="10">
        <v>585.85828392999997</v>
      </c>
      <c r="T76" s="10">
        <v>591.71866166999996</v>
      </c>
      <c r="U76" s="10">
        <v>596.76273974000003</v>
      </c>
      <c r="V76" s="10">
        <v>600.47537619000002</v>
      </c>
      <c r="W76" s="10">
        <v>603.00379328999998</v>
      </c>
      <c r="X76" s="10">
        <v>605.16673350999997</v>
      </c>
      <c r="Y76" s="10">
        <v>606.93633164000005</v>
      </c>
      <c r="Z76" s="10">
        <v>604.20692550000001</v>
      </c>
      <c r="AA76" s="10">
        <v>592.67749692999996</v>
      </c>
      <c r="AB76" s="10">
        <v>585.14388280000003</v>
      </c>
      <c r="AC76" s="10">
        <v>588.54450784000005</v>
      </c>
      <c r="AD76" s="10">
        <v>592.91591012000004</v>
      </c>
      <c r="AE76" s="10">
        <v>597.09178264000002</v>
      </c>
      <c r="AF76" s="10">
        <v>600.82084727999995</v>
      </c>
      <c r="AG76" s="10">
        <v>604.31493939999996</v>
      </c>
      <c r="AH76" s="10">
        <v>607.26747053999998</v>
      </c>
      <c r="AI76" s="10">
        <v>610.50286269000003</v>
      </c>
      <c r="AJ76" s="10">
        <v>613.38240828000005</v>
      </c>
      <c r="AK76" s="10">
        <v>615.65204912000002</v>
      </c>
      <c r="AL76" s="10">
        <v>618.29178385</v>
      </c>
      <c r="AM76" s="10">
        <v>620.3653534</v>
      </c>
      <c r="AN76" s="10">
        <v>622.46900844000004</v>
      </c>
      <c r="AO76" s="10">
        <v>624.99286984000003</v>
      </c>
      <c r="AP76" s="10">
        <v>626.87594702000001</v>
      </c>
      <c r="AQ76" s="10">
        <v>627.87601385000005</v>
      </c>
      <c r="AR76" s="10">
        <v>628.94994522000002</v>
      </c>
      <c r="AS76" s="10">
        <v>629.41949552000005</v>
      </c>
      <c r="AT76" s="10">
        <v>630.29610305000006</v>
      </c>
      <c r="AU76" s="10">
        <v>631.58022605999997</v>
      </c>
      <c r="AV76" s="10">
        <v>632.52879236000001</v>
      </c>
      <c r="AW76" s="10">
        <v>633.56540507</v>
      </c>
      <c r="AX76" s="10">
        <v>634.23690557999998</v>
      </c>
      <c r="AY76" s="10">
        <v>634.69799175000003</v>
      </c>
      <c r="AZ76" s="10">
        <v>634.68752956000003</v>
      </c>
      <c r="BA76" s="10">
        <v>635.34301243000004</v>
      </c>
      <c r="BB76" s="10">
        <v>636.97863700000005</v>
      </c>
      <c r="BC76" s="10">
        <v>639.33482633999995</v>
      </c>
      <c r="BD76" s="10">
        <v>642.94545540000001</v>
      </c>
      <c r="BE76" s="10">
        <v>647.31249259000003</v>
      </c>
      <c r="BF76" s="10">
        <v>652.81929534999995</v>
      </c>
      <c r="BG76" s="10">
        <v>658.27633797999999</v>
      </c>
      <c r="BH76" s="10">
        <v>664.18382827000005</v>
      </c>
      <c r="BI76" s="10">
        <v>670.75156489000005</v>
      </c>
      <c r="BJ76" s="10">
        <v>677.86687093</v>
      </c>
      <c r="BK76" s="10">
        <v>684.15517523000005</v>
      </c>
      <c r="BL76" s="10">
        <v>689.83500551999998</v>
      </c>
      <c r="BM76" s="10">
        <v>695.31683657999997</v>
      </c>
      <c r="BN76" s="10">
        <v>700.87434758999996</v>
      </c>
      <c r="BO76" s="10">
        <v>705.59497934000001</v>
      </c>
      <c r="BP76" s="10">
        <v>709.49804424000001</v>
      </c>
      <c r="BQ76" s="10">
        <v>712.40528234999999</v>
      </c>
      <c r="BR76" s="10">
        <v>714.27651532000004</v>
      </c>
      <c r="BS76" s="10">
        <v>714.84402794000005</v>
      </c>
      <c r="BT76" s="10">
        <v>714.98940775999995</v>
      </c>
      <c r="BU76" s="10">
        <v>714.88492939000002</v>
      </c>
      <c r="BV76" s="10">
        <v>714.83323975999997</v>
      </c>
      <c r="BW76" s="10">
        <v>714.74718660999997</v>
      </c>
      <c r="BX76" s="10">
        <v>714.54499033000002</v>
      </c>
      <c r="BY76" s="10">
        <v>714.25510495000003</v>
      </c>
      <c r="BZ76" s="10">
        <v>713.90429271999994</v>
      </c>
      <c r="CA76" s="10">
        <v>713.52747203000001</v>
      </c>
      <c r="CB76" s="10">
        <v>713.15185881000002</v>
      </c>
      <c r="CC76" s="10">
        <v>712.81360682000002</v>
      </c>
      <c r="CD76" s="10">
        <v>712.55381969999996</v>
      </c>
      <c r="CE76" s="10">
        <v>712.39543629000002</v>
      </c>
      <c r="CF76" s="10">
        <v>712.36513392999996</v>
      </c>
      <c r="CG76" s="10">
        <v>712.50009424999996</v>
      </c>
      <c r="CH76" s="10">
        <v>712.87884338000003</v>
      </c>
      <c r="CI76" s="10">
        <v>713.57942757000001</v>
      </c>
      <c r="CJ76" s="10">
        <v>714.62384807000001</v>
      </c>
      <c r="CK76" s="10">
        <v>716.01930496</v>
      </c>
      <c r="CL76" s="10">
        <v>717.76546278000001</v>
      </c>
      <c r="CM76" s="10">
        <v>719.83371117000002</v>
      </c>
      <c r="CN76" s="10">
        <v>722.18456733000005</v>
      </c>
      <c r="CO76" s="10">
        <v>724.78826958000002</v>
      </c>
      <c r="CP76" s="10">
        <v>727.61068337999995</v>
      </c>
      <c r="CQ76" s="10">
        <v>730.57372772999997</v>
      </c>
      <c r="CR76" s="10">
        <v>733.59583644999998</v>
      </c>
      <c r="CS76" s="10">
        <v>736.63040075000004</v>
      </c>
      <c r="CT76" s="10">
        <v>739.62244623000004</v>
      </c>
      <c r="CU76" s="10">
        <v>742.51487580000003</v>
      </c>
      <c r="CV76" s="10">
        <v>745.25659114999996</v>
      </c>
      <c r="CW76" s="10">
        <v>747.81879214000003</v>
      </c>
      <c r="CX76" s="10">
        <v>750.17744297000002</v>
      </c>
    </row>
    <row r="77" spans="1:102" ht="8.25" customHeight="1" thickBot="1" x14ac:dyDescent="0.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</row>
    <row r="78" spans="1:102" x14ac:dyDescent="0.2">
      <c r="A78" s="79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 spans="1:102" x14ac:dyDescent="0.2"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 spans="1:102" x14ac:dyDescent="0.2">
      <c r="A80" s="81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 spans="1:27" x14ac:dyDescent="0.2">
      <c r="A81" s="81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 spans="1:27" x14ac:dyDescent="0.2">
      <c r="A82" s="81"/>
      <c r="B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 spans="1:27" x14ac:dyDescent="0.2">
      <c r="A83" s="81"/>
      <c r="B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10</vt:i4>
      </vt:variant>
    </vt:vector>
  </HeadingPairs>
  <TitlesOfParts>
    <vt:vector size="17" baseType="lpstr">
      <vt:lpstr>Chart Data</vt:lpstr>
      <vt:lpstr>Calculations</vt:lpstr>
      <vt:lpstr>Migration variants</vt:lpstr>
      <vt:lpstr>2022-based principal</vt:lpstr>
      <vt:lpstr>2022-based low</vt:lpstr>
      <vt:lpstr>2021-based principal</vt:lpstr>
      <vt:lpstr>2020-based principal</vt:lpstr>
      <vt:lpstr>Chart - POP</vt:lpstr>
      <vt:lpstr>Chart - Migration</vt:lpstr>
      <vt:lpstr>Chart - Natural change</vt:lpstr>
      <vt:lpstr>Chart - ONS population</vt:lpstr>
      <vt:lpstr>Chart - ONS migration</vt:lpstr>
      <vt:lpstr>Chart - ONS natural change</vt:lpstr>
      <vt:lpstr>Chart - ONS mig &amp; nat cha</vt:lpstr>
      <vt:lpstr>Chart - ONS births</vt:lpstr>
      <vt:lpstr>Chart - Population OE &amp; ONS</vt:lpstr>
      <vt:lpstr>Chart - POPW OE &amp; 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2025-01-28T14:42:29Z</dcterms:created>
  <dcterms:modified xsi:type="dcterms:W3CDTF">2025-01-31T09:06:55Z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2025-01-28T14:43:13Z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cd88cd8c-fa80-4e46-8b96-6d222e83a6bd</vt:lpwstr>
  </property>
  <property fmtid="{D5CDD505-2E9C-101B-9397-08002B2CF9AE}" pid="8" name="MSIP_Label_231f5784-19ed-4d1e-9a93-4ea41014d730_ContentBits">
    <vt:lpwstr>0</vt:lpwstr>
  </property>
</Properties>
</file>