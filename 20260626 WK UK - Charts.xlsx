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1F95FB2-0CD2-4846-B097-8F32EFDE792E}" xr6:coauthVersionLast="47" xr6:coauthVersionMax="47" xr10:uidLastSave="{00000000-0000-0000-0000-000000000000}"/>
  <bookViews>
    <workbookView xWindow="-120" yWindow="-120" windowWidth="29040" windowHeight="15720" xr2:uid="{D8965C0C-732B-47FF-A7C5-448C1377C246}"/>
  </bookViews>
  <sheets>
    <sheet name="Chart - gilt spread_panel" sheetId="6" r:id="rId1"/>
    <sheet name="Chart - gilt spread" sheetId="3" r:id="rId2"/>
    <sheet name="Chart - FX" sheetId="4" r:id="rId3"/>
    <sheet name="HAVERD" sheetId="1" r:id="rId4"/>
  </sheets>
  <definedNames>
    <definedName name="_DLX1.INC">HAVERD!$B$2:$J$7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1" l="1"/>
  <c r="J133" i="1"/>
  <c r="I132" i="1"/>
  <c r="J132" i="1"/>
  <c r="A14" i="1"/>
  <c r="A19" i="1" s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6" i="1"/>
  <c r="A17" i="1"/>
  <c r="A18" i="1"/>
  <c r="A21" i="1"/>
  <c r="A22" i="1"/>
  <c r="A23" i="1"/>
  <c r="A26" i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27" i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28" i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" i="1"/>
  <c r="J9" i="1"/>
  <c r="I9" i="1"/>
  <c r="J10" i="1"/>
  <c r="I10" i="1"/>
  <c r="J11" i="1"/>
  <c r="I11" i="1"/>
  <c r="J12" i="1"/>
  <c r="I12" i="1"/>
  <c r="J13" i="1"/>
  <c r="I13" i="1"/>
  <c r="J14" i="1"/>
  <c r="I14" i="1"/>
  <c r="J15" i="1"/>
  <c r="I15" i="1"/>
  <c r="J16" i="1"/>
  <c r="I16" i="1"/>
  <c r="J17" i="1"/>
  <c r="I17" i="1"/>
  <c r="J18" i="1"/>
  <c r="I18" i="1"/>
  <c r="J19" i="1"/>
  <c r="I19" i="1"/>
  <c r="J20" i="1"/>
  <c r="I20" i="1"/>
  <c r="J21" i="1"/>
  <c r="I21" i="1"/>
  <c r="J22" i="1"/>
  <c r="I22" i="1"/>
  <c r="J23" i="1"/>
  <c r="I23" i="1"/>
  <c r="J24" i="1"/>
  <c r="I24" i="1"/>
  <c r="J25" i="1"/>
  <c r="I25" i="1"/>
  <c r="J26" i="1"/>
  <c r="I26" i="1"/>
  <c r="J27" i="1"/>
  <c r="I27" i="1"/>
  <c r="J28" i="1"/>
  <c r="I28" i="1"/>
  <c r="J29" i="1"/>
  <c r="I29" i="1"/>
  <c r="J30" i="1"/>
  <c r="I30" i="1"/>
  <c r="J31" i="1"/>
  <c r="I31" i="1"/>
  <c r="J32" i="1"/>
  <c r="I32" i="1"/>
  <c r="J33" i="1"/>
  <c r="I33" i="1"/>
  <c r="J34" i="1"/>
  <c r="I34" i="1"/>
  <c r="J35" i="1"/>
  <c r="I35" i="1"/>
  <c r="J36" i="1"/>
  <c r="I36" i="1"/>
  <c r="J37" i="1"/>
  <c r="I37" i="1"/>
  <c r="J38" i="1"/>
  <c r="I38" i="1"/>
  <c r="J39" i="1"/>
  <c r="I39" i="1"/>
  <c r="J40" i="1"/>
  <c r="I40" i="1"/>
  <c r="J41" i="1"/>
  <c r="I41" i="1"/>
  <c r="J42" i="1"/>
  <c r="I42" i="1"/>
  <c r="J43" i="1"/>
  <c r="I43" i="1"/>
  <c r="J44" i="1"/>
  <c r="I44" i="1"/>
  <c r="J45" i="1"/>
  <c r="I45" i="1"/>
  <c r="J46" i="1"/>
  <c r="I46" i="1"/>
  <c r="J47" i="1"/>
  <c r="I47" i="1"/>
  <c r="J48" i="1"/>
  <c r="I48" i="1"/>
  <c r="J49" i="1"/>
  <c r="I49" i="1"/>
  <c r="J50" i="1"/>
  <c r="I50" i="1"/>
  <c r="J51" i="1"/>
  <c r="I51" i="1"/>
  <c r="J52" i="1"/>
  <c r="I52" i="1"/>
  <c r="J53" i="1"/>
  <c r="I53" i="1"/>
  <c r="J54" i="1"/>
  <c r="I54" i="1"/>
  <c r="J55" i="1"/>
  <c r="I55" i="1"/>
  <c r="J56" i="1"/>
  <c r="I56" i="1"/>
  <c r="J57" i="1"/>
  <c r="I57" i="1"/>
  <c r="J58" i="1"/>
  <c r="I58" i="1"/>
  <c r="J59" i="1"/>
  <c r="I59" i="1"/>
  <c r="J60" i="1"/>
  <c r="I60" i="1"/>
  <c r="J61" i="1"/>
  <c r="I61" i="1"/>
  <c r="J62" i="1"/>
  <c r="I62" i="1"/>
  <c r="J63" i="1"/>
  <c r="I63" i="1"/>
  <c r="J64" i="1"/>
  <c r="I64" i="1"/>
  <c r="J65" i="1"/>
  <c r="I65" i="1"/>
  <c r="J66" i="1"/>
  <c r="I66" i="1"/>
  <c r="J67" i="1"/>
  <c r="I67" i="1"/>
  <c r="J68" i="1"/>
  <c r="I68" i="1"/>
  <c r="J69" i="1"/>
  <c r="I69" i="1"/>
  <c r="J70" i="1"/>
  <c r="I70" i="1"/>
  <c r="J71" i="1"/>
  <c r="I71" i="1"/>
  <c r="J72" i="1"/>
  <c r="I72" i="1"/>
  <c r="J73" i="1"/>
  <c r="I73" i="1"/>
  <c r="J74" i="1"/>
  <c r="I74" i="1"/>
  <c r="J75" i="1"/>
  <c r="I75" i="1"/>
  <c r="J76" i="1"/>
  <c r="I76" i="1"/>
  <c r="J77" i="1"/>
  <c r="I77" i="1"/>
  <c r="J78" i="1"/>
  <c r="I78" i="1"/>
  <c r="J79" i="1"/>
  <c r="I79" i="1"/>
  <c r="J80" i="1"/>
  <c r="I80" i="1"/>
  <c r="J81" i="1"/>
  <c r="I81" i="1"/>
  <c r="J82" i="1"/>
  <c r="I82" i="1"/>
  <c r="J83" i="1"/>
  <c r="I83" i="1"/>
  <c r="J84" i="1"/>
  <c r="I84" i="1"/>
  <c r="J85" i="1"/>
  <c r="I85" i="1"/>
  <c r="J86" i="1"/>
  <c r="I86" i="1"/>
  <c r="J87" i="1"/>
  <c r="I87" i="1"/>
  <c r="J88" i="1"/>
  <c r="I88" i="1"/>
  <c r="J89" i="1"/>
  <c r="I89" i="1"/>
  <c r="J90" i="1"/>
  <c r="I90" i="1"/>
  <c r="J91" i="1"/>
  <c r="I91" i="1"/>
  <c r="J92" i="1"/>
  <c r="I92" i="1"/>
  <c r="J93" i="1"/>
  <c r="I93" i="1"/>
  <c r="J94" i="1"/>
  <c r="I94" i="1"/>
  <c r="J95" i="1"/>
  <c r="I95" i="1"/>
  <c r="J96" i="1"/>
  <c r="I96" i="1"/>
  <c r="J97" i="1"/>
  <c r="I97" i="1"/>
  <c r="J98" i="1"/>
  <c r="I98" i="1"/>
  <c r="J99" i="1"/>
  <c r="I99" i="1"/>
  <c r="J100" i="1"/>
  <c r="I100" i="1"/>
  <c r="J101" i="1"/>
  <c r="I101" i="1"/>
  <c r="J102" i="1"/>
  <c r="I102" i="1"/>
  <c r="J103" i="1"/>
  <c r="I103" i="1"/>
  <c r="J104" i="1"/>
  <c r="I104" i="1"/>
  <c r="J105" i="1"/>
  <c r="I105" i="1"/>
  <c r="J106" i="1"/>
  <c r="I106" i="1"/>
  <c r="J107" i="1"/>
  <c r="I107" i="1"/>
  <c r="J108" i="1"/>
  <c r="I108" i="1"/>
  <c r="J109" i="1"/>
  <c r="I109" i="1"/>
  <c r="J110" i="1"/>
  <c r="I110" i="1"/>
  <c r="J111" i="1"/>
  <c r="I111" i="1"/>
  <c r="J112" i="1"/>
  <c r="I112" i="1"/>
  <c r="J113" i="1"/>
  <c r="I113" i="1"/>
  <c r="J114" i="1"/>
  <c r="I114" i="1"/>
  <c r="J115" i="1"/>
  <c r="I115" i="1"/>
  <c r="J116" i="1"/>
  <c r="I116" i="1"/>
  <c r="J117" i="1"/>
  <c r="I117" i="1"/>
  <c r="J118" i="1"/>
  <c r="I118" i="1"/>
  <c r="J119" i="1"/>
  <c r="I119" i="1"/>
  <c r="J120" i="1"/>
  <c r="I120" i="1"/>
  <c r="J121" i="1"/>
  <c r="I121" i="1"/>
  <c r="J122" i="1"/>
  <c r="I122" i="1"/>
  <c r="J123" i="1"/>
  <c r="I123" i="1"/>
  <c r="J124" i="1"/>
  <c r="I124" i="1"/>
  <c r="J125" i="1"/>
  <c r="I125" i="1"/>
  <c r="J126" i="1"/>
  <c r="I126" i="1"/>
  <c r="J127" i="1"/>
  <c r="I127" i="1"/>
  <c r="J128" i="1"/>
  <c r="I128" i="1"/>
  <c r="J129" i="1"/>
  <c r="I129" i="1"/>
  <c r="J130" i="1"/>
  <c r="I130" i="1"/>
  <c r="J131" i="1"/>
  <c r="I131" i="1"/>
  <c r="I8" i="1"/>
  <c r="J8" i="1"/>
</calcChain>
</file>

<file path=xl/sharedStrings.xml><?xml version="1.0" encoding="utf-8"?>
<sst xmlns="http://schemas.openxmlformats.org/spreadsheetml/2006/main" count="169" uniqueCount="162">
  <si>
    <t>T112GA@INTDAILY</t>
  </si>
  <si>
    <t>T134GA@INTDAILY</t>
  </si>
  <si>
    <t>R111GA@INTDAILY</t>
  </si>
  <si>
    <t>X112USB@INTDAILY</t>
  </si>
  <si>
    <t>X112EUB@INTDAILY</t>
  </si>
  <si>
    <t>20260101 !D</t>
  </si>
  <si>
    <t>20260101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</si>
  <si>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</si>
  <si>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</si>
  <si>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</si>
  <si>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</si>
  <si>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</si>
  <si>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</si>
  <si>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</si>
  <si>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</si>
  <si>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</si>
  <si>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</si>
  <si>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</si>
  <si>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</si>
  <si>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</si>
  <si>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Bank of England</t>
  </si>
  <si>
    <t>02-Jan-1975</t>
  </si>
  <si>
    <t>UK: Spot Exchange Rate: US Dollar (US$/GBP)</t>
  </si>
  <si>
    <t>04-Jan-1999</t>
  </si>
  <si>
    <t>UK: Spot Exchange Rate: Euro (Euros/GBP)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</si>
  <si>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</si>
  <si>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</si>
  <si>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</si>
  <si>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</si>
  <si>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</si>
  <si>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</si>
  <si>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</si>
  <si>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</si>
  <si>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</si>
  <si>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</si>
  <si>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</si>
  <si>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</si>
  <si>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</si>
  <si>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</si>
  <si>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</si>
  <si>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</si>
  <si>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</si>
  <si>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</si>
  <si>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</si>
  <si>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</si>
  <si>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</si>
  <si>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</si>
  <si>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</si>
  <si>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</si>
  <si>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</si>
  <si>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</si>
  <si>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</si>
  <si>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</si>
  <si>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</si>
  <si>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</si>
  <si>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</si>
  <si>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20260216</t>
  </si>
  <si>
    <t>20260217</t>
  </si>
  <si>
    <t>20260218</t>
  </si>
  <si>
    <t>20260219</t>
  </si>
  <si>
    <t>20260220</t>
  </si>
  <si>
    <t>20260223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</si>
  <si>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</si>
  <si>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</si>
  <si>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</si>
  <si>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</si>
  <si>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</si>
  <si>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</si>
  <si>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</si>
  <si>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</si>
  <si>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</si>
  <si>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</si>
  <si>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</si>
  <si>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</si>
  <si>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</si>
  <si>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</si>
  <si>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</si>
  <si>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</si>
  <si>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</si>
  <si>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</si>
  <si>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</si>
  <si>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</si>
  <si>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</si>
  <si>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</si>
  <si>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</si>
  <si>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</si>
  <si>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</si>
  <si>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</si>
  <si>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</si>
  <si>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</si>
  <si>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</si>
  <si>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20260406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</si>
  <si>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</si>
  <si>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</si>
  <si>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</si>
  <si>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</si>
  <si>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</si>
  <si>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</si>
  <si>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</si>
  <si>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</si>
  <si>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</si>
  <si>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</si>
  <si>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</si>
  <si>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</si>
  <si>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</si>
  <si>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20260424</t>
  </si>
  <si>
    <t>20260427</t>
  </si>
  <si>
    <t>20260428</t>
  </si>
  <si>
    <t>20260429</t>
  </si>
  <si>
    <t>20260430</t>
  </si>
  <si>
    <t>20260501</t>
  </si>
  <si>
    <t>20260504</t>
  </si>
  <si>
    <t>20260505</t>
  </si>
  <si>
    <t>20260506</t>
  </si>
  <si>
    <t>20260507</t>
  </si>
  <si>
    <t>20260508</t>
  </si>
  <si>
    <t>20260511</t>
  </si>
  <si>
    <t>20260512</t>
  </si>
  <si>
    <t>20260513</t>
  </si>
  <si>
    <t>20260514</t>
  </si>
  <si>
    <t>20260515</t>
  </si>
  <si>
    <t>20260518</t>
  </si>
  <si>
    <t>20260519</t>
  </si>
  <si>
    <t>20260520</t>
  </si>
  <si>
    <t>20260521</t>
  </si>
  <si>
    <t>20260522</t>
  </si>
  <si>
    <t>20260525</t>
  </si>
  <si>
    <t>20260526</t>
  </si>
  <si>
    <t>20260527</t>
  </si>
  <si>
    <t>20260528</t>
  </si>
  <si>
    <t>20260529</t>
  </si>
  <si>
    <t>20260601</t>
  </si>
  <si>
    <t>20260602</t>
  </si>
  <si>
    <t>20260603</t>
  </si>
  <si>
    <t>20260604</t>
  </si>
  <si>
    <t>20260605</t>
  </si>
  <si>
    <t>20260608</t>
  </si>
  <si>
    <t>20260609</t>
  </si>
  <si>
    <t>20260610</t>
  </si>
  <si>
    <t>20260611</t>
  </si>
  <si>
    <t>20260612</t>
  </si>
  <si>
    <t>20260615</t>
  </si>
  <si>
    <t>20260616</t>
  </si>
  <si>
    <t>20260617</t>
  </si>
  <si>
    <t>20260618</t>
  </si>
  <si>
    <t>20260619</t>
  </si>
  <si>
    <t>20260622</t>
  </si>
  <si>
    <t>20260623</t>
  </si>
  <si>
    <t>UK</t>
  </si>
  <si>
    <t>Germany</t>
  </si>
  <si>
    <t>US</t>
  </si>
  <si>
    <t>$/£ (LHS)</t>
  </si>
  <si>
    <t>€/£ (RHS)</t>
  </si>
  <si>
    <t>Gilt-German bund spread (RHS)</t>
  </si>
  <si>
    <t>Gilt-US Treasury spread (LHS)</t>
  </si>
  <si>
    <t>24-Jun-2026</t>
  </si>
  <si>
    <t>Jun-25-2026 09:33</t>
  </si>
  <si>
    <t>20260624</t>
  </si>
  <si>
    <t>Jun-25-2026 20:50</t>
  </si>
  <si>
    <t>25-Jun-2026</t>
  </si>
  <si>
    <t>Jun-25-2026 21:05</t>
  </si>
  <si>
    <t>20260625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</si>
</sst>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89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4877746827607552"/>
          <c:h val="0.80050031269543465"/>
        </c:manualLayout>
      </c:layout>
      <c:lineChart>
        <c:grouping val="standard"/>
        <c:varyColors val="0"/>
        <c:ser>
          <c:idx val="1"/>
          <c:order val="0"/>
          <c:tx>
            <c:strRef>
              <c:f>HAVERD!$I$1</c:f>
              <c:strCache>
                <c:ptCount val="1"/>
                <c:pt idx="0">
                  <c:v>Gilt-US Treasury spread (LHS)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HAVERD!$I$115:$I$133</c:f>
              <c:numCache>
                <c:formatCode>0.0000</c:formatCode>
                <c:ptCount val="19"/>
                <c:pt idx="0">
                  <c:v>0.41000000000000014</c:v>
                </c:pt>
                <c:pt idx="1">
                  <c:v>0.41000000000000014</c:v>
                </c:pt>
                <c:pt idx="2">
                  <c:v>0.45000000000000018</c:v>
                </c:pt>
                <c:pt idx="3">
                  <c:v>0.41999999999999993</c:v>
                </c:pt>
                <c:pt idx="4">
                  <c:v>0.33000000000000007</c:v>
                </c:pt>
                <c:pt idx="5">
                  <c:v>0.38000000000000078</c:v>
                </c:pt>
                <c:pt idx="6">
                  <c:v>0.37999999999999989</c:v>
                </c:pt>
                <c:pt idx="7">
                  <c:v>0.40000000000000036</c:v>
                </c:pt>
                <c:pt idx="8">
                  <c:v>0.45999999999999996</c:v>
                </c:pt>
                <c:pt idx="9">
                  <c:v>0.34999999999999964</c:v>
                </c:pt>
                <c:pt idx="10">
                  <c:v>0.35000000000000053</c:v>
                </c:pt>
                <c:pt idx="11">
                  <c:v>0.33999999999999986</c:v>
                </c:pt>
                <c:pt idx="12">
                  <c:v>0.25999999999999979</c:v>
                </c:pt>
                <c:pt idx="13">
                  <c:v>0.29999999999999982</c:v>
                </c:pt>
                <c:pt idx="14">
                  <c:v>#N/A</c:v>
                </c:pt>
                <c:pt idx="15">
                  <c:v>0.29999999999999982</c:v>
                </c:pt>
                <c:pt idx="16">
                  <c:v>0.25</c:v>
                </c:pt>
                <c:pt idx="17">
                  <c:v>0.28000000000000025</c:v>
                </c:pt>
                <c:pt idx="18">
                  <c:v>0.30999999999999961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2-4761-B4AC-66D1458F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lineChart>
        <c:grouping val="standard"/>
        <c:varyColors val="0"/>
        <c:ser>
          <c:idx val="0"/>
          <c:order val="1"/>
          <c:tx>
            <c:strRef>
              <c:f>HAVERD!$J$1</c:f>
              <c:strCache>
                <c:ptCount val="1"/>
                <c:pt idx="0">
                  <c:v>Gilt-German bund spread (RHS)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HAVERD!$J$115:$J$133</c:f>
              <c:numCache>
                <c:formatCode>0.0000</c:formatCode>
                <c:ptCount val="19"/>
                <c:pt idx="0">
                  <c:v>1.9</c:v>
                </c:pt>
                <c:pt idx="1">
                  <c:v>1.88</c:v>
                </c:pt>
                <c:pt idx="2">
                  <c:v>1.9100000000000006</c:v>
                </c:pt>
                <c:pt idx="3">
                  <c:v>1.8699999999999997</c:v>
                </c:pt>
                <c:pt idx="4">
                  <c:v>1.85</c:v>
                </c:pt>
                <c:pt idx="5">
                  <c:v>1.8800000000000003</c:v>
                </c:pt>
                <c:pt idx="6">
                  <c:v>1.8600000000000003</c:v>
                </c:pt>
                <c:pt idx="7">
                  <c:v>1.87</c:v>
                </c:pt>
                <c:pt idx="8">
                  <c:v>1.8800000000000003</c:v>
                </c:pt>
                <c:pt idx="9">
                  <c:v>1.83</c:v>
                </c:pt>
                <c:pt idx="10">
                  <c:v>1.85</c:v>
                </c:pt>
                <c:pt idx="11">
                  <c:v>1.8399999999999994</c:v>
                </c:pt>
                <c:pt idx="12">
                  <c:v>1.8199999999999998</c:v>
                </c:pt>
                <c:pt idx="13">
                  <c:v>1.8199999999999998</c:v>
                </c:pt>
                <c:pt idx="14">
                  <c:v>1.8499999999999996</c:v>
                </c:pt>
                <c:pt idx="15">
                  <c:v>1.8499999999999996</c:v>
                </c:pt>
                <c:pt idx="16">
                  <c:v>1.83</c:v>
                </c:pt>
                <c:pt idx="17">
                  <c:v>1.8200000000000003</c:v>
                </c:pt>
                <c:pt idx="18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2-4761-B4AC-66D1458F8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194847"/>
        <c:axId val="1277194367"/>
      </c:lineChart>
      <c:dateAx>
        <c:axId val="274926592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7"/>
        <c:majorTimeUnit val="days"/>
      </c:dateAx>
      <c:valAx>
        <c:axId val="274950400"/>
        <c:scaling>
          <c:orientation val="minMax"/>
          <c:max val="0.5"/>
          <c:min val="0.2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valAx>
        <c:axId val="1277194367"/>
        <c:scaling>
          <c:orientation val="minMax"/>
          <c:min val="1.8"/>
        </c:scaling>
        <c:delete val="0"/>
        <c:axPos val="r"/>
        <c:numFmt formatCode="0.0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>
                <a:latin typeface="Poppins Light" panose="00000400000000000000" pitchFamily="2" charset="0"/>
                <a:cs typeface="Poppins Light" panose="00000400000000000000" pitchFamily="2" charset="0"/>
              </a:defRPr>
            </a:pPr>
            <a:endParaRPr lang="en-US"/>
          </a:p>
        </c:txPr>
        <c:crossAx val="1277194847"/>
        <c:crosses val="max"/>
        <c:crossBetween val="between"/>
      </c:valAx>
      <c:dateAx>
        <c:axId val="127719484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77194367"/>
        <c:crosses val="autoZero"/>
        <c:auto val="1"/>
        <c:lblOffset val="100"/>
        <c:baseTimeUnit val="days"/>
        <c:majorUnit val="1"/>
        <c:minorUnit val="1"/>
      </c:date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627891221118251E-2"/>
          <c:y val="8.1475922451532179E-2"/>
          <c:w val="0.29214572412431733"/>
          <c:h val="0.10909298626602258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HAVERD!$F$1</c:f>
              <c:strCache>
                <c:ptCount val="1"/>
                <c:pt idx="0">
                  <c:v>$/£ (LHS)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HAVERD!$F$115:$F$133</c:f>
              <c:numCache>
                <c:formatCode>0.0000</c:formatCode>
                <c:ptCount val="19"/>
                <c:pt idx="0">
                  <c:v>1.3436999999999999</c:v>
                </c:pt>
                <c:pt idx="1">
                  <c:v>1.3472</c:v>
                </c:pt>
                <c:pt idx="2">
                  <c:v>1.3436999999999999</c:v>
                </c:pt>
                <c:pt idx="3">
                  <c:v>1.3445</c:v>
                </c:pt>
                <c:pt idx="4">
                  <c:v>1.3387</c:v>
                </c:pt>
                <c:pt idx="5">
                  <c:v>1.3344</c:v>
                </c:pt>
                <c:pt idx="6">
                  <c:v>1.3398000000000001</c:v>
                </c:pt>
                <c:pt idx="7">
                  <c:v>1.3402000000000001</c:v>
                </c:pt>
                <c:pt idx="8">
                  <c:v>1.3328</c:v>
                </c:pt>
                <c:pt idx="9">
                  <c:v>1.3412999999999999</c:v>
                </c:pt>
                <c:pt idx="10">
                  <c:v>1.3441000000000001</c:v>
                </c:pt>
                <c:pt idx="11">
                  <c:v>1.3428</c:v>
                </c:pt>
                <c:pt idx="12">
                  <c:v>1.3393999999999999</c:v>
                </c:pt>
                <c:pt idx="13">
                  <c:v>1.3252999999999999</c:v>
                </c:pt>
                <c:pt idx="14">
                  <c:v>1.3230999999999999</c:v>
                </c:pt>
                <c:pt idx="15">
                  <c:v>1.3262</c:v>
                </c:pt>
                <c:pt idx="16">
                  <c:v>1.3201000000000001</c:v>
                </c:pt>
                <c:pt idx="17">
                  <c:v>1.3148</c:v>
                </c:pt>
                <c:pt idx="18">
                  <c:v>1.3208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C-4057-AA10-580322FAC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lineChart>
        <c:grouping val="standard"/>
        <c:varyColors val="0"/>
        <c:ser>
          <c:idx val="1"/>
          <c:order val="1"/>
          <c:tx>
            <c:strRef>
              <c:f>HAVERD!$G$1</c:f>
              <c:strCache>
                <c:ptCount val="1"/>
                <c:pt idx="0">
                  <c:v>€/£ (RHS)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HAVERD!$G$115:$G$133</c:f>
              <c:numCache>
                <c:formatCode>0.0000</c:formatCode>
                <c:ptCount val="19"/>
                <c:pt idx="0">
                  <c:v>1.1567000000000001</c:v>
                </c:pt>
                <c:pt idx="1">
                  <c:v>1.157</c:v>
                </c:pt>
                <c:pt idx="2">
                  <c:v>1.1571</c:v>
                </c:pt>
                <c:pt idx="3">
                  <c:v>1.1559999999999999</c:v>
                </c:pt>
                <c:pt idx="4">
                  <c:v>1.1580999999999999</c:v>
                </c:pt>
                <c:pt idx="5">
                  <c:v>1.1559999999999999</c:v>
                </c:pt>
                <c:pt idx="6">
                  <c:v>1.1587000000000001</c:v>
                </c:pt>
                <c:pt idx="7">
                  <c:v>1.1600999999999999</c:v>
                </c:pt>
                <c:pt idx="8">
                  <c:v>1.157</c:v>
                </c:pt>
                <c:pt idx="9">
                  <c:v>1.1589</c:v>
                </c:pt>
                <c:pt idx="10">
                  <c:v>1.1578999999999999</c:v>
                </c:pt>
                <c:pt idx="11">
                  <c:v>1.1568000000000001</c:v>
                </c:pt>
                <c:pt idx="12">
                  <c:v>1.1556999999999999</c:v>
                </c:pt>
                <c:pt idx="13">
                  <c:v>1.1536999999999999</c:v>
                </c:pt>
                <c:pt idx="14">
                  <c:v>1.1536</c:v>
                </c:pt>
                <c:pt idx="15">
                  <c:v>1.1588000000000001</c:v>
                </c:pt>
                <c:pt idx="16">
                  <c:v>1.1597999999999999</c:v>
                </c:pt>
                <c:pt idx="17">
                  <c:v>1.1592</c:v>
                </c:pt>
                <c:pt idx="18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C-4057-AA10-580322FAC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98063"/>
        <c:axId val="1398401008"/>
      </c:lineChart>
      <c:dateAx>
        <c:axId val="274926592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7"/>
        <c:majorTimeUnit val="days"/>
      </c:dateAx>
      <c:valAx>
        <c:axId val="274950400"/>
        <c:scaling>
          <c:orientation val="minMax"/>
          <c:min val="1.31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1.0000000000000002E-2"/>
      </c:valAx>
      <c:valAx>
        <c:axId val="1398401008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129698063"/>
        <c:crosses val="max"/>
        <c:crossBetween val="between"/>
        <c:majorUnit val="1.0000000000000002E-2"/>
      </c:valAx>
      <c:dateAx>
        <c:axId val="1296980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8401008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227601345228267"/>
          <c:y val="8.7554721701063168E-2"/>
          <c:w val="0.51544797309543466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HAVERD!$J$1</c:f>
              <c:strCache>
                <c:ptCount val="1"/>
                <c:pt idx="0">
                  <c:v>Gilt-German bund spread (RHS)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HAVERD!$J$115:$J$133</c:f>
              <c:numCache>
                <c:formatCode>0.0000</c:formatCode>
                <c:ptCount val="19"/>
                <c:pt idx="0">
                  <c:v>1.9</c:v>
                </c:pt>
                <c:pt idx="1">
                  <c:v>1.88</c:v>
                </c:pt>
                <c:pt idx="2">
                  <c:v>1.9100000000000006</c:v>
                </c:pt>
                <c:pt idx="3">
                  <c:v>1.8699999999999997</c:v>
                </c:pt>
                <c:pt idx="4">
                  <c:v>1.85</c:v>
                </c:pt>
                <c:pt idx="5">
                  <c:v>1.8800000000000003</c:v>
                </c:pt>
                <c:pt idx="6">
                  <c:v>1.8600000000000003</c:v>
                </c:pt>
                <c:pt idx="7">
                  <c:v>1.87</c:v>
                </c:pt>
                <c:pt idx="8">
                  <c:v>1.8800000000000003</c:v>
                </c:pt>
                <c:pt idx="9">
                  <c:v>1.83</c:v>
                </c:pt>
                <c:pt idx="10">
                  <c:v>1.85</c:v>
                </c:pt>
                <c:pt idx="11">
                  <c:v>1.8399999999999994</c:v>
                </c:pt>
                <c:pt idx="12">
                  <c:v>1.8199999999999998</c:v>
                </c:pt>
                <c:pt idx="13">
                  <c:v>1.8199999999999998</c:v>
                </c:pt>
                <c:pt idx="14">
                  <c:v>1.8499999999999996</c:v>
                </c:pt>
                <c:pt idx="15">
                  <c:v>1.8499999999999996</c:v>
                </c:pt>
                <c:pt idx="16">
                  <c:v>1.83</c:v>
                </c:pt>
                <c:pt idx="17">
                  <c:v>1.8200000000000003</c:v>
                </c:pt>
                <c:pt idx="18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C-4821-8A72-9A7E1793A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lineChart>
        <c:grouping val="standard"/>
        <c:varyColors val="0"/>
        <c:ser>
          <c:idx val="1"/>
          <c:order val="1"/>
          <c:tx>
            <c:strRef>
              <c:f>HAVERD!$I$1</c:f>
              <c:strCache>
                <c:ptCount val="1"/>
                <c:pt idx="0">
                  <c:v>Gilt-US Treasury spread (LHS)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HAVERD!$I$115:$I$133</c:f>
              <c:numCache>
                <c:formatCode>0.0000</c:formatCode>
                <c:ptCount val="19"/>
                <c:pt idx="0">
                  <c:v>0.41000000000000014</c:v>
                </c:pt>
                <c:pt idx="1">
                  <c:v>0.41000000000000014</c:v>
                </c:pt>
                <c:pt idx="2">
                  <c:v>0.45000000000000018</c:v>
                </c:pt>
                <c:pt idx="3">
                  <c:v>0.41999999999999993</c:v>
                </c:pt>
                <c:pt idx="4">
                  <c:v>0.33000000000000007</c:v>
                </c:pt>
                <c:pt idx="5">
                  <c:v>0.38000000000000078</c:v>
                </c:pt>
                <c:pt idx="6">
                  <c:v>0.37999999999999989</c:v>
                </c:pt>
                <c:pt idx="7">
                  <c:v>0.40000000000000036</c:v>
                </c:pt>
                <c:pt idx="8">
                  <c:v>0.45999999999999996</c:v>
                </c:pt>
                <c:pt idx="9">
                  <c:v>0.34999999999999964</c:v>
                </c:pt>
                <c:pt idx="10">
                  <c:v>0.35000000000000053</c:v>
                </c:pt>
                <c:pt idx="11">
                  <c:v>0.33999999999999986</c:v>
                </c:pt>
                <c:pt idx="12">
                  <c:v>0.25999999999999979</c:v>
                </c:pt>
                <c:pt idx="13">
                  <c:v>0.29999999999999982</c:v>
                </c:pt>
                <c:pt idx="14">
                  <c:v>#N/A</c:v>
                </c:pt>
                <c:pt idx="15">
                  <c:v>0.29999999999999982</c:v>
                </c:pt>
                <c:pt idx="16">
                  <c:v>0.25</c:v>
                </c:pt>
                <c:pt idx="17">
                  <c:v>0.28000000000000025</c:v>
                </c:pt>
                <c:pt idx="18">
                  <c:v>0.30999999999999961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C-4821-8A72-9A7E1793A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98063"/>
        <c:axId val="1398401008"/>
      </c:lineChart>
      <c:dateAx>
        <c:axId val="274926592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7"/>
        <c:majorTimeUnit val="days"/>
      </c:date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</c:valAx>
      <c:valAx>
        <c:axId val="1398401008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129698063"/>
        <c:crosses val="max"/>
        <c:crossBetween val="between"/>
      </c:valAx>
      <c:dateAx>
        <c:axId val="1296980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8401008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9169141461774103"/>
          <c:y val="8.7554721701063168E-2"/>
          <c:w val="0.6559798409599914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20272361497988E-3"/>
          <c:y val="0.12757973733583489"/>
          <c:w val="0.99504797276385015"/>
          <c:h val="0.80050031269543465"/>
        </c:manualLayout>
      </c:layout>
      <c:lineChart>
        <c:grouping val="standard"/>
        <c:varyColors val="0"/>
        <c:ser>
          <c:idx val="0"/>
          <c:order val="0"/>
          <c:tx>
            <c:strRef>
              <c:f>HAVERD!$F$1</c:f>
              <c:strCache>
                <c:ptCount val="1"/>
                <c:pt idx="0">
                  <c:v>$/£ (LHS)</c:v>
                </c:pt>
              </c:strCache>
            </c:strRef>
          </c:tx>
          <c:spPr>
            <a:ln w="25400">
              <a:solidFill>
                <a:srgbClr val="003466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HAVERD!$F$115:$F$133</c:f>
              <c:numCache>
                <c:formatCode>0.0000</c:formatCode>
                <c:ptCount val="19"/>
                <c:pt idx="0">
                  <c:v>1.3436999999999999</c:v>
                </c:pt>
                <c:pt idx="1">
                  <c:v>1.3472</c:v>
                </c:pt>
                <c:pt idx="2">
                  <c:v>1.3436999999999999</c:v>
                </c:pt>
                <c:pt idx="3">
                  <c:v>1.3445</c:v>
                </c:pt>
                <c:pt idx="4">
                  <c:v>1.3387</c:v>
                </c:pt>
                <c:pt idx="5">
                  <c:v>1.3344</c:v>
                </c:pt>
                <c:pt idx="6">
                  <c:v>1.3398000000000001</c:v>
                </c:pt>
                <c:pt idx="7">
                  <c:v>1.3402000000000001</c:v>
                </c:pt>
                <c:pt idx="8">
                  <c:v>1.3328</c:v>
                </c:pt>
                <c:pt idx="9">
                  <c:v>1.3412999999999999</c:v>
                </c:pt>
                <c:pt idx="10">
                  <c:v>1.3441000000000001</c:v>
                </c:pt>
                <c:pt idx="11">
                  <c:v>1.3428</c:v>
                </c:pt>
                <c:pt idx="12">
                  <c:v>1.3393999999999999</c:v>
                </c:pt>
                <c:pt idx="13">
                  <c:v>1.3252999999999999</c:v>
                </c:pt>
                <c:pt idx="14">
                  <c:v>1.3230999999999999</c:v>
                </c:pt>
                <c:pt idx="15">
                  <c:v>1.3262</c:v>
                </c:pt>
                <c:pt idx="16">
                  <c:v>1.3201000000000001</c:v>
                </c:pt>
                <c:pt idx="17">
                  <c:v>1.3148</c:v>
                </c:pt>
                <c:pt idx="18">
                  <c:v>1.3208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C-4821-8A72-9A7E1793A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926592"/>
        <c:axId val="274950400"/>
      </c:lineChart>
      <c:lineChart>
        <c:grouping val="standard"/>
        <c:varyColors val="0"/>
        <c:ser>
          <c:idx val="1"/>
          <c:order val="1"/>
          <c:tx>
            <c:strRef>
              <c:f>HAVERD!$G$1</c:f>
              <c:strCache>
                <c:ptCount val="1"/>
                <c:pt idx="0">
                  <c:v>€/£ (RHS)</c:v>
                </c:pt>
              </c:strCache>
            </c:strRef>
          </c:tx>
          <c:spPr>
            <a:ln w="25400">
              <a:solidFill>
                <a:srgbClr val="EF4130"/>
              </a:solidFill>
            </a:ln>
            <a:effectLst/>
          </c:spPr>
          <c:marker>
            <c:symbol val="none"/>
          </c:marker>
          <c:cat>
            <c:numRef>
              <c:f>HAVERD!$A$115:$A$133</c:f>
              <c:numCache>
                <c:formatCode>m/d/yyyy</c:formatCode>
                <c:ptCount val="19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46188</c:v>
                </c:pt>
                <c:pt idx="11">
                  <c:v>46189</c:v>
                </c:pt>
                <c:pt idx="12">
                  <c:v>46190</c:v>
                </c:pt>
                <c:pt idx="13">
                  <c:v>46191</c:v>
                </c:pt>
                <c:pt idx="14">
                  <c:v>46192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</c:numCache>
            </c:numRef>
          </c:cat>
          <c:val>
            <c:numRef>
              <c:f>HAVERD!$G$115:$G$133</c:f>
              <c:numCache>
                <c:formatCode>0.0000</c:formatCode>
                <c:ptCount val="19"/>
                <c:pt idx="0">
                  <c:v>1.1567000000000001</c:v>
                </c:pt>
                <c:pt idx="1">
                  <c:v>1.157</c:v>
                </c:pt>
                <c:pt idx="2">
                  <c:v>1.1571</c:v>
                </c:pt>
                <c:pt idx="3">
                  <c:v>1.1559999999999999</c:v>
                </c:pt>
                <c:pt idx="4">
                  <c:v>1.1580999999999999</c:v>
                </c:pt>
                <c:pt idx="5">
                  <c:v>1.1559999999999999</c:v>
                </c:pt>
                <c:pt idx="6">
                  <c:v>1.1587000000000001</c:v>
                </c:pt>
                <c:pt idx="7">
                  <c:v>1.1600999999999999</c:v>
                </c:pt>
                <c:pt idx="8">
                  <c:v>1.157</c:v>
                </c:pt>
                <c:pt idx="9">
                  <c:v>1.1589</c:v>
                </c:pt>
                <c:pt idx="10">
                  <c:v>1.1578999999999999</c:v>
                </c:pt>
                <c:pt idx="11">
                  <c:v>1.1568000000000001</c:v>
                </c:pt>
                <c:pt idx="12">
                  <c:v>1.1556999999999999</c:v>
                </c:pt>
                <c:pt idx="13">
                  <c:v>1.1536999999999999</c:v>
                </c:pt>
                <c:pt idx="14">
                  <c:v>1.1536</c:v>
                </c:pt>
                <c:pt idx="15">
                  <c:v>1.1588000000000001</c:v>
                </c:pt>
                <c:pt idx="16">
                  <c:v>1.1597999999999999</c:v>
                </c:pt>
                <c:pt idx="17">
                  <c:v>1.1592</c:v>
                </c:pt>
                <c:pt idx="18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C-4821-8A72-9A7E1793A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698063"/>
        <c:axId val="1398401008"/>
      </c:lineChart>
      <c:dateAx>
        <c:axId val="274926592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Offset val="100"/>
        <c:baseTimeUnit val="days"/>
        <c:majorUnit val="7"/>
        <c:majorTimeUnit val="days"/>
      </c:dateAx>
      <c:valAx>
        <c:axId val="274950400"/>
        <c:scaling>
          <c:orientation val="minMax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.00" sourceLinked="0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midCat"/>
        <c:majorUnit val="1.0000000000000002E-2"/>
      </c:valAx>
      <c:valAx>
        <c:axId val="1398401008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30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129698063"/>
        <c:crosses val="max"/>
        <c:crossBetween val="between"/>
        <c:majorUnit val="1.0000000000000002E-2"/>
      </c:valAx>
      <c:dateAx>
        <c:axId val="1296980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98401008"/>
        <c:crosses val="autoZero"/>
        <c:auto val="1"/>
        <c:lblOffset val="100"/>
        <c:baseTimeUnit val="day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967655853603257"/>
          <c:y val="8.2551594746716694E-2"/>
          <c:w val="0.24950808725510981"/>
          <c:h val="6.3301965303117602E-2"/>
        </c:manualLayout>
      </c:layout>
      <c:overlay val="1"/>
      <c:spPr>
        <a:solidFill>
          <a:srgbClr val="FFFFFF"/>
        </a:solidFill>
      </c:spPr>
      <c:txPr>
        <a:bodyPr/>
        <a:lstStyle/>
        <a:p>
          <a:pPr>
            <a:defRPr sz="1300">
              <a:solidFill>
                <a:srgbClr val="000000"/>
              </a:solidFill>
              <a:latin typeface="Poppins Light"/>
              <a:ea typeface="Poppins Light"/>
              <a:cs typeface="Poppins Ligh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8D65DD-C1E7-4776-B297-65BDCED819AC}">
  <sheetPr/>
  <sheetViews>
    <sheetView tabSelected="1" workbookViewId="0"/>
  </sheetViews>
  <pageMargins left="0.1" right="0.1" top="1.3" bottom="1.3" header="1.3" footer="1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56E9B1-FF98-4C05-9DFE-853C4D25D7B0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3B3053-01F6-461E-9E25-7ECCAB34BFA6}">
  <sheetPr/>
  <sheetViews>
    <sheetView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67950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38A41-979A-21DD-BCE8-ACB27A4CE5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592752C4-EAEC-C911-A18B-61564F9439F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AE5E000-29E9-6D7F-6E56-64747C0916D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10-year government bond spreads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BB89679-B99B-3877-3E08-B1B3802950A4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0.07019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D1D958F-3804-5933-BE2A-FD3EC6A2DD4C}"/>
            </a:ext>
          </a:extLst>
        </cdr:cNvPr>
        <cdr:cNvSpPr txBox="1"/>
      </cdr:nvSpPr>
      <cdr:spPr>
        <a:xfrm xmlns:a="http://schemas.openxmlformats.org/drawingml/2006/main">
          <a:off x="0" y="381016"/>
          <a:ext cx="720000" cy="279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</cdr:x>
      <cdr:y>0.06629</cdr:y>
    </cdr:from>
    <cdr:to>
      <cdr:x>1</cdr:x>
      <cdr:y>0.12133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736F9B5-3F7D-CD4A-2679-9D5EA1033F8F}"/>
            </a:ext>
          </a:extLst>
        </cdr:cNvPr>
        <cdr:cNvSpPr txBox="1"/>
      </cdr:nvSpPr>
      <cdr:spPr>
        <a:xfrm xmlns:a="http://schemas.openxmlformats.org/drawingml/2006/main">
          <a:off x="0" y="336550"/>
          <a:ext cx="1025842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0.51594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752DE4CC-B0E3-F892-5578-8D75DC50D299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0.42742</cdr:x>
      <cdr:y>0.0738</cdr:y>
    </cdr:from>
    <cdr:to>
      <cdr:x>0.49761</cdr:x>
      <cdr:y>0.12883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E36A7EC-1818-7593-62A1-492F503108A5}"/>
            </a:ext>
          </a:extLst>
        </cdr:cNvPr>
        <cdr:cNvSpPr txBox="1"/>
      </cdr:nvSpPr>
      <cdr:spPr>
        <a:xfrm xmlns:a="http://schemas.openxmlformats.org/drawingml/2006/main">
          <a:off x="4384675" y="374650"/>
          <a:ext cx="720000" cy="2793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0.38347</cdr:x>
      <cdr:y>0.19887</cdr:y>
    </cdr:from>
    <cdr:to>
      <cdr:x>0.38347</cdr:x>
      <cdr:y>0.7307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1782277-D40F-1E34-FF6D-34A2AC9B02C6}"/>
            </a:ext>
          </a:extLst>
        </cdr:cNvPr>
        <cdr:cNvCxnSpPr/>
      </cdr:nvCxnSpPr>
      <cdr:spPr>
        <a:xfrm xmlns:a="http://schemas.openxmlformats.org/drawingml/2006/main" flipH="1">
          <a:off x="3933825" y="1009650"/>
          <a:ext cx="0" cy="2700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7D8992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0.33612</cdr:x>
      <cdr:y>0.73546</cdr:y>
    </cdr:from>
    <cdr:to>
      <cdr:x>0.43175</cdr:x>
      <cdr:y>0.85178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A65B6DBE-5934-A887-ABD4-B8431E10F383}"/>
            </a:ext>
          </a:extLst>
        </cdr:cNvPr>
        <cdr:cNvSpPr txBox="1"/>
      </cdr:nvSpPr>
      <cdr:spPr>
        <a:xfrm xmlns:a="http://schemas.openxmlformats.org/drawingml/2006/main">
          <a:off x="3448050" y="3733800"/>
          <a:ext cx="981075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 algn="ct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ea typeface="+mn-ea"/>
              <a:cs typeface="Poppins Light" panose="00000400000000000000" pitchFamily="2" charset="0"/>
            </a:rPr>
            <a:t>Starmer resigns</a:t>
          </a:r>
        </a:p>
      </cdr:txBody>
    </cdr:sp>
  </cdr:relSizeAnchor>
  <cdr:relSizeAnchor xmlns:cdr="http://schemas.openxmlformats.org/drawingml/2006/chartDrawing">
    <cdr:from>
      <cdr:x>0.22779</cdr:x>
      <cdr:y>0.73609</cdr:y>
    </cdr:from>
    <cdr:to>
      <cdr:x>0.32343</cdr:x>
      <cdr:y>0.85241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BD195D79-7B91-250C-BA76-788423C88A0C}"/>
            </a:ext>
          </a:extLst>
        </cdr:cNvPr>
        <cdr:cNvSpPr txBox="1"/>
      </cdr:nvSpPr>
      <cdr:spPr>
        <a:xfrm xmlns:a="http://schemas.openxmlformats.org/drawingml/2006/main">
          <a:off x="2336800" y="3736975"/>
          <a:ext cx="981075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ea typeface="+mn-ea"/>
              <a:cs typeface="Poppins Light" panose="00000400000000000000" pitchFamily="2" charset="0"/>
            </a:rPr>
            <a:t>US-Iran deal</a:t>
          </a:r>
        </a:p>
      </cdr:txBody>
    </cdr:sp>
  </cdr:relSizeAnchor>
  <cdr:relSizeAnchor xmlns:cdr="http://schemas.openxmlformats.org/drawingml/2006/chartDrawing">
    <cdr:from>
      <cdr:x>0.27422</cdr:x>
      <cdr:y>0.19762</cdr:y>
    </cdr:from>
    <cdr:to>
      <cdr:x>0.27422</cdr:x>
      <cdr:y>0.72945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E4478B48-5408-1DC0-1558-3CB85E2BF2FF}"/>
            </a:ext>
          </a:extLst>
        </cdr:cNvPr>
        <cdr:cNvCxnSpPr/>
      </cdr:nvCxnSpPr>
      <cdr:spPr>
        <a:xfrm xmlns:a="http://schemas.openxmlformats.org/drawingml/2006/main" flipH="1">
          <a:off x="2813050" y="1003300"/>
          <a:ext cx="0" cy="2700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7D8992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592752C4-EAEC-C911-A18B-61564F9439F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0.01001</cdr:y>
    </cdr:from>
    <cdr:to>
      <cdr:x>1</cdr:x>
      <cdr:y>0.09082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6AD0A3CE-C390-6E82-BB38-A9A4BCBC256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0258425" cy="4102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Exchange rates</a:t>
          </a:r>
        </a:p>
      </cdr:txBody>
    </cdr:sp>
  </cdr:relSizeAnchor>
  <cdr:relSizeAnchor xmlns:cdr="http://schemas.openxmlformats.org/drawingml/2006/chartDrawing">
    <cdr:from>
      <cdr:x>0.56266</cdr:x>
      <cdr:y>0.15447</cdr:y>
    </cdr:from>
    <cdr:to>
      <cdr:x>0.56266</cdr:x>
      <cdr:y>0.74303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E4478B48-5408-1DC0-1558-3CB85E2BF2FF}"/>
            </a:ext>
          </a:extLst>
        </cdr:cNvPr>
        <cdr:cNvCxnSpPr/>
      </cdr:nvCxnSpPr>
      <cdr:spPr>
        <a:xfrm xmlns:a="http://schemas.openxmlformats.org/drawingml/2006/main" flipH="1">
          <a:off x="2794000" y="784225"/>
          <a:ext cx="0" cy="2988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7D8992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0.7954</cdr:x>
      <cdr:y>0.1551</cdr:y>
    </cdr:from>
    <cdr:to>
      <cdr:x>0.7954</cdr:x>
      <cdr:y>0.74365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D814594E-5689-81E9-B1C2-4C8C4026377A}"/>
            </a:ext>
          </a:extLst>
        </cdr:cNvPr>
        <cdr:cNvCxnSpPr/>
      </cdr:nvCxnSpPr>
      <cdr:spPr>
        <a:xfrm xmlns:a="http://schemas.openxmlformats.org/drawingml/2006/main" flipH="1">
          <a:off x="3949700" y="787400"/>
          <a:ext cx="0" cy="2988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7D8992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0.47059</cdr:x>
      <cdr:y>0.73609</cdr:y>
    </cdr:from>
    <cdr:to>
      <cdr:x>0.66816</cdr:x>
      <cdr:y>0.85241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A0C96699-CF17-B15F-277E-C5CA001C7A34}"/>
            </a:ext>
          </a:extLst>
        </cdr:cNvPr>
        <cdr:cNvSpPr txBox="1"/>
      </cdr:nvSpPr>
      <cdr:spPr>
        <a:xfrm xmlns:a="http://schemas.openxmlformats.org/drawingml/2006/main">
          <a:off x="2336800" y="3736975"/>
          <a:ext cx="981075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ea typeface="+mn-ea"/>
              <a:cs typeface="Poppins Light" panose="00000400000000000000" pitchFamily="2" charset="0"/>
            </a:rPr>
            <a:t>US-Iran deal</a:t>
          </a:r>
        </a:p>
      </cdr:txBody>
    </cdr:sp>
  </cdr:relSizeAnchor>
  <cdr:relSizeAnchor xmlns:cdr="http://schemas.openxmlformats.org/drawingml/2006/chartDrawing">
    <cdr:from>
      <cdr:x>0.68351</cdr:x>
      <cdr:y>0.73797</cdr:y>
    </cdr:from>
    <cdr:to>
      <cdr:x>0.88108</cdr:x>
      <cdr:y>0.85429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B457D65A-32DD-0AC3-D7BF-7FD7618C1028}"/>
            </a:ext>
          </a:extLst>
        </cdr:cNvPr>
        <cdr:cNvSpPr txBox="1"/>
      </cdr:nvSpPr>
      <cdr:spPr>
        <a:xfrm xmlns:a="http://schemas.openxmlformats.org/drawingml/2006/main">
          <a:off x="3397261" y="3746525"/>
          <a:ext cx="981983" cy="590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ea typeface="+mn-ea"/>
              <a:cs typeface="Poppins Light" panose="00000400000000000000" pitchFamily="2" charset="0"/>
            </a:rPr>
            <a:t>Starmer resigns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762D1-CA68-9A77-FBDB-8A9537BC34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592752C4-EAEC-C911-A18B-61564F9439F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AE5E000-29E9-6D7F-6E56-64747C0916D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10-year government</a:t>
          </a:r>
          <a:r>
            <a:rPr lang="en-GB" sz="1400" b="0" kern="1200" baseline="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 bond spreads</a:t>
          </a:r>
          <a:endParaRPr lang="en-GB" sz="1400" b="0" kern="1200">
            <a:solidFill>
              <a:srgbClr val="000000"/>
            </a:solidFill>
            <a:latin typeface="Poppins Medium" panose="00000600000000000000" pitchFamily="2" charset="0"/>
            <a:cs typeface="Poppins Medium" panose="00000600000000000000" pitchFamily="2" charset="0"/>
          </a:endParaRP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DBB89679-B99B-3877-3E08-B1B3802950A4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0.07505</cdr:y>
    </cdr:from>
    <cdr:to>
      <cdr:x>1</cdr:x>
      <cdr:y>0.13008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D1D958F-3804-5933-BE2A-FD3EC6A2DD4C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</cdr:x>
      <cdr:y>0.06629</cdr:y>
    </cdr:from>
    <cdr:to>
      <cdr:x>1</cdr:x>
      <cdr:y>0.12133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736F9B5-3F7D-CD4A-2679-9D5EA1033F8F}"/>
            </a:ext>
          </a:extLst>
        </cdr:cNvPr>
        <cdr:cNvSpPr txBox="1"/>
      </cdr:nvSpPr>
      <cdr:spPr>
        <a:xfrm xmlns:a="http://schemas.openxmlformats.org/drawingml/2006/main">
          <a:off x="0" y="336550"/>
          <a:ext cx="1025842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0258425" cy="5076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76473-67EB-E722-790E-3DD2611CD6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" name="Text 2">
          <a:extLst xmlns:a="http://schemas.openxmlformats.org/drawingml/2006/main">
            <a:ext uri="{FF2B5EF4-FFF2-40B4-BE49-F238E27FC236}">
              <a16:creationId xmlns:a16="http://schemas.microsoft.com/office/drawing/2014/main" id="{592752C4-EAEC-C911-A18B-61564F9439F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CC9306B-1021-E38E-2456-83515FD97BA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Exchange rates</a:t>
          </a:r>
        </a:p>
      </cdr:txBody>
    </cdr:sp>
  </cdr:relSizeAnchor>
  <cdr:relSizeAnchor xmlns:cdr="http://schemas.openxmlformats.org/drawingml/2006/chartDrawing">
    <cdr:from>
      <cdr:x>0</cdr:x>
      <cdr:y>0.9247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87EDD99-0549-1261-4F50-785C79190DC9}"/>
            </a:ext>
          </a:extLst>
        </cdr:cNvPr>
        <cdr:cNvSpPr/>
      </cdr:nvSpPr>
      <cdr:spPr>
        <a:xfrm xmlns:a="http://schemas.openxmlformats.org/drawingml/2006/main">
          <a:off x="50800" y="4694555"/>
          <a:ext cx="1025842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Oxford Economics, Haver Analytics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30C5-FAFB-4871-8FDB-9FA71D1D0AEC}">
  <dimension ref="A1:P133"/>
  <sheetViews>
    <sheetView workbookViewId="0">
      <pane xSplit="2" ySplit="7" topLeftCell="C112" activePane="bottomRight" state="frozen"/>
      <selection pane="topRight" activeCell="B1" sqref="B1"/>
      <selection pane="bottomLeft" activeCell="A7" sqref="A7"/>
      <selection pane="bottomRight" activeCell="G134" sqref="G134"/>
    </sheetView>
  </sheetViews>
  <sheetFormatPr defaultRowHeight="15" x14ac:dyDescent="0.25"/>
  <cols>
    <col min="1" max="1" width="10.42578125" bestFit="1" customWidth="1"/>
    <col min="3" max="16" width="16.5703125" customWidth="1"/>
  </cols>
  <sheetData>
    <row r="1" spans="1:16" x14ac:dyDescent="0.25">
      <c r="C1" t="s">
        <v>148</v>
      </c>
      <c r="D1" t="s">
        <v>149</v>
      </c>
      <c r="E1" t="s">
        <v>150</v>
      </c>
      <c r="F1" t="s">
        <v>151</v>
      </c>
      <c r="G1" t="s">
        <v>152</v>
      </c>
      <c r="I1" t="s">
        <v>154</v>
      </c>
      <c r="J1" t="s">
        <v>153</v>
      </c>
    </row>
    <row r="2" spans="1:16" x14ac:dyDescent="0.25">
      <c r="B2" s="1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1:16" s="4" customFormat="1" ht="60" x14ac:dyDescent="0.25">
      <c r="B3" s="4" t="s">
        <v>11</v>
      </c>
      <c r="C3" s="4" t="s">
        <v>14</v>
      </c>
      <c r="D3" s="4" t="s">
        <v>16</v>
      </c>
      <c r="E3" s="4" t="s">
        <v>19</v>
      </c>
      <c r="F3" s="4" t="s">
        <v>22</v>
      </c>
      <c r="G3" s="4" t="s">
        <v>24</v>
      </c>
    </row>
    <row r="4" spans="1:16" x14ac:dyDescent="0.25">
      <c r="B4" t="s">
        <v>10</v>
      </c>
      <c r="C4" t="s">
        <v>13</v>
      </c>
      <c r="D4" t="s">
        <v>15</v>
      </c>
      <c r="E4" t="s">
        <v>18</v>
      </c>
      <c r="F4" t="s">
        <v>21</v>
      </c>
      <c r="G4" t="s">
        <v>23</v>
      </c>
    </row>
    <row r="5" spans="1:16" x14ac:dyDescent="0.25">
      <c r="B5" t="s">
        <v>9</v>
      </c>
      <c r="C5" t="s">
        <v>159</v>
      </c>
      <c r="D5" t="s">
        <v>159</v>
      </c>
      <c r="E5" t="s">
        <v>159</v>
      </c>
      <c r="F5" t="s">
        <v>155</v>
      </c>
      <c r="G5" t="s">
        <v>155</v>
      </c>
    </row>
    <row r="6" spans="1:16" x14ac:dyDescent="0.25">
      <c r="B6" t="s">
        <v>8</v>
      </c>
      <c r="C6" t="s">
        <v>12</v>
      </c>
      <c r="D6" t="s">
        <v>12</v>
      </c>
      <c r="E6" t="s">
        <v>17</v>
      </c>
      <c r="F6" t="s">
        <v>20</v>
      </c>
      <c r="G6" t="s">
        <v>20</v>
      </c>
    </row>
    <row r="7" spans="1:16" x14ac:dyDescent="0.25">
      <c r="B7" t="s">
        <v>7</v>
      </c>
      <c r="C7" t="s">
        <v>158</v>
      </c>
      <c r="D7" t="s">
        <v>158</v>
      </c>
      <c r="E7" t="s">
        <v>160</v>
      </c>
      <c r="F7" t="s">
        <v>156</v>
      </c>
      <c r="G7" t="s">
        <v>156</v>
      </c>
    </row>
    <row r="8" spans="1:16" x14ac:dyDescent="0.25">
      <c r="A8" s="5">
        <v>46023</v>
      </c>
      <c r="B8" t="s">
        <v>6</v>
      </c>
      <c r="C8" s="2" t="e">
        <v>#N/A</v>
      </c>
      <c r="D8" s="2">
        <v>2.86</v>
      </c>
      <c r="E8" s="2" t="e">
        <v>#N/A</v>
      </c>
      <c r="F8" s="3" t="e">
        <v>#N/A</v>
      </c>
      <c r="G8" s="3" t="e">
        <v>#N/A</v>
      </c>
      <c r="I8" s="3" t="e">
        <f t="shared" ref="I8:I39" si="0">C8-E8</f>
        <v>#N/A</v>
      </c>
      <c r="J8" s="3" t="e">
        <f>C8-D8</f>
        <v>#N/A</v>
      </c>
      <c r="K8" s="3"/>
      <c r="L8" s="3"/>
      <c r="M8" s="3"/>
      <c r="N8" s="3"/>
      <c r="O8" s="3"/>
      <c r="P8" s="3"/>
    </row>
    <row r="9" spans="1:16" x14ac:dyDescent="0.25">
      <c r="A9" s="5">
        <v>46024</v>
      </c>
      <c r="B9" t="s">
        <v>25</v>
      </c>
      <c r="C9" s="2">
        <v>4.54</v>
      </c>
      <c r="D9" s="2">
        <v>2.9</v>
      </c>
      <c r="E9" s="2">
        <v>4.1900000000000004</v>
      </c>
      <c r="F9" s="3">
        <v>1.3496999999999999</v>
      </c>
      <c r="G9" s="3">
        <v>1.1486000000000001</v>
      </c>
      <c r="I9" s="3">
        <f t="shared" si="0"/>
        <v>0.34999999999999964</v>
      </c>
      <c r="J9" s="3">
        <f t="shared" ref="J9:J72" si="1">C9-D9</f>
        <v>1.6400000000000001</v>
      </c>
      <c r="K9" s="3"/>
      <c r="L9" s="3"/>
      <c r="M9" s="3"/>
      <c r="N9" s="3"/>
      <c r="O9" s="3"/>
      <c r="P9" s="3"/>
    </row>
    <row r="10" spans="1:16" x14ac:dyDescent="0.25">
      <c r="A10" s="5">
        <v>46027</v>
      </c>
      <c r="B10" t="s">
        <v>26</v>
      </c>
      <c r="C10" s="2">
        <v>4.51</v>
      </c>
      <c r="D10" s="2">
        <v>2.88</v>
      </c>
      <c r="E10" s="2">
        <v>4.17</v>
      </c>
      <c r="F10" s="3">
        <v>1.3503000000000001</v>
      </c>
      <c r="G10" s="3">
        <v>1.1536999999999999</v>
      </c>
      <c r="I10" s="3">
        <f t="shared" si="0"/>
        <v>0.33999999999999986</v>
      </c>
      <c r="J10" s="3">
        <f t="shared" si="1"/>
        <v>1.63</v>
      </c>
      <c r="K10" s="3"/>
      <c r="L10" s="3"/>
      <c r="M10" s="3"/>
      <c r="N10" s="3"/>
      <c r="O10" s="3"/>
      <c r="P10" s="3"/>
    </row>
    <row r="11" spans="1:16" x14ac:dyDescent="0.25">
      <c r="A11" s="5">
        <v>46028</v>
      </c>
      <c r="B11" t="s">
        <v>27</v>
      </c>
      <c r="C11" s="2">
        <v>4.4800000000000004</v>
      </c>
      <c r="D11" s="2">
        <v>2.84</v>
      </c>
      <c r="E11" s="2">
        <v>4.18</v>
      </c>
      <c r="F11" s="3">
        <v>1.3507</v>
      </c>
      <c r="G11" s="3">
        <v>1.1549</v>
      </c>
      <c r="I11" s="3">
        <f t="shared" si="0"/>
        <v>0.30000000000000071</v>
      </c>
      <c r="J11" s="3">
        <f t="shared" si="1"/>
        <v>1.6400000000000006</v>
      </c>
      <c r="K11" s="3"/>
      <c r="L11" s="3"/>
      <c r="M11" s="3"/>
      <c r="N11" s="3"/>
      <c r="O11" s="3"/>
      <c r="P11" s="3"/>
    </row>
    <row r="12" spans="1:16" x14ac:dyDescent="0.25">
      <c r="A12" s="5">
        <v>46029</v>
      </c>
      <c r="B12" t="s">
        <v>28</v>
      </c>
      <c r="C12" s="2">
        <v>4.41</v>
      </c>
      <c r="D12" s="2">
        <v>2.81</v>
      </c>
      <c r="E12" s="2">
        <v>4.1500000000000004</v>
      </c>
      <c r="F12" s="3">
        <v>1.3481000000000001</v>
      </c>
      <c r="G12" s="3">
        <v>1.1532</v>
      </c>
      <c r="I12" s="3">
        <f t="shared" si="0"/>
        <v>0.25999999999999979</v>
      </c>
      <c r="J12" s="3">
        <f t="shared" si="1"/>
        <v>1.6</v>
      </c>
      <c r="K12" s="3"/>
      <c r="L12" s="3"/>
      <c r="M12" s="3"/>
      <c r="N12" s="3"/>
      <c r="O12" s="3"/>
      <c r="P12" s="3"/>
    </row>
    <row r="13" spans="1:16" x14ac:dyDescent="0.25">
      <c r="A13" s="5">
        <f>+A8+7</f>
        <v>46030</v>
      </c>
      <c r="B13" t="s">
        <v>29</v>
      </c>
      <c r="C13" s="2">
        <v>4.4000000000000004</v>
      </c>
      <c r="D13" s="2">
        <v>2.83</v>
      </c>
      <c r="E13" s="2">
        <v>4.1900000000000004</v>
      </c>
      <c r="F13" s="3">
        <v>1.3442000000000001</v>
      </c>
      <c r="G13" s="3">
        <v>1.1520999999999999</v>
      </c>
      <c r="I13" s="3">
        <f t="shared" si="0"/>
        <v>0.20999999999999996</v>
      </c>
      <c r="J13" s="3">
        <f t="shared" si="1"/>
        <v>1.5700000000000003</v>
      </c>
      <c r="K13" s="3"/>
      <c r="L13" s="3"/>
      <c r="M13" s="3"/>
      <c r="N13" s="3"/>
      <c r="O13" s="3"/>
      <c r="P13" s="3"/>
    </row>
    <row r="14" spans="1:16" x14ac:dyDescent="0.25">
      <c r="A14" s="5">
        <f t="shared" ref="A14:A77" si="2">+A9+7</f>
        <v>46031</v>
      </c>
      <c r="B14" t="s">
        <v>30</v>
      </c>
      <c r="C14" s="2">
        <v>4.38</v>
      </c>
      <c r="D14" s="2">
        <v>2.83</v>
      </c>
      <c r="E14" s="2">
        <v>4.18</v>
      </c>
      <c r="F14" s="3">
        <v>1.3419000000000001</v>
      </c>
      <c r="G14" s="3">
        <v>1.1527000000000001</v>
      </c>
      <c r="I14" s="3">
        <f t="shared" si="0"/>
        <v>0.20000000000000018</v>
      </c>
      <c r="J14" s="3">
        <f t="shared" si="1"/>
        <v>1.5499999999999998</v>
      </c>
      <c r="K14" s="3"/>
      <c r="L14" s="3"/>
      <c r="M14" s="3"/>
      <c r="N14" s="3"/>
      <c r="O14" s="3"/>
      <c r="P14" s="3"/>
    </row>
    <row r="15" spans="1:16" x14ac:dyDescent="0.25">
      <c r="A15" s="5">
        <f t="shared" si="2"/>
        <v>46034</v>
      </c>
      <c r="B15" t="s">
        <v>31</v>
      </c>
      <c r="C15" s="2">
        <v>4.37</v>
      </c>
      <c r="D15" s="2">
        <v>2.81</v>
      </c>
      <c r="E15" s="2">
        <v>4.1900000000000004</v>
      </c>
      <c r="F15" s="3">
        <v>1.3474999999999999</v>
      </c>
      <c r="G15" s="3">
        <v>1.1535</v>
      </c>
      <c r="I15" s="3">
        <f t="shared" si="0"/>
        <v>0.17999999999999972</v>
      </c>
      <c r="J15" s="3">
        <f t="shared" si="1"/>
        <v>1.56</v>
      </c>
      <c r="K15" s="3"/>
      <c r="L15" s="3"/>
      <c r="M15" s="3"/>
      <c r="N15" s="3"/>
      <c r="O15" s="3"/>
      <c r="P15" s="3"/>
    </row>
    <row r="16" spans="1:16" x14ac:dyDescent="0.25">
      <c r="A16" s="5">
        <f t="shared" si="2"/>
        <v>46035</v>
      </c>
      <c r="B16" t="s">
        <v>32</v>
      </c>
      <c r="C16" s="2">
        <v>4.4000000000000004</v>
      </c>
      <c r="D16" s="2">
        <v>2.81</v>
      </c>
      <c r="E16" s="2">
        <v>4.18</v>
      </c>
      <c r="F16" s="3">
        <v>1.3442000000000001</v>
      </c>
      <c r="G16" s="3">
        <v>1.1536</v>
      </c>
      <c r="I16" s="3">
        <f t="shared" si="0"/>
        <v>0.22000000000000064</v>
      </c>
      <c r="J16" s="3">
        <f t="shared" si="1"/>
        <v>1.5900000000000003</v>
      </c>
      <c r="K16" s="3"/>
      <c r="L16" s="3"/>
      <c r="M16" s="3"/>
      <c r="N16" s="3"/>
      <c r="O16" s="3"/>
      <c r="P16" s="3"/>
    </row>
    <row r="17" spans="1:16" x14ac:dyDescent="0.25">
      <c r="A17" s="5">
        <f t="shared" si="2"/>
        <v>46036</v>
      </c>
      <c r="B17" t="s">
        <v>33</v>
      </c>
      <c r="C17" s="2">
        <v>4.34</v>
      </c>
      <c r="D17" s="2">
        <v>2.82</v>
      </c>
      <c r="E17" s="2">
        <v>4.1500000000000004</v>
      </c>
      <c r="F17" s="3">
        <v>1.3456999999999999</v>
      </c>
      <c r="G17" s="3">
        <v>1.1540999999999999</v>
      </c>
      <c r="I17" s="3">
        <f t="shared" si="0"/>
        <v>0.1899999999999995</v>
      </c>
      <c r="J17" s="3">
        <f t="shared" si="1"/>
        <v>1.52</v>
      </c>
      <c r="K17" s="3"/>
      <c r="L17" s="3"/>
      <c r="M17" s="3"/>
      <c r="N17" s="3"/>
      <c r="O17" s="3"/>
      <c r="P17" s="3"/>
    </row>
    <row r="18" spans="1:16" x14ac:dyDescent="0.25">
      <c r="A18" s="5">
        <f t="shared" si="2"/>
        <v>46037</v>
      </c>
      <c r="B18" t="s">
        <v>34</v>
      </c>
      <c r="C18" s="2">
        <v>4.37</v>
      </c>
      <c r="D18" s="2">
        <v>2.82</v>
      </c>
      <c r="E18" s="2">
        <v>4.17</v>
      </c>
      <c r="F18" s="3">
        <v>1.3387</v>
      </c>
      <c r="G18" s="3">
        <v>1.1537999999999999</v>
      </c>
      <c r="I18" s="3">
        <f t="shared" si="0"/>
        <v>0.20000000000000018</v>
      </c>
      <c r="J18" s="3">
        <f t="shared" si="1"/>
        <v>1.5500000000000003</v>
      </c>
      <c r="K18" s="3"/>
      <c r="L18" s="3"/>
      <c r="M18" s="3"/>
      <c r="N18" s="3"/>
      <c r="O18" s="3"/>
      <c r="P18" s="3"/>
    </row>
    <row r="19" spans="1:16" x14ac:dyDescent="0.25">
      <c r="A19" s="5">
        <f t="shared" si="2"/>
        <v>46038</v>
      </c>
      <c r="B19" t="s">
        <v>35</v>
      </c>
      <c r="C19" s="2">
        <v>4.4000000000000004</v>
      </c>
      <c r="D19" s="2">
        <v>2.84</v>
      </c>
      <c r="E19" s="2">
        <v>4.24</v>
      </c>
      <c r="F19" s="3">
        <v>1.3378000000000001</v>
      </c>
      <c r="G19" s="3">
        <v>1.1538999999999999</v>
      </c>
      <c r="I19" s="3">
        <f t="shared" si="0"/>
        <v>0.16000000000000014</v>
      </c>
      <c r="J19" s="3">
        <f t="shared" si="1"/>
        <v>1.5600000000000005</v>
      </c>
      <c r="K19" s="3"/>
      <c r="L19" s="3"/>
      <c r="M19" s="3"/>
      <c r="N19" s="3"/>
      <c r="O19" s="3"/>
      <c r="P19" s="3"/>
    </row>
    <row r="20" spans="1:16" x14ac:dyDescent="0.25">
      <c r="A20" s="5">
        <f t="shared" si="2"/>
        <v>46041</v>
      </c>
      <c r="B20" t="s">
        <v>36</v>
      </c>
      <c r="C20" s="2">
        <v>4.41</v>
      </c>
      <c r="D20" s="2">
        <v>2.84</v>
      </c>
      <c r="E20" s="2" t="e">
        <v>#N/A</v>
      </c>
      <c r="F20" s="3">
        <v>1.3422000000000001</v>
      </c>
      <c r="G20" s="3">
        <v>1.1531</v>
      </c>
      <c r="I20" s="3" t="e">
        <f t="shared" si="0"/>
        <v>#N/A</v>
      </c>
      <c r="J20" s="3">
        <f t="shared" si="1"/>
        <v>1.5700000000000003</v>
      </c>
      <c r="K20" s="3"/>
      <c r="L20" s="3"/>
      <c r="M20" s="3"/>
      <c r="N20" s="3"/>
      <c r="O20" s="3"/>
      <c r="P20" s="3"/>
    </row>
    <row r="21" spans="1:16" x14ac:dyDescent="0.25">
      <c r="A21" s="5">
        <f t="shared" si="2"/>
        <v>46042</v>
      </c>
      <c r="B21" t="s">
        <v>37</v>
      </c>
      <c r="C21" s="2">
        <v>4.46</v>
      </c>
      <c r="D21" s="2">
        <v>2.86</v>
      </c>
      <c r="E21" s="2">
        <v>4.3</v>
      </c>
      <c r="F21" s="3">
        <v>1.3456999999999999</v>
      </c>
      <c r="G21" s="3">
        <v>1.1475</v>
      </c>
      <c r="I21" s="3">
        <f t="shared" si="0"/>
        <v>0.16000000000000014</v>
      </c>
      <c r="J21" s="3">
        <f t="shared" si="1"/>
        <v>1.6</v>
      </c>
      <c r="K21" s="3"/>
      <c r="L21" s="3"/>
      <c r="M21" s="3"/>
      <c r="N21" s="3"/>
      <c r="O21" s="3"/>
      <c r="P21" s="3"/>
    </row>
    <row r="22" spans="1:16" x14ac:dyDescent="0.25">
      <c r="A22" s="5">
        <f t="shared" si="2"/>
        <v>46043</v>
      </c>
      <c r="B22" t="s">
        <v>38</v>
      </c>
      <c r="C22" s="2">
        <v>4.45</v>
      </c>
      <c r="D22" s="2">
        <v>2.89</v>
      </c>
      <c r="E22" s="2">
        <v>4.26</v>
      </c>
      <c r="F22" s="3">
        <v>1.3428</v>
      </c>
      <c r="G22" s="3">
        <v>1.1475</v>
      </c>
      <c r="I22" s="3">
        <f t="shared" si="0"/>
        <v>0.19000000000000039</v>
      </c>
      <c r="J22" s="3">
        <f t="shared" si="1"/>
        <v>1.56</v>
      </c>
      <c r="K22" s="3"/>
      <c r="L22" s="3"/>
      <c r="M22" s="3"/>
      <c r="N22" s="3"/>
      <c r="O22" s="3"/>
      <c r="P22" s="3"/>
    </row>
    <row r="23" spans="1:16" x14ac:dyDescent="0.25">
      <c r="A23" s="5">
        <f t="shared" si="2"/>
        <v>46044</v>
      </c>
      <c r="B23" t="s">
        <v>39</v>
      </c>
      <c r="C23" s="2">
        <v>4.4400000000000004</v>
      </c>
      <c r="D23" s="2">
        <v>2.89</v>
      </c>
      <c r="E23" s="2">
        <v>4.26</v>
      </c>
      <c r="F23" s="3">
        <v>1.3478000000000001</v>
      </c>
      <c r="G23" s="3">
        <v>1.1486000000000001</v>
      </c>
      <c r="I23" s="3">
        <f t="shared" si="0"/>
        <v>0.1800000000000006</v>
      </c>
      <c r="J23" s="3">
        <f t="shared" si="1"/>
        <v>1.5500000000000003</v>
      </c>
      <c r="K23" s="3"/>
      <c r="L23" s="3"/>
      <c r="M23" s="3"/>
      <c r="N23" s="3"/>
      <c r="O23" s="3"/>
      <c r="P23" s="3"/>
    </row>
    <row r="24" spans="1:16" x14ac:dyDescent="0.25">
      <c r="A24" s="5">
        <f t="shared" si="2"/>
        <v>46045</v>
      </c>
      <c r="B24" t="s">
        <v>40</v>
      </c>
      <c r="C24" s="2">
        <v>4.53</v>
      </c>
      <c r="D24" s="2">
        <v>2.9</v>
      </c>
      <c r="E24" s="2">
        <v>4.24</v>
      </c>
      <c r="F24" s="3">
        <v>1.3564000000000001</v>
      </c>
      <c r="G24" s="3">
        <v>1.1536</v>
      </c>
      <c r="I24" s="3">
        <f t="shared" si="0"/>
        <v>0.29000000000000004</v>
      </c>
      <c r="J24" s="3">
        <f t="shared" si="1"/>
        <v>1.6300000000000003</v>
      </c>
      <c r="K24" s="3"/>
      <c r="L24" s="3"/>
      <c r="M24" s="3"/>
      <c r="N24" s="3"/>
      <c r="O24" s="3"/>
      <c r="P24" s="3"/>
    </row>
    <row r="25" spans="1:16" x14ac:dyDescent="0.25">
      <c r="A25" s="5">
        <f t="shared" si="2"/>
        <v>46048</v>
      </c>
      <c r="B25" t="s">
        <v>41</v>
      </c>
      <c r="C25" s="2">
        <v>4.5</v>
      </c>
      <c r="D25" s="2">
        <v>2.87</v>
      </c>
      <c r="E25" s="2">
        <v>4.22</v>
      </c>
      <c r="F25" s="3">
        <v>1.3708</v>
      </c>
      <c r="G25" s="3">
        <v>1.1523000000000001</v>
      </c>
      <c r="I25" s="3">
        <f t="shared" si="0"/>
        <v>0.28000000000000025</v>
      </c>
      <c r="J25" s="3">
        <f t="shared" si="1"/>
        <v>1.63</v>
      </c>
      <c r="K25" s="3"/>
      <c r="L25" s="3"/>
      <c r="M25" s="3"/>
      <c r="N25" s="3"/>
      <c r="O25" s="3"/>
      <c r="P25" s="3"/>
    </row>
    <row r="26" spans="1:16" x14ac:dyDescent="0.25">
      <c r="A26" s="5">
        <f t="shared" si="2"/>
        <v>46049</v>
      </c>
      <c r="B26" t="s">
        <v>42</v>
      </c>
      <c r="C26" s="2">
        <v>4.53</v>
      </c>
      <c r="D26" s="2">
        <v>2.87</v>
      </c>
      <c r="E26" s="2">
        <v>4.24</v>
      </c>
      <c r="F26" s="3">
        <v>1.3751</v>
      </c>
      <c r="G26" s="3">
        <v>1.1507000000000001</v>
      </c>
      <c r="I26" s="3">
        <f t="shared" si="0"/>
        <v>0.29000000000000004</v>
      </c>
      <c r="J26" s="3">
        <f t="shared" si="1"/>
        <v>1.6600000000000001</v>
      </c>
      <c r="K26" s="3"/>
      <c r="L26" s="3"/>
      <c r="M26" s="3"/>
      <c r="N26" s="3"/>
      <c r="O26" s="3"/>
      <c r="P26" s="3"/>
    </row>
    <row r="27" spans="1:16" x14ac:dyDescent="0.25">
      <c r="A27" s="5">
        <f t="shared" si="2"/>
        <v>46050</v>
      </c>
      <c r="B27" t="s">
        <v>43</v>
      </c>
      <c r="C27" s="2">
        <v>4.55</v>
      </c>
      <c r="D27" s="2">
        <v>2.86</v>
      </c>
      <c r="E27" s="2">
        <v>4.26</v>
      </c>
      <c r="F27" s="3">
        <v>1.379</v>
      </c>
      <c r="G27" s="3">
        <v>1.1546000000000001</v>
      </c>
      <c r="I27" s="3">
        <f t="shared" si="0"/>
        <v>0.29000000000000004</v>
      </c>
      <c r="J27" s="3">
        <f t="shared" si="1"/>
        <v>1.69</v>
      </c>
      <c r="K27" s="3"/>
      <c r="L27" s="3"/>
      <c r="M27" s="3"/>
      <c r="N27" s="3"/>
      <c r="O27" s="3"/>
      <c r="P27" s="3"/>
    </row>
    <row r="28" spans="1:16" x14ac:dyDescent="0.25">
      <c r="A28" s="5">
        <f t="shared" si="2"/>
        <v>46051</v>
      </c>
      <c r="B28" t="s">
        <v>44</v>
      </c>
      <c r="C28" s="2">
        <v>4.51</v>
      </c>
      <c r="D28" s="2">
        <v>2.84</v>
      </c>
      <c r="E28" s="2">
        <v>4.24</v>
      </c>
      <c r="F28" s="3">
        <v>1.3764000000000001</v>
      </c>
      <c r="G28" s="3">
        <v>1.1536999999999999</v>
      </c>
      <c r="I28" s="3">
        <f t="shared" si="0"/>
        <v>0.26999999999999957</v>
      </c>
      <c r="J28" s="3">
        <f t="shared" si="1"/>
        <v>1.67</v>
      </c>
      <c r="K28" s="3"/>
      <c r="L28" s="3"/>
      <c r="M28" s="3"/>
      <c r="N28" s="3"/>
      <c r="O28" s="3"/>
      <c r="P28" s="3"/>
    </row>
    <row r="29" spans="1:16" x14ac:dyDescent="0.25">
      <c r="A29" s="5">
        <f t="shared" si="2"/>
        <v>46052</v>
      </c>
      <c r="B29" t="s">
        <v>45</v>
      </c>
      <c r="C29" s="2">
        <v>4.53</v>
      </c>
      <c r="D29" s="2">
        <v>2.85</v>
      </c>
      <c r="E29" s="2">
        <v>4.26</v>
      </c>
      <c r="F29" s="3">
        <v>1.3720000000000001</v>
      </c>
      <c r="G29" s="3">
        <v>1.1534</v>
      </c>
      <c r="I29" s="3">
        <f t="shared" si="0"/>
        <v>0.27000000000000046</v>
      </c>
      <c r="J29" s="3">
        <f t="shared" si="1"/>
        <v>1.6800000000000002</v>
      </c>
      <c r="K29" s="3"/>
      <c r="L29" s="3"/>
      <c r="M29" s="3"/>
      <c r="N29" s="3"/>
      <c r="O29" s="3"/>
      <c r="P29" s="3"/>
    </row>
    <row r="30" spans="1:16" x14ac:dyDescent="0.25">
      <c r="A30" s="5">
        <f t="shared" si="2"/>
        <v>46055</v>
      </c>
      <c r="B30" t="s">
        <v>46</v>
      </c>
      <c r="C30" s="2">
        <v>4.51</v>
      </c>
      <c r="D30" s="2">
        <v>2.87</v>
      </c>
      <c r="E30" s="2">
        <v>4.29</v>
      </c>
      <c r="F30" s="3">
        <v>1.3628</v>
      </c>
      <c r="G30" s="3">
        <v>1.1556999999999999</v>
      </c>
      <c r="I30" s="3">
        <f t="shared" si="0"/>
        <v>0.21999999999999975</v>
      </c>
      <c r="J30" s="3">
        <f t="shared" si="1"/>
        <v>1.6399999999999997</v>
      </c>
      <c r="K30" s="3"/>
      <c r="L30" s="3"/>
      <c r="M30" s="3"/>
      <c r="N30" s="3"/>
      <c r="O30" s="3"/>
      <c r="P30" s="3"/>
    </row>
    <row r="31" spans="1:16" x14ac:dyDescent="0.25">
      <c r="A31" s="5">
        <f t="shared" si="2"/>
        <v>46056</v>
      </c>
      <c r="B31" t="s">
        <v>47</v>
      </c>
      <c r="C31" s="2">
        <v>4.5199999999999996</v>
      </c>
      <c r="D31" s="2">
        <v>2.88</v>
      </c>
      <c r="E31" s="2">
        <v>4.28</v>
      </c>
      <c r="F31" s="3">
        <v>1.3703000000000001</v>
      </c>
      <c r="G31" s="3">
        <v>1.1599999999999999</v>
      </c>
      <c r="I31" s="3">
        <f t="shared" si="0"/>
        <v>0.23999999999999932</v>
      </c>
      <c r="J31" s="3">
        <f t="shared" si="1"/>
        <v>1.6399999999999997</v>
      </c>
      <c r="K31" s="3"/>
      <c r="L31" s="3"/>
      <c r="M31" s="3"/>
      <c r="N31" s="3"/>
      <c r="O31" s="3"/>
      <c r="P31" s="3"/>
    </row>
    <row r="32" spans="1:16" x14ac:dyDescent="0.25">
      <c r="A32" s="5">
        <f t="shared" si="2"/>
        <v>46057</v>
      </c>
      <c r="B32" t="s">
        <v>48</v>
      </c>
      <c r="C32" s="2">
        <v>4.5599999999999996</v>
      </c>
      <c r="D32" s="2">
        <v>2.87</v>
      </c>
      <c r="E32" s="2">
        <v>4.29</v>
      </c>
      <c r="F32" s="3">
        <v>1.3664000000000001</v>
      </c>
      <c r="G32" s="3">
        <v>1.1583000000000001</v>
      </c>
      <c r="I32" s="3">
        <f t="shared" si="0"/>
        <v>0.26999999999999957</v>
      </c>
      <c r="J32" s="3">
        <f t="shared" si="1"/>
        <v>1.6899999999999995</v>
      </c>
      <c r="K32" s="3"/>
      <c r="L32" s="3"/>
      <c r="M32" s="3"/>
      <c r="N32" s="3"/>
      <c r="O32" s="3"/>
      <c r="P32" s="3"/>
    </row>
    <row r="33" spans="1:16" x14ac:dyDescent="0.25">
      <c r="A33" s="5">
        <f t="shared" si="2"/>
        <v>46058</v>
      </c>
      <c r="B33" t="s">
        <v>49</v>
      </c>
      <c r="C33" s="2">
        <v>4.57</v>
      </c>
      <c r="D33" s="2">
        <v>2.84</v>
      </c>
      <c r="E33" s="2">
        <v>4.21</v>
      </c>
      <c r="F33" s="3">
        <v>1.3528</v>
      </c>
      <c r="G33" s="3">
        <v>1.1473</v>
      </c>
      <c r="I33" s="3">
        <f t="shared" si="0"/>
        <v>0.36000000000000032</v>
      </c>
      <c r="J33" s="3">
        <f t="shared" si="1"/>
        <v>1.7300000000000004</v>
      </c>
      <c r="K33" s="3"/>
      <c r="L33" s="3"/>
      <c r="M33" s="3"/>
      <c r="N33" s="3"/>
      <c r="O33" s="3"/>
      <c r="P33" s="3"/>
    </row>
    <row r="34" spans="1:16" x14ac:dyDescent="0.25">
      <c r="A34" s="5">
        <f t="shared" si="2"/>
        <v>46059</v>
      </c>
      <c r="B34" t="s">
        <v>50</v>
      </c>
      <c r="C34" s="2">
        <v>4.5199999999999996</v>
      </c>
      <c r="D34" s="2">
        <v>2.84</v>
      </c>
      <c r="E34" s="2">
        <v>4.22</v>
      </c>
      <c r="F34" s="3">
        <v>1.3614999999999999</v>
      </c>
      <c r="G34" s="3">
        <v>1.1518999999999999</v>
      </c>
      <c r="I34" s="3">
        <f t="shared" si="0"/>
        <v>0.29999999999999982</v>
      </c>
      <c r="J34" s="3">
        <f t="shared" si="1"/>
        <v>1.6799999999999997</v>
      </c>
      <c r="K34" s="3"/>
      <c r="L34" s="3"/>
      <c r="M34" s="3"/>
      <c r="N34" s="3"/>
      <c r="O34" s="3"/>
      <c r="P34" s="3"/>
    </row>
    <row r="35" spans="1:16" x14ac:dyDescent="0.25">
      <c r="A35" s="5">
        <f t="shared" si="2"/>
        <v>46062</v>
      </c>
      <c r="B35" t="s">
        <v>51</v>
      </c>
      <c r="C35" s="2">
        <v>4.53</v>
      </c>
      <c r="D35" s="2">
        <v>2.84</v>
      </c>
      <c r="E35" s="2">
        <v>4.22</v>
      </c>
      <c r="F35" s="3">
        <v>1.3677999999999999</v>
      </c>
      <c r="G35" s="3">
        <v>1.1482000000000001</v>
      </c>
      <c r="I35" s="3">
        <f t="shared" si="0"/>
        <v>0.3100000000000005</v>
      </c>
      <c r="J35" s="3">
        <f t="shared" si="1"/>
        <v>1.6900000000000004</v>
      </c>
      <c r="K35" s="3"/>
      <c r="L35" s="3"/>
      <c r="M35" s="3"/>
      <c r="N35" s="3"/>
      <c r="O35" s="3"/>
      <c r="P35" s="3"/>
    </row>
    <row r="36" spans="1:16" x14ac:dyDescent="0.25">
      <c r="A36" s="5">
        <f t="shared" si="2"/>
        <v>46063</v>
      </c>
      <c r="B36" t="s">
        <v>52</v>
      </c>
      <c r="C36" s="2">
        <v>4.51</v>
      </c>
      <c r="D36" s="2">
        <v>2.8</v>
      </c>
      <c r="E36" s="2">
        <v>4.16</v>
      </c>
      <c r="F36" s="3">
        <v>1.3673999999999999</v>
      </c>
      <c r="G36" s="3">
        <v>1.1476999999999999</v>
      </c>
      <c r="I36" s="3">
        <f t="shared" si="0"/>
        <v>0.34999999999999964</v>
      </c>
      <c r="J36" s="3">
        <f t="shared" si="1"/>
        <v>1.71</v>
      </c>
      <c r="K36" s="3"/>
      <c r="L36" s="3"/>
      <c r="M36" s="3"/>
      <c r="N36" s="3"/>
      <c r="O36" s="3"/>
      <c r="P36" s="3"/>
    </row>
    <row r="37" spans="1:16" x14ac:dyDescent="0.25">
      <c r="A37" s="5">
        <f t="shared" si="2"/>
        <v>46064</v>
      </c>
      <c r="B37" t="s">
        <v>53</v>
      </c>
      <c r="C37" s="2">
        <v>4.55</v>
      </c>
      <c r="D37" s="2">
        <v>2.8</v>
      </c>
      <c r="E37" s="2">
        <v>4.18</v>
      </c>
      <c r="F37" s="3">
        <v>1.3633</v>
      </c>
      <c r="G37" s="3">
        <v>1.1496</v>
      </c>
      <c r="I37" s="3">
        <f t="shared" si="0"/>
        <v>0.37000000000000011</v>
      </c>
      <c r="J37" s="3">
        <f t="shared" si="1"/>
        <v>1.75</v>
      </c>
      <c r="K37" s="3"/>
      <c r="L37" s="3"/>
      <c r="M37" s="3"/>
      <c r="N37" s="3"/>
      <c r="O37" s="3"/>
      <c r="P37" s="3"/>
    </row>
    <row r="38" spans="1:16" x14ac:dyDescent="0.25">
      <c r="A38" s="5">
        <f t="shared" si="2"/>
        <v>46065</v>
      </c>
      <c r="B38" t="s">
        <v>54</v>
      </c>
      <c r="C38" s="2">
        <v>4.45</v>
      </c>
      <c r="D38" s="2">
        <v>2.76</v>
      </c>
      <c r="E38" s="2">
        <v>4.09</v>
      </c>
      <c r="F38" s="3">
        <v>1.3653999999999999</v>
      </c>
      <c r="G38" s="3">
        <v>1.1487000000000001</v>
      </c>
      <c r="I38" s="3">
        <f t="shared" si="0"/>
        <v>0.36000000000000032</v>
      </c>
      <c r="J38" s="3">
        <f t="shared" si="1"/>
        <v>1.6900000000000004</v>
      </c>
      <c r="K38" s="3"/>
      <c r="L38" s="3"/>
      <c r="M38" s="3"/>
      <c r="N38" s="3"/>
      <c r="O38" s="3"/>
      <c r="P38" s="3"/>
    </row>
    <row r="39" spans="1:16" x14ac:dyDescent="0.25">
      <c r="A39" s="5">
        <f t="shared" si="2"/>
        <v>46066</v>
      </c>
      <c r="B39" t="s">
        <v>55</v>
      </c>
      <c r="C39" s="2">
        <v>4.42</v>
      </c>
      <c r="D39" s="2">
        <v>2.76</v>
      </c>
      <c r="E39" s="2">
        <v>4.04</v>
      </c>
      <c r="F39" s="3">
        <v>1.3612</v>
      </c>
      <c r="G39" s="3">
        <v>1.1484000000000001</v>
      </c>
      <c r="I39" s="3">
        <f t="shared" si="0"/>
        <v>0.37999999999999989</v>
      </c>
      <c r="J39" s="3">
        <f t="shared" si="1"/>
        <v>1.6600000000000001</v>
      </c>
      <c r="K39" s="3"/>
      <c r="L39" s="3"/>
      <c r="M39" s="3"/>
      <c r="N39" s="3"/>
      <c r="O39" s="3"/>
      <c r="P39" s="3"/>
    </row>
    <row r="40" spans="1:16" x14ac:dyDescent="0.25">
      <c r="A40" s="5">
        <f t="shared" si="2"/>
        <v>46069</v>
      </c>
      <c r="B40" t="s">
        <v>56</v>
      </c>
      <c r="C40" s="2">
        <v>4.41</v>
      </c>
      <c r="D40" s="2">
        <v>2.75</v>
      </c>
      <c r="E40" s="2" t="e">
        <v>#N/A</v>
      </c>
      <c r="F40" s="3">
        <v>1.3633</v>
      </c>
      <c r="G40" s="3">
        <v>1.1499999999999999</v>
      </c>
      <c r="I40" s="3" t="e">
        <f t="shared" ref="I40:I71" si="3">C40-E40</f>
        <v>#N/A</v>
      </c>
      <c r="J40" s="3">
        <f t="shared" si="1"/>
        <v>1.6600000000000001</v>
      </c>
      <c r="K40" s="3"/>
      <c r="L40" s="3"/>
      <c r="M40" s="3"/>
      <c r="N40" s="3"/>
      <c r="O40" s="3"/>
      <c r="P40" s="3"/>
    </row>
    <row r="41" spans="1:16" x14ac:dyDescent="0.25">
      <c r="A41" s="5">
        <f t="shared" si="2"/>
        <v>46070</v>
      </c>
      <c r="B41" t="s">
        <v>57</v>
      </c>
      <c r="C41" s="2">
        <v>4.3899999999999997</v>
      </c>
      <c r="D41" s="2">
        <v>2.74</v>
      </c>
      <c r="E41" s="2">
        <v>4.05</v>
      </c>
      <c r="F41" s="3">
        <v>1.3503000000000001</v>
      </c>
      <c r="G41" s="3">
        <v>1.1432</v>
      </c>
      <c r="I41" s="3">
        <f t="shared" si="3"/>
        <v>0.33999999999999986</v>
      </c>
      <c r="J41" s="3">
        <f t="shared" si="1"/>
        <v>1.6499999999999995</v>
      </c>
      <c r="K41" s="3"/>
      <c r="L41" s="3"/>
      <c r="M41" s="3"/>
      <c r="N41" s="3"/>
      <c r="O41" s="3"/>
      <c r="P41" s="3"/>
    </row>
    <row r="42" spans="1:16" x14ac:dyDescent="0.25">
      <c r="A42" s="5">
        <f t="shared" si="2"/>
        <v>46071</v>
      </c>
      <c r="B42" t="s">
        <v>58</v>
      </c>
      <c r="C42" s="2">
        <v>4.38</v>
      </c>
      <c r="D42" s="2">
        <v>2.74</v>
      </c>
      <c r="E42" s="2">
        <v>4.09</v>
      </c>
      <c r="F42" s="3">
        <v>1.3545</v>
      </c>
      <c r="G42" s="3">
        <v>1.1456999999999999</v>
      </c>
      <c r="I42" s="3">
        <f t="shared" si="3"/>
        <v>0.29000000000000004</v>
      </c>
      <c r="J42" s="3">
        <f t="shared" si="1"/>
        <v>1.6399999999999997</v>
      </c>
      <c r="K42" s="3"/>
      <c r="L42" s="3"/>
      <c r="M42" s="3"/>
      <c r="N42" s="3"/>
      <c r="O42" s="3"/>
      <c r="P42" s="3"/>
    </row>
    <row r="43" spans="1:16" x14ac:dyDescent="0.25">
      <c r="A43" s="5">
        <f t="shared" si="2"/>
        <v>46072</v>
      </c>
      <c r="B43" t="s">
        <v>59</v>
      </c>
      <c r="C43" s="2">
        <v>4.37</v>
      </c>
      <c r="D43" s="2">
        <v>2.74</v>
      </c>
      <c r="E43" s="2">
        <v>4.08</v>
      </c>
      <c r="F43" s="3">
        <v>1.3453999999999999</v>
      </c>
      <c r="G43" s="3">
        <v>1.1436999999999999</v>
      </c>
      <c r="I43" s="3">
        <f t="shared" si="3"/>
        <v>0.29000000000000004</v>
      </c>
      <c r="J43" s="3">
        <f t="shared" si="1"/>
        <v>1.63</v>
      </c>
      <c r="K43" s="3"/>
      <c r="L43" s="3"/>
      <c r="M43" s="3"/>
      <c r="N43" s="3"/>
      <c r="O43" s="3"/>
      <c r="P43" s="3"/>
    </row>
    <row r="44" spans="1:16" x14ac:dyDescent="0.25">
      <c r="A44" s="5">
        <f t="shared" si="2"/>
        <v>46073</v>
      </c>
      <c r="B44" t="s">
        <v>60</v>
      </c>
      <c r="C44" s="2">
        <v>4.3499999999999996</v>
      </c>
      <c r="D44" s="2">
        <v>2.73</v>
      </c>
      <c r="E44" s="2">
        <v>4.08</v>
      </c>
      <c r="F44" s="3">
        <v>1.3501000000000001</v>
      </c>
      <c r="G44" s="3">
        <v>1.1453</v>
      </c>
      <c r="I44" s="3">
        <f t="shared" si="3"/>
        <v>0.26999999999999957</v>
      </c>
      <c r="J44" s="3">
        <f t="shared" si="1"/>
        <v>1.6199999999999997</v>
      </c>
      <c r="K44" s="3"/>
      <c r="L44" s="3"/>
      <c r="M44" s="3"/>
      <c r="N44" s="3"/>
      <c r="O44" s="3"/>
      <c r="P44" s="3"/>
    </row>
    <row r="45" spans="1:16" x14ac:dyDescent="0.25">
      <c r="A45" s="5">
        <f t="shared" si="2"/>
        <v>46076</v>
      </c>
      <c r="B45" t="s">
        <v>61</v>
      </c>
      <c r="C45" s="2">
        <v>4.32</v>
      </c>
      <c r="D45" s="2">
        <v>2.7</v>
      </c>
      <c r="E45" s="2">
        <v>4.03</v>
      </c>
      <c r="F45" s="3">
        <v>1.3493999999999999</v>
      </c>
      <c r="G45" s="3">
        <v>1.1440999999999999</v>
      </c>
      <c r="I45" s="3">
        <f t="shared" si="3"/>
        <v>0.29000000000000004</v>
      </c>
      <c r="J45" s="3">
        <f t="shared" si="1"/>
        <v>1.62</v>
      </c>
      <c r="K45" s="3"/>
      <c r="L45" s="3"/>
      <c r="M45" s="3"/>
      <c r="N45" s="3"/>
      <c r="O45" s="3"/>
      <c r="P45" s="3"/>
    </row>
    <row r="46" spans="1:16" x14ac:dyDescent="0.25">
      <c r="A46" s="5">
        <f t="shared" si="2"/>
        <v>46077</v>
      </c>
      <c r="B46" t="s">
        <v>62</v>
      </c>
      <c r="C46" s="2">
        <v>4.3099999999999996</v>
      </c>
      <c r="D46" s="2">
        <v>2.71</v>
      </c>
      <c r="E46" s="2">
        <v>4.04</v>
      </c>
      <c r="F46" s="3">
        <v>1.3514999999999999</v>
      </c>
      <c r="G46" s="3">
        <v>1.1479999999999999</v>
      </c>
      <c r="I46" s="3">
        <f t="shared" si="3"/>
        <v>0.26999999999999957</v>
      </c>
      <c r="J46" s="3">
        <f t="shared" si="1"/>
        <v>1.5999999999999996</v>
      </c>
      <c r="K46" s="3"/>
      <c r="L46" s="3"/>
      <c r="M46" s="3"/>
      <c r="N46" s="3"/>
      <c r="O46" s="3"/>
      <c r="P46" s="3"/>
    </row>
    <row r="47" spans="1:16" x14ac:dyDescent="0.25">
      <c r="A47" s="5">
        <f t="shared" si="2"/>
        <v>46078</v>
      </c>
      <c r="B47" t="s">
        <v>63</v>
      </c>
      <c r="C47" s="2">
        <v>4.32</v>
      </c>
      <c r="D47" s="2">
        <v>2.71</v>
      </c>
      <c r="E47" s="2">
        <v>4.05</v>
      </c>
      <c r="F47" s="3">
        <v>1.3533999999999999</v>
      </c>
      <c r="G47" s="3">
        <v>1.1468</v>
      </c>
      <c r="I47" s="3">
        <f t="shared" si="3"/>
        <v>0.27000000000000046</v>
      </c>
      <c r="J47" s="3">
        <f t="shared" si="1"/>
        <v>1.6100000000000003</v>
      </c>
      <c r="K47" s="3"/>
      <c r="L47" s="3"/>
      <c r="M47" s="3"/>
      <c r="N47" s="3"/>
      <c r="O47" s="3"/>
      <c r="P47" s="3"/>
    </row>
    <row r="48" spans="1:16" x14ac:dyDescent="0.25">
      <c r="A48" s="5">
        <f t="shared" si="2"/>
        <v>46079</v>
      </c>
      <c r="B48" t="s">
        <v>64</v>
      </c>
      <c r="C48" s="2">
        <v>4.2699999999999996</v>
      </c>
      <c r="D48" s="2">
        <v>2.69</v>
      </c>
      <c r="E48" s="2">
        <v>4.0199999999999996</v>
      </c>
      <c r="F48" s="3">
        <v>1.3514999999999999</v>
      </c>
      <c r="G48" s="3">
        <v>1.1454</v>
      </c>
      <c r="I48" s="3">
        <f t="shared" si="3"/>
        <v>0.25</v>
      </c>
      <c r="J48" s="3">
        <f t="shared" si="1"/>
        <v>1.5799999999999996</v>
      </c>
      <c r="K48" s="3"/>
      <c r="L48" s="3"/>
      <c r="M48" s="3"/>
      <c r="N48" s="3"/>
      <c r="O48" s="3"/>
      <c r="P48" s="3"/>
    </row>
    <row r="49" spans="1:16" x14ac:dyDescent="0.25">
      <c r="A49" s="5">
        <f t="shared" si="2"/>
        <v>46080</v>
      </c>
      <c r="B49" t="s">
        <v>65</v>
      </c>
      <c r="C49" s="2">
        <v>4.3099999999999996</v>
      </c>
      <c r="D49" s="2">
        <v>2.64</v>
      </c>
      <c r="E49" s="2">
        <v>3.97</v>
      </c>
      <c r="F49" s="3">
        <v>1.3443000000000001</v>
      </c>
      <c r="G49" s="3">
        <v>1.1386000000000001</v>
      </c>
      <c r="I49" s="3">
        <f t="shared" si="3"/>
        <v>0.33999999999999941</v>
      </c>
      <c r="J49" s="3">
        <f t="shared" si="1"/>
        <v>1.6699999999999995</v>
      </c>
      <c r="K49" s="3"/>
      <c r="L49" s="3"/>
      <c r="M49" s="3"/>
      <c r="N49" s="3"/>
      <c r="O49" s="3"/>
      <c r="P49" s="3"/>
    </row>
    <row r="50" spans="1:16" x14ac:dyDescent="0.25">
      <c r="A50" s="5">
        <f t="shared" si="2"/>
        <v>46083</v>
      </c>
      <c r="B50" t="s">
        <v>66</v>
      </c>
      <c r="C50" s="2">
        <v>4.37</v>
      </c>
      <c r="D50" s="2">
        <v>2.72</v>
      </c>
      <c r="E50" s="2">
        <v>4.05</v>
      </c>
      <c r="F50" s="3">
        <v>1.3371</v>
      </c>
      <c r="G50" s="3">
        <v>1.1448</v>
      </c>
      <c r="I50" s="3">
        <f t="shared" si="3"/>
        <v>0.32000000000000028</v>
      </c>
      <c r="J50" s="3">
        <f t="shared" si="1"/>
        <v>1.65</v>
      </c>
      <c r="K50" s="3"/>
      <c r="L50" s="3"/>
      <c r="M50" s="3"/>
      <c r="N50" s="3"/>
      <c r="O50" s="3"/>
      <c r="P50" s="3"/>
    </row>
    <row r="51" spans="1:16" x14ac:dyDescent="0.25">
      <c r="A51" s="5">
        <f t="shared" si="2"/>
        <v>46084</v>
      </c>
      <c r="B51" t="s">
        <v>67</v>
      </c>
      <c r="C51" s="2">
        <v>4.46</v>
      </c>
      <c r="D51" s="2">
        <v>2.75</v>
      </c>
      <c r="E51" s="2">
        <v>4.0599999999999996</v>
      </c>
      <c r="F51" s="3">
        <v>1.3302</v>
      </c>
      <c r="G51" s="3">
        <v>1.1494</v>
      </c>
      <c r="I51" s="3">
        <f t="shared" si="3"/>
        <v>0.40000000000000036</v>
      </c>
      <c r="J51" s="3">
        <f t="shared" si="1"/>
        <v>1.71</v>
      </c>
      <c r="K51" s="3"/>
      <c r="L51" s="3"/>
      <c r="M51" s="3"/>
      <c r="N51" s="3"/>
      <c r="O51" s="3"/>
      <c r="P51" s="3"/>
    </row>
    <row r="52" spans="1:16" x14ac:dyDescent="0.25">
      <c r="A52" s="5">
        <f t="shared" si="2"/>
        <v>46085</v>
      </c>
      <c r="B52" t="s">
        <v>68</v>
      </c>
      <c r="C52" s="2">
        <v>4.4400000000000004</v>
      </c>
      <c r="D52" s="2">
        <v>2.76</v>
      </c>
      <c r="E52" s="2">
        <v>4.09</v>
      </c>
      <c r="F52" s="3">
        <v>1.3365</v>
      </c>
      <c r="G52" s="3">
        <v>1.1482000000000001</v>
      </c>
      <c r="I52" s="3">
        <f t="shared" si="3"/>
        <v>0.35000000000000053</v>
      </c>
      <c r="J52" s="3">
        <f t="shared" si="1"/>
        <v>1.6800000000000006</v>
      </c>
      <c r="K52" s="3"/>
      <c r="L52" s="3"/>
      <c r="M52" s="3"/>
      <c r="N52" s="3"/>
      <c r="O52" s="3"/>
      <c r="P52" s="3"/>
    </row>
    <row r="53" spans="1:16" x14ac:dyDescent="0.25">
      <c r="A53" s="5">
        <f t="shared" si="2"/>
        <v>46086</v>
      </c>
      <c r="B53" t="s">
        <v>69</v>
      </c>
      <c r="C53" s="2">
        <v>4.55</v>
      </c>
      <c r="D53" s="2">
        <v>2.84</v>
      </c>
      <c r="E53" s="2">
        <v>4.13</v>
      </c>
      <c r="F53" s="3">
        <v>1.3323</v>
      </c>
      <c r="G53" s="3">
        <v>1.1501999999999999</v>
      </c>
      <c r="I53" s="3">
        <f t="shared" si="3"/>
        <v>0.41999999999999993</v>
      </c>
      <c r="J53" s="3">
        <f t="shared" si="1"/>
        <v>1.71</v>
      </c>
      <c r="K53" s="3"/>
      <c r="L53" s="3"/>
      <c r="M53" s="3"/>
      <c r="N53" s="3"/>
      <c r="O53" s="3"/>
      <c r="P53" s="3"/>
    </row>
    <row r="54" spans="1:16" x14ac:dyDescent="0.25">
      <c r="A54" s="5">
        <f t="shared" si="2"/>
        <v>46087</v>
      </c>
      <c r="B54" t="s">
        <v>70</v>
      </c>
      <c r="C54" s="2">
        <v>4.66</v>
      </c>
      <c r="D54" s="2">
        <v>2.87</v>
      </c>
      <c r="E54" s="2">
        <v>4.1500000000000004</v>
      </c>
      <c r="F54" s="3">
        <v>1.3360000000000001</v>
      </c>
      <c r="G54" s="3">
        <v>1.1536999999999999</v>
      </c>
      <c r="I54" s="3">
        <f t="shared" si="3"/>
        <v>0.50999999999999979</v>
      </c>
      <c r="J54" s="3">
        <f t="shared" si="1"/>
        <v>1.79</v>
      </c>
      <c r="K54" s="3"/>
      <c r="L54" s="3"/>
      <c r="M54" s="3"/>
      <c r="N54" s="3"/>
      <c r="O54" s="3"/>
      <c r="P54" s="3"/>
    </row>
    <row r="55" spans="1:16" x14ac:dyDescent="0.25">
      <c r="A55" s="5">
        <f t="shared" si="2"/>
        <v>46090</v>
      </c>
      <c r="B55" t="s">
        <v>71</v>
      </c>
      <c r="C55" s="2">
        <v>4.6900000000000004</v>
      </c>
      <c r="D55" s="2">
        <v>2.84</v>
      </c>
      <c r="E55" s="2">
        <v>4.12</v>
      </c>
      <c r="F55" s="3">
        <v>1.3392999999999999</v>
      </c>
      <c r="G55" s="3">
        <v>1.1554</v>
      </c>
      <c r="I55" s="3">
        <f t="shared" si="3"/>
        <v>0.57000000000000028</v>
      </c>
      <c r="J55" s="3">
        <f t="shared" si="1"/>
        <v>1.8500000000000005</v>
      </c>
      <c r="K55" s="3"/>
      <c r="L55" s="3"/>
      <c r="M55" s="3"/>
      <c r="N55" s="3"/>
      <c r="O55" s="3"/>
      <c r="P55" s="3"/>
    </row>
    <row r="56" spans="1:16" x14ac:dyDescent="0.25">
      <c r="A56" s="5">
        <f t="shared" si="2"/>
        <v>46091</v>
      </c>
      <c r="B56" t="s">
        <v>72</v>
      </c>
      <c r="C56" s="2">
        <v>4.51</v>
      </c>
      <c r="D56" s="2">
        <v>2.86</v>
      </c>
      <c r="E56" s="2">
        <v>4.1500000000000004</v>
      </c>
      <c r="F56" s="3">
        <v>1.3458000000000001</v>
      </c>
      <c r="G56" s="3">
        <v>1.1554</v>
      </c>
      <c r="I56" s="3">
        <f t="shared" si="3"/>
        <v>0.35999999999999943</v>
      </c>
      <c r="J56" s="3">
        <f t="shared" si="1"/>
        <v>1.65</v>
      </c>
      <c r="K56" s="3"/>
      <c r="L56" s="3"/>
      <c r="M56" s="3"/>
      <c r="N56" s="3"/>
      <c r="O56" s="3"/>
      <c r="P56" s="3"/>
    </row>
    <row r="57" spans="1:16" x14ac:dyDescent="0.25">
      <c r="A57" s="5">
        <f t="shared" si="2"/>
        <v>46092</v>
      </c>
      <c r="B57" t="s">
        <v>73</v>
      </c>
      <c r="C57" s="2">
        <v>4.68</v>
      </c>
      <c r="D57" s="2">
        <v>2.94</v>
      </c>
      <c r="E57" s="2">
        <v>4.21</v>
      </c>
      <c r="F57" s="3">
        <v>1.3398000000000001</v>
      </c>
      <c r="G57" s="3">
        <v>1.1583000000000001</v>
      </c>
      <c r="I57" s="3">
        <f t="shared" si="3"/>
        <v>0.46999999999999975</v>
      </c>
      <c r="J57" s="3">
        <f t="shared" si="1"/>
        <v>1.7399999999999998</v>
      </c>
      <c r="K57" s="3"/>
      <c r="L57" s="3"/>
      <c r="M57" s="3"/>
      <c r="N57" s="3"/>
      <c r="O57" s="3"/>
      <c r="P57" s="3"/>
    </row>
    <row r="58" spans="1:16" x14ac:dyDescent="0.25">
      <c r="A58" s="5">
        <f t="shared" si="2"/>
        <v>46093</v>
      </c>
      <c r="B58" t="s">
        <v>74</v>
      </c>
      <c r="C58" s="2">
        <v>4.79</v>
      </c>
      <c r="D58" s="2">
        <v>2.95</v>
      </c>
      <c r="E58" s="2">
        <v>4.2699999999999996</v>
      </c>
      <c r="F58" s="3">
        <v>1.3349</v>
      </c>
      <c r="G58" s="3">
        <v>1.1585000000000001</v>
      </c>
      <c r="I58" s="3">
        <f t="shared" si="3"/>
        <v>0.52000000000000046</v>
      </c>
      <c r="J58" s="3">
        <f t="shared" si="1"/>
        <v>1.8399999999999999</v>
      </c>
      <c r="K58" s="3"/>
      <c r="L58" s="3"/>
      <c r="M58" s="3"/>
      <c r="N58" s="3"/>
      <c r="O58" s="3"/>
      <c r="P58" s="3"/>
    </row>
    <row r="59" spans="1:16" x14ac:dyDescent="0.25">
      <c r="A59" s="5">
        <f t="shared" si="2"/>
        <v>46094</v>
      </c>
      <c r="B59" t="s">
        <v>75</v>
      </c>
      <c r="C59" s="2">
        <v>4.83</v>
      </c>
      <c r="D59" s="2">
        <v>2.99</v>
      </c>
      <c r="E59" s="2">
        <v>4.28</v>
      </c>
      <c r="F59" s="3">
        <v>1.3239000000000001</v>
      </c>
      <c r="G59" s="3">
        <v>1.1569</v>
      </c>
      <c r="I59" s="3">
        <f t="shared" si="3"/>
        <v>0.54999999999999982</v>
      </c>
      <c r="J59" s="3">
        <f t="shared" si="1"/>
        <v>1.8399999999999999</v>
      </c>
      <c r="K59" s="3"/>
      <c r="L59" s="3"/>
      <c r="M59" s="3"/>
      <c r="N59" s="3"/>
      <c r="O59" s="3"/>
      <c r="P59" s="3"/>
    </row>
    <row r="60" spans="1:16" x14ac:dyDescent="0.25">
      <c r="A60" s="5">
        <f t="shared" si="2"/>
        <v>46097</v>
      </c>
      <c r="B60" t="s">
        <v>76</v>
      </c>
      <c r="C60" s="2">
        <v>4.7699999999999996</v>
      </c>
      <c r="D60" s="2">
        <v>2.94</v>
      </c>
      <c r="E60" s="2">
        <v>4.2300000000000004</v>
      </c>
      <c r="F60" s="3">
        <v>1.3302</v>
      </c>
      <c r="G60" s="3">
        <v>1.1579999999999999</v>
      </c>
      <c r="I60" s="3">
        <f t="shared" si="3"/>
        <v>0.53999999999999915</v>
      </c>
      <c r="J60" s="3">
        <f t="shared" si="1"/>
        <v>1.8299999999999996</v>
      </c>
      <c r="K60" s="3"/>
      <c r="L60" s="3"/>
      <c r="M60" s="3"/>
      <c r="N60" s="3"/>
      <c r="O60" s="3"/>
      <c r="P60" s="3"/>
    </row>
    <row r="61" spans="1:16" x14ac:dyDescent="0.25">
      <c r="A61" s="5">
        <f t="shared" si="2"/>
        <v>46098</v>
      </c>
      <c r="B61" t="s">
        <v>77</v>
      </c>
      <c r="C61" s="2">
        <v>4.6900000000000004</v>
      </c>
      <c r="D61" s="2">
        <v>2.91</v>
      </c>
      <c r="E61" s="2">
        <v>4.2</v>
      </c>
      <c r="F61" s="3">
        <v>1.3343</v>
      </c>
      <c r="G61" s="3">
        <v>1.1577</v>
      </c>
      <c r="I61" s="3">
        <f t="shared" si="3"/>
        <v>0.49000000000000021</v>
      </c>
      <c r="J61" s="3">
        <f t="shared" si="1"/>
        <v>1.7800000000000002</v>
      </c>
      <c r="K61" s="3"/>
      <c r="L61" s="3"/>
      <c r="M61" s="3"/>
      <c r="N61" s="3"/>
      <c r="O61" s="3"/>
      <c r="P61" s="3"/>
    </row>
    <row r="62" spans="1:16" x14ac:dyDescent="0.25">
      <c r="A62" s="5">
        <f t="shared" si="2"/>
        <v>46099</v>
      </c>
      <c r="B62" t="s">
        <v>78</v>
      </c>
      <c r="C62" s="2">
        <v>4.7300000000000004</v>
      </c>
      <c r="D62" s="2">
        <v>2.96</v>
      </c>
      <c r="E62" s="2">
        <v>4.26</v>
      </c>
      <c r="F62" s="3">
        <v>1.3323</v>
      </c>
      <c r="G62" s="3">
        <v>1.1572</v>
      </c>
      <c r="I62" s="3">
        <f t="shared" si="3"/>
        <v>0.47000000000000064</v>
      </c>
      <c r="J62" s="3">
        <f t="shared" si="1"/>
        <v>1.7700000000000005</v>
      </c>
      <c r="K62" s="3"/>
      <c r="L62" s="3"/>
      <c r="M62" s="3"/>
      <c r="N62" s="3"/>
      <c r="O62" s="3"/>
      <c r="P62" s="3"/>
    </row>
    <row r="63" spans="1:16" x14ac:dyDescent="0.25">
      <c r="A63" s="5">
        <f t="shared" si="2"/>
        <v>46100</v>
      </c>
      <c r="B63" t="s">
        <v>79</v>
      </c>
      <c r="C63" s="2">
        <v>4.8499999999999996</v>
      </c>
      <c r="D63" s="2">
        <v>2.94</v>
      </c>
      <c r="E63" s="2">
        <v>4.25</v>
      </c>
      <c r="F63" s="3">
        <v>1.3359000000000001</v>
      </c>
      <c r="G63" s="3">
        <v>1.1601999999999999</v>
      </c>
      <c r="I63" s="3">
        <f t="shared" si="3"/>
        <v>0.59999999999999964</v>
      </c>
      <c r="J63" s="3">
        <f t="shared" si="1"/>
        <v>1.9099999999999997</v>
      </c>
      <c r="K63" s="3"/>
      <c r="L63" s="3"/>
      <c r="M63" s="3"/>
      <c r="N63" s="3"/>
      <c r="O63" s="3"/>
      <c r="P63" s="3"/>
    </row>
    <row r="64" spans="1:16" x14ac:dyDescent="0.25">
      <c r="A64" s="5">
        <f t="shared" si="2"/>
        <v>46101</v>
      </c>
      <c r="B64" t="s">
        <v>80</v>
      </c>
      <c r="C64" s="2">
        <v>4.99</v>
      </c>
      <c r="D64" s="2">
        <v>3.05</v>
      </c>
      <c r="E64" s="2">
        <v>4.3899999999999997</v>
      </c>
      <c r="F64" s="3">
        <v>1.3302</v>
      </c>
      <c r="G64" s="3">
        <v>1.1523000000000001</v>
      </c>
      <c r="I64" s="3">
        <f t="shared" si="3"/>
        <v>0.60000000000000053</v>
      </c>
      <c r="J64" s="3">
        <f t="shared" si="1"/>
        <v>1.9400000000000004</v>
      </c>
      <c r="K64" s="3"/>
      <c r="L64" s="3"/>
      <c r="M64" s="3"/>
      <c r="N64" s="3"/>
      <c r="O64" s="3"/>
      <c r="P64" s="3"/>
    </row>
    <row r="65" spans="1:16" x14ac:dyDescent="0.25">
      <c r="A65" s="5">
        <f t="shared" si="2"/>
        <v>46104</v>
      </c>
      <c r="B65" t="s">
        <v>81</v>
      </c>
      <c r="C65" s="2">
        <v>4.9000000000000004</v>
      </c>
      <c r="D65" s="2">
        <v>2.99</v>
      </c>
      <c r="E65" s="2">
        <v>4.34</v>
      </c>
      <c r="F65" s="3">
        <v>1.3385</v>
      </c>
      <c r="G65" s="3">
        <v>1.1552</v>
      </c>
      <c r="I65" s="3">
        <f t="shared" si="3"/>
        <v>0.5600000000000005</v>
      </c>
      <c r="J65" s="3">
        <f t="shared" si="1"/>
        <v>1.9100000000000001</v>
      </c>
      <c r="K65" s="3"/>
      <c r="L65" s="3"/>
      <c r="M65" s="3"/>
      <c r="N65" s="3"/>
      <c r="O65" s="3"/>
      <c r="P65" s="3"/>
    </row>
    <row r="66" spans="1:16" x14ac:dyDescent="0.25">
      <c r="A66" s="5">
        <f t="shared" si="2"/>
        <v>46105</v>
      </c>
      <c r="B66" t="s">
        <v>82</v>
      </c>
      <c r="C66" s="2">
        <v>4.99</v>
      </c>
      <c r="D66" s="2">
        <v>3.03</v>
      </c>
      <c r="E66" s="2">
        <v>4.3899999999999997</v>
      </c>
      <c r="F66" s="3">
        <v>1.3382000000000001</v>
      </c>
      <c r="G66" s="3">
        <v>1.1557999999999999</v>
      </c>
      <c r="I66" s="3">
        <f t="shared" si="3"/>
        <v>0.60000000000000053</v>
      </c>
      <c r="J66" s="3">
        <f t="shared" si="1"/>
        <v>1.9600000000000004</v>
      </c>
      <c r="K66" s="3"/>
      <c r="L66" s="3"/>
      <c r="M66" s="3"/>
      <c r="N66" s="3"/>
      <c r="O66" s="3"/>
      <c r="P66" s="3"/>
    </row>
    <row r="67" spans="1:16" x14ac:dyDescent="0.25">
      <c r="A67" s="5">
        <f t="shared" si="2"/>
        <v>46106</v>
      </c>
      <c r="B67" t="s">
        <v>83</v>
      </c>
      <c r="C67" s="2">
        <v>4.8499999999999996</v>
      </c>
      <c r="D67" s="2">
        <v>2.97</v>
      </c>
      <c r="E67" s="2">
        <v>4.33</v>
      </c>
      <c r="F67" s="3">
        <v>1.3371999999999999</v>
      </c>
      <c r="G67" s="3">
        <v>1.1556999999999999</v>
      </c>
      <c r="I67" s="3">
        <f t="shared" si="3"/>
        <v>0.51999999999999957</v>
      </c>
      <c r="J67" s="3">
        <f t="shared" si="1"/>
        <v>1.8799999999999994</v>
      </c>
      <c r="K67" s="3"/>
      <c r="L67" s="3"/>
      <c r="M67" s="3"/>
      <c r="N67" s="3"/>
      <c r="O67" s="3"/>
      <c r="P67" s="3"/>
    </row>
    <row r="68" spans="1:16" x14ac:dyDescent="0.25">
      <c r="A68" s="5">
        <f t="shared" si="2"/>
        <v>46107</v>
      </c>
      <c r="B68" t="s">
        <v>84</v>
      </c>
      <c r="C68" s="2">
        <v>4.9800000000000004</v>
      </c>
      <c r="D68" s="2">
        <v>3.08</v>
      </c>
      <c r="E68" s="2">
        <v>4.42</v>
      </c>
      <c r="F68" s="3">
        <v>1.3351</v>
      </c>
      <c r="G68" s="3">
        <v>1.1568000000000001</v>
      </c>
      <c r="I68" s="3">
        <f t="shared" si="3"/>
        <v>0.5600000000000005</v>
      </c>
      <c r="J68" s="3">
        <f t="shared" si="1"/>
        <v>1.9000000000000004</v>
      </c>
      <c r="K68" s="3"/>
      <c r="L68" s="3"/>
      <c r="M68" s="3"/>
      <c r="N68" s="3"/>
      <c r="O68" s="3"/>
      <c r="P68" s="3"/>
    </row>
    <row r="69" spans="1:16" x14ac:dyDescent="0.25">
      <c r="A69" s="5">
        <f t="shared" si="2"/>
        <v>46108</v>
      </c>
      <c r="B69" t="s">
        <v>85</v>
      </c>
      <c r="C69" s="2">
        <v>4.9800000000000004</v>
      </c>
      <c r="D69" s="2">
        <v>3.11</v>
      </c>
      <c r="E69" s="2">
        <v>4.4400000000000004</v>
      </c>
      <c r="F69" s="3">
        <v>1.3290999999999999</v>
      </c>
      <c r="G69" s="3">
        <v>1.1537999999999999</v>
      </c>
      <c r="I69" s="3">
        <f t="shared" si="3"/>
        <v>0.54</v>
      </c>
      <c r="J69" s="3">
        <f t="shared" si="1"/>
        <v>1.8700000000000006</v>
      </c>
      <c r="K69" s="3"/>
      <c r="L69" s="3"/>
      <c r="M69" s="3"/>
      <c r="N69" s="3"/>
      <c r="O69" s="3"/>
      <c r="P69" s="3"/>
    </row>
    <row r="70" spans="1:16" x14ac:dyDescent="0.25">
      <c r="A70" s="5">
        <f t="shared" si="2"/>
        <v>46111</v>
      </c>
      <c r="B70" t="s">
        <v>86</v>
      </c>
      <c r="C70" s="2">
        <v>4.93</v>
      </c>
      <c r="D70" s="2">
        <v>3.05</v>
      </c>
      <c r="E70" s="2">
        <v>4.3499999999999996</v>
      </c>
      <c r="F70" s="3">
        <v>1.3198000000000001</v>
      </c>
      <c r="G70" s="3">
        <v>1.1512</v>
      </c>
      <c r="I70" s="3">
        <f t="shared" si="3"/>
        <v>0.58000000000000007</v>
      </c>
      <c r="J70" s="3">
        <f t="shared" si="1"/>
        <v>1.88</v>
      </c>
      <c r="K70" s="3"/>
      <c r="L70" s="3"/>
      <c r="M70" s="3"/>
      <c r="N70" s="3"/>
      <c r="O70" s="3"/>
      <c r="P70" s="3"/>
    </row>
    <row r="71" spans="1:16" x14ac:dyDescent="0.25">
      <c r="A71" s="5">
        <f t="shared" si="2"/>
        <v>46112</v>
      </c>
      <c r="B71" t="s">
        <v>87</v>
      </c>
      <c r="C71" s="2">
        <v>4.88</v>
      </c>
      <c r="D71" s="2">
        <v>2.98</v>
      </c>
      <c r="E71" s="2">
        <v>4.3</v>
      </c>
      <c r="F71" s="3">
        <v>1.3188</v>
      </c>
      <c r="G71" s="3">
        <v>1.1447000000000001</v>
      </c>
      <c r="I71" s="3">
        <f t="shared" si="3"/>
        <v>0.58000000000000007</v>
      </c>
      <c r="J71" s="3">
        <f t="shared" si="1"/>
        <v>1.9</v>
      </c>
      <c r="K71" s="3"/>
      <c r="L71" s="3"/>
      <c r="M71" s="3"/>
      <c r="N71" s="3"/>
      <c r="O71" s="3"/>
      <c r="P71" s="3"/>
    </row>
    <row r="72" spans="1:16" x14ac:dyDescent="0.25">
      <c r="A72" s="5">
        <f t="shared" si="2"/>
        <v>46113</v>
      </c>
      <c r="B72" t="s">
        <v>88</v>
      </c>
      <c r="C72" s="2">
        <v>4.82</v>
      </c>
      <c r="D72" s="2">
        <v>2.99</v>
      </c>
      <c r="E72" s="2">
        <v>4.33</v>
      </c>
      <c r="F72" s="3">
        <v>1.3333999999999999</v>
      </c>
      <c r="G72" s="3">
        <v>1.1473</v>
      </c>
      <c r="I72" s="3">
        <f t="shared" ref="I72:I103" si="4">C72-E72</f>
        <v>0.49000000000000021</v>
      </c>
      <c r="J72" s="3">
        <f t="shared" si="1"/>
        <v>1.83</v>
      </c>
      <c r="K72" s="3"/>
      <c r="L72" s="3"/>
      <c r="M72" s="3"/>
      <c r="N72" s="3"/>
      <c r="O72" s="3"/>
      <c r="P72" s="3"/>
    </row>
    <row r="73" spans="1:16" x14ac:dyDescent="0.25">
      <c r="A73" s="5">
        <f t="shared" si="2"/>
        <v>46114</v>
      </c>
      <c r="B73" t="s">
        <v>89</v>
      </c>
      <c r="C73" s="2">
        <v>4.8499999999999996</v>
      </c>
      <c r="D73" s="2">
        <v>3</v>
      </c>
      <c r="E73" s="2">
        <v>4.3099999999999996</v>
      </c>
      <c r="F73" s="3">
        <v>1.3244</v>
      </c>
      <c r="G73" s="3">
        <v>1.1465000000000001</v>
      </c>
      <c r="I73" s="3">
        <f t="shared" si="4"/>
        <v>0.54</v>
      </c>
      <c r="J73" s="3">
        <f t="shared" ref="J73:J131" si="5">C73-D73</f>
        <v>1.8499999999999996</v>
      </c>
      <c r="K73" s="3"/>
      <c r="L73" s="3"/>
      <c r="M73" s="3"/>
      <c r="N73" s="3"/>
      <c r="O73" s="3"/>
      <c r="P73" s="3"/>
    </row>
    <row r="74" spans="1:16" x14ac:dyDescent="0.25">
      <c r="A74" s="5">
        <f t="shared" si="2"/>
        <v>46115</v>
      </c>
      <c r="B74" t="s">
        <v>90</v>
      </c>
      <c r="C74" s="2">
        <v>4.8499999999999996</v>
      </c>
      <c r="D74" s="2">
        <v>3</v>
      </c>
      <c r="E74" s="2">
        <v>4.3499999999999996</v>
      </c>
      <c r="F74" s="3" t="e">
        <v>#N/A</v>
      </c>
      <c r="G74" s="3" t="e">
        <v>#N/A</v>
      </c>
      <c r="I74" s="3">
        <f t="shared" si="4"/>
        <v>0.5</v>
      </c>
      <c r="J74" s="3">
        <f t="shared" si="5"/>
        <v>1.8499999999999996</v>
      </c>
      <c r="K74" s="3"/>
      <c r="L74" s="3"/>
      <c r="M74" s="3"/>
      <c r="N74" s="3"/>
      <c r="O74" s="3"/>
      <c r="P74" s="3"/>
    </row>
    <row r="75" spans="1:16" x14ac:dyDescent="0.25">
      <c r="A75" s="5">
        <f t="shared" si="2"/>
        <v>46118</v>
      </c>
      <c r="B75" t="s">
        <v>91</v>
      </c>
      <c r="C75" s="2">
        <v>4.8499999999999996</v>
      </c>
      <c r="D75" s="2">
        <v>3</v>
      </c>
      <c r="E75" s="2">
        <v>4.34</v>
      </c>
      <c r="F75" s="3" t="e">
        <v>#N/A</v>
      </c>
      <c r="G75" s="3" t="e">
        <v>#N/A</v>
      </c>
      <c r="I75" s="3">
        <f t="shared" si="4"/>
        <v>0.50999999999999979</v>
      </c>
      <c r="J75" s="3">
        <f t="shared" si="5"/>
        <v>1.8499999999999996</v>
      </c>
      <c r="K75" s="3"/>
      <c r="L75" s="3"/>
      <c r="M75" s="3"/>
      <c r="N75" s="3"/>
      <c r="O75" s="3"/>
      <c r="P75" s="3"/>
    </row>
    <row r="76" spans="1:16" x14ac:dyDescent="0.25">
      <c r="A76" s="5">
        <f t="shared" si="2"/>
        <v>46119</v>
      </c>
      <c r="B76" t="s">
        <v>92</v>
      </c>
      <c r="C76" s="2">
        <v>4.8899999999999997</v>
      </c>
      <c r="D76" s="2">
        <v>3.06</v>
      </c>
      <c r="E76" s="2">
        <v>4.33</v>
      </c>
      <c r="F76" s="3">
        <v>1.3247</v>
      </c>
      <c r="G76" s="3">
        <v>1.1447000000000001</v>
      </c>
      <c r="I76" s="3">
        <f t="shared" si="4"/>
        <v>0.55999999999999961</v>
      </c>
      <c r="J76" s="3">
        <f t="shared" si="5"/>
        <v>1.8299999999999996</v>
      </c>
      <c r="K76" s="3"/>
      <c r="L76" s="3"/>
      <c r="M76" s="3"/>
      <c r="N76" s="3"/>
      <c r="O76" s="3"/>
      <c r="P76" s="3"/>
    </row>
    <row r="77" spans="1:16" x14ac:dyDescent="0.25">
      <c r="A77" s="5">
        <f t="shared" si="2"/>
        <v>46120</v>
      </c>
      <c r="B77" t="s">
        <v>93</v>
      </c>
      <c r="C77" s="2">
        <v>4.71</v>
      </c>
      <c r="D77" s="2">
        <v>2.95</v>
      </c>
      <c r="E77" s="2">
        <v>4.29</v>
      </c>
      <c r="F77" s="3">
        <v>1.3449</v>
      </c>
      <c r="G77" s="3">
        <v>1.1499999999999999</v>
      </c>
      <c r="I77" s="3">
        <f t="shared" si="4"/>
        <v>0.41999999999999993</v>
      </c>
      <c r="J77" s="3">
        <f t="shared" si="5"/>
        <v>1.7599999999999998</v>
      </c>
      <c r="K77" s="3"/>
      <c r="L77" s="3"/>
      <c r="M77" s="3"/>
      <c r="N77" s="3"/>
      <c r="O77" s="3"/>
      <c r="P77" s="3"/>
    </row>
    <row r="78" spans="1:16" x14ac:dyDescent="0.25">
      <c r="A78" s="5">
        <f t="shared" ref="A78:A133" si="6">+A73+7</f>
        <v>46121</v>
      </c>
      <c r="B78" t="s">
        <v>94</v>
      </c>
      <c r="C78" s="2">
        <v>4.76</v>
      </c>
      <c r="D78" s="2">
        <v>3</v>
      </c>
      <c r="E78" s="2">
        <v>4.29</v>
      </c>
      <c r="F78" s="3">
        <v>1.3414999999999999</v>
      </c>
      <c r="G78" s="3">
        <v>1.1480999999999999</v>
      </c>
      <c r="I78" s="3">
        <f t="shared" si="4"/>
        <v>0.46999999999999975</v>
      </c>
      <c r="J78" s="3">
        <f t="shared" si="5"/>
        <v>1.7599999999999998</v>
      </c>
      <c r="K78" s="3"/>
      <c r="L78" s="3"/>
      <c r="M78" s="3"/>
      <c r="N78" s="3"/>
      <c r="O78" s="3"/>
      <c r="P78" s="3"/>
    </row>
    <row r="79" spans="1:16" x14ac:dyDescent="0.25">
      <c r="A79" s="5">
        <f t="shared" si="6"/>
        <v>46122</v>
      </c>
      <c r="B79" t="s">
        <v>95</v>
      </c>
      <c r="C79" s="2">
        <v>4.83</v>
      </c>
      <c r="D79" s="2">
        <v>3.05</v>
      </c>
      <c r="E79" s="2">
        <v>4.3099999999999996</v>
      </c>
      <c r="F79" s="3">
        <v>1.3461000000000001</v>
      </c>
      <c r="G79" s="3">
        <v>1.1478999999999999</v>
      </c>
      <c r="I79" s="3">
        <f t="shared" si="4"/>
        <v>0.52000000000000046</v>
      </c>
      <c r="J79" s="3">
        <f t="shared" si="5"/>
        <v>1.7800000000000002</v>
      </c>
      <c r="K79" s="3"/>
      <c r="L79" s="3"/>
      <c r="M79" s="3"/>
      <c r="N79" s="3"/>
      <c r="O79" s="3"/>
      <c r="P79" s="3"/>
    </row>
    <row r="80" spans="1:16" x14ac:dyDescent="0.25">
      <c r="A80" s="5">
        <f t="shared" si="6"/>
        <v>46125</v>
      </c>
      <c r="B80" t="s">
        <v>96</v>
      </c>
      <c r="C80" s="2">
        <v>4.84</v>
      </c>
      <c r="D80" s="2">
        <v>3.07</v>
      </c>
      <c r="E80" s="2">
        <v>4.3</v>
      </c>
      <c r="F80" s="3">
        <v>1.3461000000000001</v>
      </c>
      <c r="G80" s="3">
        <v>1.1494</v>
      </c>
      <c r="I80" s="3">
        <f t="shared" si="4"/>
        <v>0.54</v>
      </c>
      <c r="J80" s="3">
        <f t="shared" si="5"/>
        <v>1.77</v>
      </c>
      <c r="K80" s="3"/>
      <c r="L80" s="3"/>
      <c r="M80" s="3"/>
      <c r="N80" s="3"/>
      <c r="O80" s="3"/>
      <c r="P80" s="3"/>
    </row>
    <row r="81" spans="1:16" x14ac:dyDescent="0.25">
      <c r="A81" s="5">
        <f t="shared" si="6"/>
        <v>46126</v>
      </c>
      <c r="B81" t="s">
        <v>97</v>
      </c>
      <c r="C81" s="2">
        <v>4.7699999999999996</v>
      </c>
      <c r="D81" s="2">
        <v>3.03</v>
      </c>
      <c r="E81" s="2">
        <v>4.26</v>
      </c>
      <c r="F81" s="3">
        <v>1.3588</v>
      </c>
      <c r="G81" s="3">
        <v>1.1506000000000001</v>
      </c>
      <c r="I81" s="3">
        <f t="shared" si="4"/>
        <v>0.50999999999999979</v>
      </c>
      <c r="J81" s="3">
        <f t="shared" si="5"/>
        <v>1.7399999999999998</v>
      </c>
      <c r="K81" s="3"/>
      <c r="L81" s="3"/>
      <c r="M81" s="3"/>
      <c r="N81" s="3"/>
      <c r="O81" s="3"/>
      <c r="P81" s="3"/>
    </row>
    <row r="82" spans="1:16" x14ac:dyDescent="0.25">
      <c r="A82" s="5">
        <f t="shared" si="6"/>
        <v>46127</v>
      </c>
      <c r="B82" t="s">
        <v>98</v>
      </c>
      <c r="C82" s="2">
        <v>4.82</v>
      </c>
      <c r="D82" s="2">
        <v>3.04</v>
      </c>
      <c r="E82" s="2">
        <v>4.29</v>
      </c>
      <c r="F82" s="3">
        <v>1.3569</v>
      </c>
      <c r="G82" s="3">
        <v>1.1501999999999999</v>
      </c>
      <c r="I82" s="3">
        <f t="shared" si="4"/>
        <v>0.53000000000000025</v>
      </c>
      <c r="J82" s="3">
        <f t="shared" si="5"/>
        <v>1.7800000000000002</v>
      </c>
      <c r="K82" s="3"/>
      <c r="L82" s="3"/>
      <c r="M82" s="3"/>
      <c r="N82" s="3"/>
      <c r="O82" s="3"/>
      <c r="P82" s="3"/>
    </row>
    <row r="83" spans="1:16" x14ac:dyDescent="0.25">
      <c r="A83" s="5">
        <f t="shared" si="6"/>
        <v>46128</v>
      </c>
      <c r="B83" t="s">
        <v>99</v>
      </c>
      <c r="C83" s="2">
        <v>4.87</v>
      </c>
      <c r="D83" s="2">
        <v>3.05</v>
      </c>
      <c r="E83" s="2">
        <v>4.32</v>
      </c>
      <c r="F83" s="3">
        <v>1.3522000000000001</v>
      </c>
      <c r="G83" s="3">
        <v>1.1487000000000001</v>
      </c>
      <c r="I83" s="3">
        <f t="shared" si="4"/>
        <v>0.54999999999999982</v>
      </c>
      <c r="J83" s="3">
        <f t="shared" si="5"/>
        <v>1.8200000000000003</v>
      </c>
      <c r="K83" s="3"/>
      <c r="L83" s="3"/>
      <c r="M83" s="3"/>
      <c r="N83" s="3"/>
      <c r="O83" s="3"/>
      <c r="P83" s="3"/>
    </row>
    <row r="84" spans="1:16" x14ac:dyDescent="0.25">
      <c r="A84" s="5">
        <f t="shared" si="6"/>
        <v>46129</v>
      </c>
      <c r="B84" t="s">
        <v>100</v>
      </c>
      <c r="C84" s="2">
        <v>4.7699999999999996</v>
      </c>
      <c r="D84" s="2">
        <v>2.96</v>
      </c>
      <c r="E84" s="2">
        <v>4.26</v>
      </c>
      <c r="F84" s="3">
        <v>1.357</v>
      </c>
      <c r="G84" s="3">
        <v>1.1486000000000001</v>
      </c>
      <c r="I84" s="3">
        <f t="shared" si="4"/>
        <v>0.50999999999999979</v>
      </c>
      <c r="J84" s="3">
        <f t="shared" si="5"/>
        <v>1.8099999999999996</v>
      </c>
      <c r="K84" s="3"/>
      <c r="L84" s="3"/>
      <c r="M84" s="3"/>
      <c r="N84" s="3"/>
      <c r="O84" s="3"/>
      <c r="P84" s="3"/>
    </row>
    <row r="85" spans="1:16" x14ac:dyDescent="0.25">
      <c r="A85" s="5">
        <f t="shared" si="6"/>
        <v>46132</v>
      </c>
      <c r="B85" t="s">
        <v>101</v>
      </c>
      <c r="C85" s="2">
        <v>4.83</v>
      </c>
      <c r="D85" s="2">
        <v>2.98</v>
      </c>
      <c r="E85" s="2">
        <v>4.26</v>
      </c>
      <c r="F85" s="3">
        <v>1.3524</v>
      </c>
      <c r="G85" s="3">
        <v>1.1488</v>
      </c>
      <c r="I85" s="3">
        <f t="shared" si="4"/>
        <v>0.57000000000000028</v>
      </c>
      <c r="J85" s="3">
        <f t="shared" si="5"/>
        <v>1.85</v>
      </c>
      <c r="K85" s="3"/>
      <c r="L85" s="3"/>
      <c r="M85" s="3"/>
      <c r="N85" s="3"/>
      <c r="O85" s="3"/>
      <c r="P85" s="3"/>
    </row>
    <row r="86" spans="1:16" x14ac:dyDescent="0.25">
      <c r="A86" s="5">
        <f t="shared" si="6"/>
        <v>46133</v>
      </c>
      <c r="B86" t="s">
        <v>102</v>
      </c>
      <c r="C86" s="2">
        <v>4.88</v>
      </c>
      <c r="D86" s="2">
        <v>3.02</v>
      </c>
      <c r="E86" s="2">
        <v>4.3</v>
      </c>
      <c r="F86" s="3">
        <v>1.3509</v>
      </c>
      <c r="G86" s="3">
        <v>1.1495</v>
      </c>
      <c r="I86" s="3">
        <f t="shared" si="4"/>
        <v>0.58000000000000007</v>
      </c>
      <c r="J86" s="3">
        <f t="shared" si="5"/>
        <v>1.8599999999999999</v>
      </c>
      <c r="K86" s="3"/>
      <c r="L86" s="3"/>
      <c r="M86" s="3"/>
      <c r="N86" s="3"/>
      <c r="O86" s="3"/>
      <c r="P86" s="3"/>
    </row>
    <row r="87" spans="1:16" x14ac:dyDescent="0.25">
      <c r="A87" s="5">
        <f t="shared" si="6"/>
        <v>46134</v>
      </c>
      <c r="B87" t="s">
        <v>103</v>
      </c>
      <c r="C87" s="2">
        <v>4.91</v>
      </c>
      <c r="D87" s="2">
        <v>3.02</v>
      </c>
      <c r="E87" s="2">
        <v>4.3</v>
      </c>
      <c r="F87" s="3">
        <v>1.3499000000000001</v>
      </c>
      <c r="G87" s="3">
        <v>1.1519999999999999</v>
      </c>
      <c r="I87" s="3">
        <f t="shared" si="4"/>
        <v>0.61000000000000032</v>
      </c>
      <c r="J87" s="3">
        <f t="shared" si="5"/>
        <v>1.8900000000000001</v>
      </c>
      <c r="K87" s="3"/>
      <c r="L87" s="3"/>
      <c r="M87" s="3"/>
      <c r="N87" s="3"/>
      <c r="O87" s="3"/>
      <c r="P87" s="3"/>
    </row>
    <row r="88" spans="1:16" x14ac:dyDescent="0.25">
      <c r="A88" s="5">
        <f t="shared" si="6"/>
        <v>46135</v>
      </c>
      <c r="B88" t="s">
        <v>104</v>
      </c>
      <c r="C88" s="2">
        <v>4.92</v>
      </c>
      <c r="D88" s="2">
        <v>3.03</v>
      </c>
      <c r="E88" s="2">
        <v>4.34</v>
      </c>
      <c r="F88" s="3">
        <v>1.351</v>
      </c>
      <c r="G88" s="3">
        <v>1.1536999999999999</v>
      </c>
      <c r="I88" s="3">
        <f t="shared" si="4"/>
        <v>0.58000000000000007</v>
      </c>
      <c r="J88" s="3">
        <f t="shared" si="5"/>
        <v>1.8900000000000001</v>
      </c>
      <c r="K88" s="3"/>
      <c r="L88" s="3"/>
      <c r="M88" s="3"/>
      <c r="N88" s="3"/>
      <c r="O88" s="3"/>
      <c r="P88" s="3"/>
    </row>
    <row r="89" spans="1:16" x14ac:dyDescent="0.25">
      <c r="A89" s="5">
        <f t="shared" si="6"/>
        <v>46136</v>
      </c>
      <c r="B89" t="s">
        <v>105</v>
      </c>
      <c r="C89" s="2">
        <v>4.9400000000000004</v>
      </c>
      <c r="D89" s="2">
        <v>2.99</v>
      </c>
      <c r="E89" s="2">
        <v>4.3099999999999996</v>
      </c>
      <c r="F89" s="3">
        <v>1.35</v>
      </c>
      <c r="G89" s="3">
        <v>1.1532</v>
      </c>
      <c r="I89" s="3">
        <f t="shared" si="4"/>
        <v>0.63000000000000078</v>
      </c>
      <c r="J89" s="3">
        <f t="shared" si="5"/>
        <v>1.9500000000000002</v>
      </c>
      <c r="K89" s="3"/>
      <c r="L89" s="3"/>
      <c r="M89" s="3"/>
      <c r="N89" s="3"/>
      <c r="O89" s="3"/>
      <c r="P89" s="3"/>
    </row>
    <row r="90" spans="1:16" x14ac:dyDescent="0.25">
      <c r="A90" s="5">
        <f t="shared" si="6"/>
        <v>46139</v>
      </c>
      <c r="B90" t="s">
        <v>106</v>
      </c>
      <c r="C90" s="2">
        <v>4.9800000000000004</v>
      </c>
      <c r="D90" s="2">
        <v>3.04</v>
      </c>
      <c r="E90" s="2">
        <v>4.3499999999999996</v>
      </c>
      <c r="F90" s="3">
        <v>1.3555999999999999</v>
      </c>
      <c r="G90" s="3">
        <v>1.155</v>
      </c>
      <c r="I90" s="3">
        <f t="shared" si="4"/>
        <v>0.63000000000000078</v>
      </c>
      <c r="J90" s="3">
        <f t="shared" si="5"/>
        <v>1.9400000000000004</v>
      </c>
      <c r="K90" s="3"/>
      <c r="L90" s="3"/>
      <c r="M90" s="3"/>
      <c r="N90" s="3"/>
      <c r="O90" s="3"/>
      <c r="P90" s="3"/>
    </row>
    <row r="91" spans="1:16" x14ac:dyDescent="0.25">
      <c r="A91" s="5">
        <f t="shared" si="6"/>
        <v>46140</v>
      </c>
      <c r="B91" t="s">
        <v>107</v>
      </c>
      <c r="C91" s="2">
        <v>5.01</v>
      </c>
      <c r="D91" s="2">
        <v>3.07</v>
      </c>
      <c r="E91" s="2">
        <v>4.3600000000000003</v>
      </c>
      <c r="F91" s="3">
        <v>1.3498000000000001</v>
      </c>
      <c r="G91" s="3">
        <v>1.1535</v>
      </c>
      <c r="I91" s="3">
        <f t="shared" si="4"/>
        <v>0.64999999999999947</v>
      </c>
      <c r="J91" s="3">
        <f t="shared" si="5"/>
        <v>1.94</v>
      </c>
      <c r="K91" s="3"/>
      <c r="L91" s="3"/>
      <c r="M91" s="3"/>
      <c r="N91" s="3"/>
      <c r="O91" s="3"/>
      <c r="P91" s="3"/>
    </row>
    <row r="92" spans="1:16" x14ac:dyDescent="0.25">
      <c r="A92" s="5">
        <f t="shared" si="6"/>
        <v>46141</v>
      </c>
      <c r="B92" t="s">
        <v>108</v>
      </c>
      <c r="C92" s="2">
        <v>5.0599999999999996</v>
      </c>
      <c r="D92" s="2">
        <v>3.12</v>
      </c>
      <c r="E92" s="2">
        <v>4.42</v>
      </c>
      <c r="F92" s="3">
        <v>1.3501000000000001</v>
      </c>
      <c r="G92" s="3">
        <v>1.1538999999999999</v>
      </c>
      <c r="I92" s="3">
        <f t="shared" si="4"/>
        <v>0.63999999999999968</v>
      </c>
      <c r="J92" s="3">
        <f t="shared" si="5"/>
        <v>1.9399999999999995</v>
      </c>
      <c r="K92" s="3"/>
      <c r="L92" s="3"/>
      <c r="M92" s="3"/>
      <c r="N92" s="3"/>
      <c r="O92" s="3"/>
      <c r="P92" s="3"/>
    </row>
    <row r="93" spans="1:16" x14ac:dyDescent="0.25">
      <c r="A93" s="5">
        <f t="shared" si="6"/>
        <v>46142</v>
      </c>
      <c r="B93" t="s">
        <v>109</v>
      </c>
      <c r="C93" s="2">
        <v>5.04</v>
      </c>
      <c r="D93" s="2">
        <v>3.04</v>
      </c>
      <c r="E93" s="2">
        <v>4.4000000000000004</v>
      </c>
      <c r="F93" s="3">
        <v>1.3582000000000001</v>
      </c>
      <c r="G93" s="3">
        <v>1.1581999999999999</v>
      </c>
      <c r="I93" s="3">
        <f t="shared" si="4"/>
        <v>0.63999999999999968</v>
      </c>
      <c r="J93" s="3">
        <f t="shared" si="5"/>
        <v>2</v>
      </c>
      <c r="K93" s="3"/>
      <c r="L93" s="3"/>
      <c r="M93" s="3"/>
      <c r="N93" s="3"/>
      <c r="O93" s="3"/>
      <c r="P93" s="3"/>
    </row>
    <row r="94" spans="1:16" x14ac:dyDescent="0.25">
      <c r="A94" s="5">
        <f t="shared" si="6"/>
        <v>46143</v>
      </c>
      <c r="B94" t="s">
        <v>110</v>
      </c>
      <c r="C94" s="2">
        <v>4.97</v>
      </c>
      <c r="D94" s="2">
        <v>3.03</v>
      </c>
      <c r="E94" s="2">
        <v>4.3899999999999997</v>
      </c>
      <c r="F94" s="3">
        <v>1.3624000000000001</v>
      </c>
      <c r="G94" s="3">
        <v>1.1577</v>
      </c>
      <c r="I94" s="3">
        <f t="shared" si="4"/>
        <v>0.58000000000000007</v>
      </c>
      <c r="J94" s="3">
        <f t="shared" si="5"/>
        <v>1.94</v>
      </c>
      <c r="K94" s="3"/>
      <c r="L94" s="3"/>
      <c r="M94" s="3"/>
      <c r="N94" s="3"/>
      <c r="O94" s="3"/>
      <c r="P94" s="3"/>
    </row>
    <row r="95" spans="1:16" x14ac:dyDescent="0.25">
      <c r="A95" s="5">
        <f t="shared" si="6"/>
        <v>46146</v>
      </c>
      <c r="B95" t="s">
        <v>111</v>
      </c>
      <c r="C95" s="2">
        <v>4.95</v>
      </c>
      <c r="D95" s="2">
        <v>3.08</v>
      </c>
      <c r="E95" s="2">
        <v>4.45</v>
      </c>
      <c r="F95" s="3" t="e">
        <v>#N/A</v>
      </c>
      <c r="G95" s="3" t="e">
        <v>#N/A</v>
      </c>
      <c r="I95" s="3">
        <f t="shared" si="4"/>
        <v>0.5</v>
      </c>
      <c r="J95" s="3">
        <f t="shared" si="5"/>
        <v>1.87</v>
      </c>
      <c r="K95" s="3"/>
      <c r="L95" s="3"/>
      <c r="M95" s="3"/>
      <c r="N95" s="3"/>
      <c r="O95" s="3"/>
      <c r="P95" s="3"/>
    </row>
    <row r="96" spans="1:16" x14ac:dyDescent="0.25">
      <c r="A96" s="5">
        <f t="shared" si="6"/>
        <v>46147</v>
      </c>
      <c r="B96" t="s">
        <v>112</v>
      </c>
      <c r="C96" s="2">
        <v>5.05</v>
      </c>
      <c r="D96" s="2">
        <v>3.06</v>
      </c>
      <c r="E96" s="2">
        <v>4.43</v>
      </c>
      <c r="F96" s="3">
        <v>1.3565</v>
      </c>
      <c r="G96" s="3">
        <v>1.1588000000000001</v>
      </c>
      <c r="I96" s="3">
        <f t="shared" si="4"/>
        <v>0.62000000000000011</v>
      </c>
      <c r="J96" s="3">
        <f t="shared" si="5"/>
        <v>1.9899999999999998</v>
      </c>
      <c r="K96" s="3"/>
      <c r="L96" s="3"/>
      <c r="M96" s="3"/>
      <c r="N96" s="3"/>
      <c r="O96" s="3"/>
      <c r="P96" s="3"/>
    </row>
    <row r="97" spans="1:16" x14ac:dyDescent="0.25">
      <c r="A97" s="5">
        <f t="shared" si="6"/>
        <v>46148</v>
      </c>
      <c r="B97" t="s">
        <v>113</v>
      </c>
      <c r="C97" s="2">
        <v>4.9400000000000004</v>
      </c>
      <c r="D97" s="2">
        <v>2.99</v>
      </c>
      <c r="E97" s="2">
        <v>4.3600000000000003</v>
      </c>
      <c r="F97" s="3">
        <v>1.3603000000000001</v>
      </c>
      <c r="G97" s="3">
        <v>1.1573</v>
      </c>
      <c r="I97" s="3">
        <f t="shared" si="4"/>
        <v>0.58000000000000007</v>
      </c>
      <c r="J97" s="3">
        <f t="shared" si="5"/>
        <v>1.9500000000000002</v>
      </c>
      <c r="K97" s="3"/>
      <c r="L97" s="3"/>
      <c r="M97" s="3"/>
      <c r="N97" s="3"/>
      <c r="O97" s="3"/>
      <c r="P97" s="3"/>
    </row>
    <row r="98" spans="1:16" x14ac:dyDescent="0.25">
      <c r="A98" s="5">
        <f t="shared" si="6"/>
        <v>46149</v>
      </c>
      <c r="B98" t="s">
        <v>114</v>
      </c>
      <c r="C98" s="2">
        <v>4.97</v>
      </c>
      <c r="D98" s="2">
        <v>3.01</v>
      </c>
      <c r="E98" s="2">
        <v>4.41</v>
      </c>
      <c r="F98" s="3">
        <v>1.3631</v>
      </c>
      <c r="G98" s="3">
        <v>1.1575</v>
      </c>
      <c r="I98" s="3">
        <f t="shared" si="4"/>
        <v>0.55999999999999961</v>
      </c>
      <c r="J98" s="3">
        <f t="shared" si="5"/>
        <v>1.96</v>
      </c>
      <c r="K98" s="3"/>
      <c r="L98" s="3"/>
      <c r="M98" s="3"/>
      <c r="N98" s="3"/>
      <c r="O98" s="3"/>
      <c r="P98" s="3"/>
    </row>
    <row r="99" spans="1:16" x14ac:dyDescent="0.25">
      <c r="A99" s="5">
        <f t="shared" si="6"/>
        <v>46150</v>
      </c>
      <c r="B99" t="s">
        <v>115</v>
      </c>
      <c r="C99" s="2">
        <v>4.91</v>
      </c>
      <c r="D99" s="2">
        <v>3</v>
      </c>
      <c r="E99" s="2">
        <v>4.38</v>
      </c>
      <c r="F99" s="3">
        <v>1.3626</v>
      </c>
      <c r="G99" s="3">
        <v>1.1572</v>
      </c>
      <c r="I99" s="3">
        <f t="shared" si="4"/>
        <v>0.53000000000000025</v>
      </c>
      <c r="J99" s="3">
        <f t="shared" si="5"/>
        <v>1.9100000000000001</v>
      </c>
      <c r="K99" s="3"/>
      <c r="L99" s="3"/>
      <c r="M99" s="3"/>
      <c r="N99" s="3"/>
      <c r="O99" s="3"/>
      <c r="P99" s="3"/>
    </row>
    <row r="100" spans="1:16" x14ac:dyDescent="0.25">
      <c r="A100" s="5">
        <f t="shared" si="6"/>
        <v>46153</v>
      </c>
      <c r="B100" t="s">
        <v>116</v>
      </c>
      <c r="C100" s="2">
        <v>5.0199999999999996</v>
      </c>
      <c r="D100" s="2">
        <v>3.05</v>
      </c>
      <c r="E100" s="2">
        <v>4.42</v>
      </c>
      <c r="F100" s="3">
        <v>1.3638999999999999</v>
      </c>
      <c r="G100" s="3">
        <v>1.1578999999999999</v>
      </c>
      <c r="I100" s="3">
        <f t="shared" si="4"/>
        <v>0.59999999999999964</v>
      </c>
      <c r="J100" s="3">
        <f t="shared" si="5"/>
        <v>1.9699999999999998</v>
      </c>
      <c r="K100" s="3"/>
      <c r="L100" s="3"/>
      <c r="M100" s="3"/>
      <c r="N100" s="3"/>
      <c r="O100" s="3"/>
      <c r="P100" s="3"/>
    </row>
    <row r="101" spans="1:16" x14ac:dyDescent="0.25">
      <c r="A101" s="5">
        <f t="shared" si="6"/>
        <v>46154</v>
      </c>
      <c r="B101" t="s">
        <v>117</v>
      </c>
      <c r="C101" s="2">
        <v>5.1100000000000003</v>
      </c>
      <c r="D101" s="2">
        <v>3.11</v>
      </c>
      <c r="E101" s="2">
        <v>4.46</v>
      </c>
      <c r="F101" s="3">
        <v>1.3525</v>
      </c>
      <c r="G101" s="3">
        <v>1.1524000000000001</v>
      </c>
      <c r="I101" s="3">
        <f t="shared" si="4"/>
        <v>0.65000000000000036</v>
      </c>
      <c r="J101" s="3">
        <f t="shared" si="5"/>
        <v>2.0000000000000004</v>
      </c>
      <c r="K101" s="3"/>
      <c r="L101" s="3"/>
      <c r="M101" s="3"/>
      <c r="N101" s="3"/>
      <c r="O101" s="3"/>
      <c r="P101" s="3"/>
    </row>
    <row r="102" spans="1:16" x14ac:dyDescent="0.25">
      <c r="A102" s="5">
        <f t="shared" si="6"/>
        <v>46155</v>
      </c>
      <c r="B102" t="s">
        <v>118</v>
      </c>
      <c r="C102" s="2">
        <v>5.05</v>
      </c>
      <c r="D102" s="2">
        <v>3.09</v>
      </c>
      <c r="E102" s="2">
        <v>4.46</v>
      </c>
      <c r="F102" s="3">
        <v>1.3513999999999999</v>
      </c>
      <c r="G102" s="3">
        <v>1.1543000000000001</v>
      </c>
      <c r="I102" s="3">
        <f t="shared" si="4"/>
        <v>0.58999999999999986</v>
      </c>
      <c r="J102" s="3">
        <f t="shared" si="5"/>
        <v>1.96</v>
      </c>
      <c r="K102" s="3"/>
      <c r="L102" s="3"/>
      <c r="M102" s="3"/>
      <c r="N102" s="3"/>
      <c r="O102" s="3"/>
      <c r="P102" s="3"/>
    </row>
    <row r="103" spans="1:16" x14ac:dyDescent="0.25">
      <c r="A103" s="5">
        <f t="shared" si="6"/>
        <v>46156</v>
      </c>
      <c r="B103" t="s">
        <v>119</v>
      </c>
      <c r="C103" s="2">
        <v>5.04</v>
      </c>
      <c r="D103" s="2">
        <v>3.06</v>
      </c>
      <c r="E103" s="2">
        <v>4.47</v>
      </c>
      <c r="F103" s="3">
        <v>1.3485</v>
      </c>
      <c r="G103" s="3">
        <v>1.1546000000000001</v>
      </c>
      <c r="I103" s="3">
        <f t="shared" si="4"/>
        <v>0.57000000000000028</v>
      </c>
      <c r="J103" s="3">
        <f t="shared" si="5"/>
        <v>1.98</v>
      </c>
      <c r="K103" s="3"/>
      <c r="L103" s="3"/>
      <c r="M103" s="3"/>
      <c r="N103" s="3"/>
      <c r="O103" s="3"/>
      <c r="P103" s="3"/>
    </row>
    <row r="104" spans="1:16" x14ac:dyDescent="0.25">
      <c r="A104" s="5">
        <f t="shared" si="6"/>
        <v>46157</v>
      </c>
      <c r="B104" t="s">
        <v>120</v>
      </c>
      <c r="C104" s="2">
        <v>5.18</v>
      </c>
      <c r="D104" s="2">
        <v>3.18</v>
      </c>
      <c r="E104" s="2">
        <v>4.59</v>
      </c>
      <c r="F104" s="3">
        <v>1.3345</v>
      </c>
      <c r="G104" s="3">
        <v>1.1475</v>
      </c>
      <c r="I104" s="3">
        <f t="shared" ref="I104:I131" si="7">C104-E104</f>
        <v>0.58999999999999986</v>
      </c>
      <c r="J104" s="3">
        <f t="shared" si="5"/>
        <v>1.9999999999999996</v>
      </c>
      <c r="K104" s="3"/>
      <c r="L104" s="3"/>
      <c r="M104" s="3"/>
      <c r="N104" s="3"/>
      <c r="O104" s="3"/>
      <c r="P104" s="3"/>
    </row>
    <row r="105" spans="1:16" x14ac:dyDescent="0.25">
      <c r="A105" s="5">
        <f t="shared" si="6"/>
        <v>46160</v>
      </c>
      <c r="B105" t="s">
        <v>121</v>
      </c>
      <c r="C105" s="2">
        <v>5.0599999999999996</v>
      </c>
      <c r="D105" s="2">
        <v>3.14</v>
      </c>
      <c r="E105" s="2">
        <v>4.6100000000000003</v>
      </c>
      <c r="F105" s="3">
        <v>1.3393999999999999</v>
      </c>
      <c r="G105" s="3">
        <v>1.1505000000000001</v>
      </c>
      <c r="I105" s="3">
        <f t="shared" si="7"/>
        <v>0.44999999999999929</v>
      </c>
      <c r="J105" s="3">
        <f t="shared" si="5"/>
        <v>1.9199999999999995</v>
      </c>
      <c r="K105" s="3"/>
      <c r="L105" s="3"/>
      <c r="M105" s="3"/>
      <c r="N105" s="3"/>
      <c r="O105" s="3"/>
      <c r="P105" s="3"/>
    </row>
    <row r="106" spans="1:16" x14ac:dyDescent="0.25">
      <c r="A106" s="5">
        <f t="shared" si="6"/>
        <v>46161</v>
      </c>
      <c r="B106" t="s">
        <v>122</v>
      </c>
      <c r="C106" s="2">
        <v>5.13</v>
      </c>
      <c r="D106" s="2">
        <v>3.19</v>
      </c>
      <c r="E106" s="2">
        <v>4.67</v>
      </c>
      <c r="F106" s="3">
        <v>1.3392999999999999</v>
      </c>
      <c r="G106" s="3">
        <v>1.155</v>
      </c>
      <c r="I106" s="3">
        <f t="shared" si="7"/>
        <v>0.45999999999999996</v>
      </c>
      <c r="J106" s="3">
        <f t="shared" si="5"/>
        <v>1.94</v>
      </c>
      <c r="K106" s="3"/>
      <c r="L106" s="3"/>
      <c r="M106" s="3"/>
      <c r="N106" s="3"/>
      <c r="O106" s="3"/>
      <c r="P106" s="3"/>
    </row>
    <row r="107" spans="1:16" x14ac:dyDescent="0.25">
      <c r="A107" s="5">
        <f t="shared" si="6"/>
        <v>46162</v>
      </c>
      <c r="B107" t="s">
        <v>123</v>
      </c>
      <c r="C107" s="2">
        <v>4.9800000000000004</v>
      </c>
      <c r="D107" s="2">
        <v>3.08</v>
      </c>
      <c r="E107" s="2">
        <v>4.57</v>
      </c>
      <c r="F107" s="3">
        <v>1.3432999999999999</v>
      </c>
      <c r="G107" s="3">
        <v>1.1561999999999999</v>
      </c>
      <c r="I107" s="3">
        <f t="shared" si="7"/>
        <v>0.41000000000000014</v>
      </c>
      <c r="J107" s="3">
        <f t="shared" si="5"/>
        <v>1.9000000000000004</v>
      </c>
      <c r="K107" s="3"/>
      <c r="L107" s="3"/>
      <c r="M107" s="3"/>
      <c r="N107" s="3"/>
      <c r="O107" s="3"/>
      <c r="P107" s="3"/>
    </row>
    <row r="108" spans="1:16" x14ac:dyDescent="0.25">
      <c r="A108" s="5">
        <f t="shared" si="6"/>
        <v>46163</v>
      </c>
      <c r="B108" t="s">
        <v>124</v>
      </c>
      <c r="C108" s="2">
        <v>4.96</v>
      </c>
      <c r="D108" s="2">
        <v>3.09</v>
      </c>
      <c r="E108" s="2">
        <v>4.57</v>
      </c>
      <c r="F108" s="3">
        <v>1.3411999999999999</v>
      </c>
      <c r="G108" s="3">
        <v>1.1569</v>
      </c>
      <c r="I108" s="3">
        <f t="shared" si="7"/>
        <v>0.38999999999999968</v>
      </c>
      <c r="J108" s="3">
        <f t="shared" si="5"/>
        <v>1.87</v>
      </c>
      <c r="K108" s="3"/>
      <c r="L108" s="3"/>
      <c r="M108" s="3"/>
      <c r="N108" s="3"/>
      <c r="O108" s="3"/>
      <c r="P108" s="3"/>
    </row>
    <row r="109" spans="1:16" x14ac:dyDescent="0.25">
      <c r="A109" s="5">
        <f t="shared" si="6"/>
        <v>46164</v>
      </c>
      <c r="B109" t="s">
        <v>125</v>
      </c>
      <c r="C109" s="2">
        <v>4.9000000000000004</v>
      </c>
      <c r="D109" s="2">
        <v>3.04</v>
      </c>
      <c r="E109" s="2">
        <v>4.5599999999999996</v>
      </c>
      <c r="F109" s="3">
        <v>1.3434999999999999</v>
      </c>
      <c r="G109" s="3">
        <v>1.1583000000000001</v>
      </c>
      <c r="I109" s="3">
        <f t="shared" si="7"/>
        <v>0.34000000000000075</v>
      </c>
      <c r="J109" s="3">
        <f t="shared" si="5"/>
        <v>1.8600000000000003</v>
      </c>
      <c r="K109" s="3"/>
      <c r="L109" s="3"/>
      <c r="M109" s="3"/>
      <c r="N109" s="3"/>
      <c r="O109" s="3"/>
      <c r="P109" s="3"/>
    </row>
    <row r="110" spans="1:16" x14ac:dyDescent="0.25">
      <c r="A110" s="5">
        <f t="shared" si="6"/>
        <v>46167</v>
      </c>
      <c r="B110" t="s">
        <v>126</v>
      </c>
      <c r="C110" s="2">
        <v>4.8899999999999997</v>
      </c>
      <c r="D110" s="2">
        <v>2.94</v>
      </c>
      <c r="E110" s="2" t="e">
        <v>#N/A</v>
      </c>
      <c r="F110" s="3" t="e">
        <v>#N/A</v>
      </c>
      <c r="G110" s="3" t="e">
        <v>#N/A</v>
      </c>
      <c r="I110" s="3" t="e">
        <f t="shared" si="7"/>
        <v>#N/A</v>
      </c>
      <c r="J110" s="3">
        <f t="shared" si="5"/>
        <v>1.9499999999999997</v>
      </c>
      <c r="K110" s="3"/>
      <c r="L110" s="3"/>
      <c r="M110" s="3"/>
      <c r="N110" s="3"/>
      <c r="O110" s="3"/>
      <c r="P110" s="3"/>
    </row>
    <row r="111" spans="1:16" x14ac:dyDescent="0.25">
      <c r="A111" s="5">
        <f t="shared" si="6"/>
        <v>46168</v>
      </c>
      <c r="B111" t="s">
        <v>127</v>
      </c>
      <c r="C111" s="2">
        <v>4.87</v>
      </c>
      <c r="D111" s="2">
        <v>2.97</v>
      </c>
      <c r="E111" s="2">
        <v>4.5</v>
      </c>
      <c r="F111" s="3">
        <v>1.345</v>
      </c>
      <c r="G111" s="3">
        <v>1.157</v>
      </c>
      <c r="I111" s="3">
        <f t="shared" si="7"/>
        <v>0.37000000000000011</v>
      </c>
      <c r="J111" s="3">
        <f t="shared" si="5"/>
        <v>1.9</v>
      </c>
      <c r="K111" s="3"/>
      <c r="L111" s="3"/>
      <c r="M111" s="3"/>
      <c r="N111" s="3"/>
      <c r="O111" s="3"/>
      <c r="P111" s="3"/>
    </row>
    <row r="112" spans="1:16" x14ac:dyDescent="0.25">
      <c r="A112" s="5">
        <f t="shared" si="6"/>
        <v>46169</v>
      </c>
      <c r="B112" t="s">
        <v>128</v>
      </c>
      <c r="C112" s="2">
        <v>4.8499999999999996</v>
      </c>
      <c r="D112" s="2">
        <v>2.99</v>
      </c>
      <c r="E112" s="2">
        <v>4.4800000000000004</v>
      </c>
      <c r="F112" s="3">
        <v>1.3419000000000001</v>
      </c>
      <c r="G112" s="3">
        <v>1.1541999999999999</v>
      </c>
      <c r="I112" s="3">
        <f t="shared" si="7"/>
        <v>0.36999999999999922</v>
      </c>
      <c r="J112" s="3">
        <f t="shared" si="5"/>
        <v>1.8599999999999994</v>
      </c>
      <c r="K112" s="3"/>
      <c r="L112" s="3"/>
      <c r="M112" s="3"/>
      <c r="N112" s="3"/>
      <c r="O112" s="3"/>
      <c r="P112" s="3"/>
    </row>
    <row r="113" spans="1:16" x14ac:dyDescent="0.25">
      <c r="A113" s="5">
        <f t="shared" si="6"/>
        <v>46170</v>
      </c>
      <c r="B113" t="s">
        <v>129</v>
      </c>
      <c r="C113" s="2">
        <v>4.8099999999999996</v>
      </c>
      <c r="D113" s="2">
        <v>2.96</v>
      </c>
      <c r="E113" s="2">
        <v>4.45</v>
      </c>
      <c r="F113" s="3">
        <v>1.3431999999999999</v>
      </c>
      <c r="G113" s="3">
        <v>1.1533</v>
      </c>
      <c r="I113" s="3">
        <f t="shared" si="7"/>
        <v>0.35999999999999943</v>
      </c>
      <c r="J113" s="3">
        <f t="shared" si="5"/>
        <v>1.8499999999999996</v>
      </c>
      <c r="K113" s="3"/>
      <c r="L113" s="3"/>
      <c r="M113" s="3"/>
      <c r="N113" s="3"/>
      <c r="O113" s="3"/>
      <c r="P113" s="3"/>
    </row>
    <row r="114" spans="1:16" x14ac:dyDescent="0.25">
      <c r="A114" s="5">
        <f t="shared" si="6"/>
        <v>46171</v>
      </c>
      <c r="B114" t="s">
        <v>130</v>
      </c>
      <c r="C114" s="2">
        <v>4.8</v>
      </c>
      <c r="D114" s="2">
        <v>2.95</v>
      </c>
      <c r="E114" s="2">
        <v>4.45</v>
      </c>
      <c r="F114" s="3">
        <v>1.3478000000000001</v>
      </c>
      <c r="G114" s="3">
        <v>1.1551</v>
      </c>
      <c r="I114" s="3">
        <f t="shared" si="7"/>
        <v>0.34999999999999964</v>
      </c>
      <c r="J114" s="3">
        <f t="shared" si="5"/>
        <v>1.8499999999999996</v>
      </c>
      <c r="K114" s="3"/>
      <c r="L114" s="3"/>
      <c r="M114" s="3"/>
      <c r="N114" s="3"/>
      <c r="O114" s="3"/>
      <c r="P114" s="3"/>
    </row>
    <row r="115" spans="1:16" x14ac:dyDescent="0.25">
      <c r="A115" s="5">
        <f t="shared" si="6"/>
        <v>46174</v>
      </c>
      <c r="B115" t="s">
        <v>131</v>
      </c>
      <c r="C115" s="2">
        <v>4.88</v>
      </c>
      <c r="D115" s="2">
        <v>2.98</v>
      </c>
      <c r="E115" s="2">
        <v>4.47</v>
      </c>
      <c r="F115" s="3">
        <v>1.3436999999999999</v>
      </c>
      <c r="G115" s="3">
        <v>1.1567000000000001</v>
      </c>
      <c r="I115" s="3">
        <f t="shared" si="7"/>
        <v>0.41000000000000014</v>
      </c>
      <c r="J115" s="3">
        <f t="shared" si="5"/>
        <v>1.9</v>
      </c>
      <c r="K115" s="3"/>
      <c r="L115" s="3"/>
      <c r="M115" s="3"/>
      <c r="N115" s="3"/>
      <c r="O115" s="3"/>
      <c r="P115" s="3"/>
    </row>
    <row r="116" spans="1:16" x14ac:dyDescent="0.25">
      <c r="A116" s="5">
        <f t="shared" si="6"/>
        <v>46175</v>
      </c>
      <c r="B116" t="s">
        <v>132</v>
      </c>
      <c r="C116" s="2">
        <v>4.87</v>
      </c>
      <c r="D116" s="2">
        <v>2.99</v>
      </c>
      <c r="E116" s="2">
        <v>4.46</v>
      </c>
      <c r="F116" s="3">
        <v>1.3472</v>
      </c>
      <c r="G116" s="3">
        <v>1.157</v>
      </c>
      <c r="I116" s="3">
        <f t="shared" si="7"/>
        <v>0.41000000000000014</v>
      </c>
      <c r="J116" s="3">
        <f t="shared" si="5"/>
        <v>1.88</v>
      </c>
      <c r="K116" s="3"/>
      <c r="L116" s="3"/>
      <c r="M116" s="3"/>
      <c r="N116" s="3"/>
      <c r="O116" s="3"/>
      <c r="P116" s="3"/>
    </row>
    <row r="117" spans="1:16" x14ac:dyDescent="0.25">
      <c r="A117" s="5">
        <f t="shared" si="6"/>
        <v>46176</v>
      </c>
      <c r="B117" t="s">
        <v>133</v>
      </c>
      <c r="C117" s="2">
        <v>4.9400000000000004</v>
      </c>
      <c r="D117" s="2">
        <v>3.03</v>
      </c>
      <c r="E117" s="2">
        <v>4.49</v>
      </c>
      <c r="F117" s="3">
        <v>1.3436999999999999</v>
      </c>
      <c r="G117" s="3">
        <v>1.1571</v>
      </c>
      <c r="I117" s="3">
        <f t="shared" si="7"/>
        <v>0.45000000000000018</v>
      </c>
      <c r="J117" s="3">
        <f t="shared" si="5"/>
        <v>1.9100000000000006</v>
      </c>
      <c r="K117" s="3"/>
      <c r="L117" s="3"/>
      <c r="M117" s="3"/>
      <c r="N117" s="3"/>
      <c r="O117" s="3"/>
      <c r="P117" s="3"/>
    </row>
    <row r="118" spans="1:16" x14ac:dyDescent="0.25">
      <c r="A118" s="5">
        <f t="shared" si="6"/>
        <v>46177</v>
      </c>
      <c r="B118" t="s">
        <v>134</v>
      </c>
      <c r="C118" s="2">
        <v>4.8899999999999997</v>
      </c>
      <c r="D118" s="2">
        <v>3.02</v>
      </c>
      <c r="E118" s="2">
        <v>4.47</v>
      </c>
      <c r="F118" s="3">
        <v>1.3445</v>
      </c>
      <c r="G118" s="3">
        <v>1.1559999999999999</v>
      </c>
      <c r="I118" s="3">
        <f t="shared" si="7"/>
        <v>0.41999999999999993</v>
      </c>
      <c r="J118" s="3">
        <f t="shared" si="5"/>
        <v>1.8699999999999997</v>
      </c>
      <c r="K118" s="3"/>
      <c r="L118" s="3"/>
      <c r="M118" s="3"/>
      <c r="N118" s="3"/>
      <c r="O118" s="3"/>
      <c r="P118" s="3"/>
    </row>
    <row r="119" spans="1:16" x14ac:dyDescent="0.25">
      <c r="A119" s="5">
        <f t="shared" si="6"/>
        <v>46178</v>
      </c>
      <c r="B119" t="s">
        <v>135</v>
      </c>
      <c r="C119" s="2">
        <v>4.88</v>
      </c>
      <c r="D119" s="2">
        <v>3.03</v>
      </c>
      <c r="E119" s="2">
        <v>4.55</v>
      </c>
      <c r="F119" s="3">
        <v>1.3387</v>
      </c>
      <c r="G119" s="3">
        <v>1.1580999999999999</v>
      </c>
      <c r="I119" s="3">
        <f t="shared" si="7"/>
        <v>0.33000000000000007</v>
      </c>
      <c r="J119" s="3">
        <f t="shared" si="5"/>
        <v>1.85</v>
      </c>
      <c r="K119" s="3"/>
      <c r="L119" s="3"/>
      <c r="M119" s="3"/>
      <c r="N119" s="3"/>
      <c r="O119" s="3"/>
      <c r="P119" s="3"/>
    </row>
    <row r="120" spans="1:16" x14ac:dyDescent="0.25">
      <c r="A120" s="5">
        <f t="shared" si="6"/>
        <v>46181</v>
      </c>
      <c r="B120" t="s">
        <v>136</v>
      </c>
      <c r="C120" s="2">
        <v>4.9400000000000004</v>
      </c>
      <c r="D120" s="2">
        <v>3.06</v>
      </c>
      <c r="E120" s="2">
        <v>4.5599999999999996</v>
      </c>
      <c r="F120" s="3">
        <v>1.3344</v>
      </c>
      <c r="G120" s="3">
        <v>1.1559999999999999</v>
      </c>
      <c r="I120" s="3">
        <f t="shared" si="7"/>
        <v>0.38000000000000078</v>
      </c>
      <c r="J120" s="3">
        <f t="shared" si="5"/>
        <v>1.8800000000000003</v>
      </c>
      <c r="K120" s="3"/>
      <c r="L120" s="3"/>
      <c r="M120" s="3"/>
      <c r="N120" s="3"/>
      <c r="O120" s="3"/>
      <c r="P120" s="3"/>
    </row>
    <row r="121" spans="1:16" x14ac:dyDescent="0.25">
      <c r="A121" s="5">
        <f t="shared" si="6"/>
        <v>46182</v>
      </c>
      <c r="B121" t="s">
        <v>137</v>
      </c>
      <c r="C121" s="2">
        <v>4.91</v>
      </c>
      <c r="D121" s="2">
        <v>3.05</v>
      </c>
      <c r="E121" s="2">
        <v>4.53</v>
      </c>
      <c r="F121" s="3">
        <v>1.3398000000000001</v>
      </c>
      <c r="G121" s="3">
        <v>1.1587000000000001</v>
      </c>
      <c r="I121" s="3">
        <f t="shared" si="7"/>
        <v>0.37999999999999989</v>
      </c>
      <c r="J121" s="3">
        <f t="shared" si="5"/>
        <v>1.8600000000000003</v>
      </c>
      <c r="K121" s="3"/>
      <c r="L121" s="3"/>
      <c r="M121" s="3"/>
      <c r="N121" s="3"/>
      <c r="O121" s="3"/>
      <c r="P121" s="3"/>
    </row>
    <row r="122" spans="1:16" x14ac:dyDescent="0.25">
      <c r="A122" s="5">
        <f t="shared" si="6"/>
        <v>46183</v>
      </c>
      <c r="B122" t="s">
        <v>138</v>
      </c>
      <c r="C122" s="2">
        <v>4.95</v>
      </c>
      <c r="D122" s="2">
        <v>3.08</v>
      </c>
      <c r="E122" s="2">
        <v>4.55</v>
      </c>
      <c r="F122" s="3">
        <v>1.3402000000000001</v>
      </c>
      <c r="G122" s="3">
        <v>1.1600999999999999</v>
      </c>
      <c r="I122" s="3">
        <f t="shared" si="7"/>
        <v>0.40000000000000036</v>
      </c>
      <c r="J122" s="3">
        <f t="shared" si="5"/>
        <v>1.87</v>
      </c>
      <c r="K122" s="3"/>
      <c r="L122" s="3"/>
      <c r="M122" s="3"/>
      <c r="N122" s="3"/>
      <c r="O122" s="3"/>
      <c r="P122" s="3"/>
    </row>
    <row r="123" spans="1:16" x14ac:dyDescent="0.25">
      <c r="A123" s="5">
        <f t="shared" si="6"/>
        <v>46184</v>
      </c>
      <c r="B123" t="s">
        <v>139</v>
      </c>
      <c r="C123" s="2">
        <v>4.91</v>
      </c>
      <c r="D123" s="2">
        <v>3.03</v>
      </c>
      <c r="E123" s="2">
        <v>4.45</v>
      </c>
      <c r="F123" s="3">
        <v>1.3328</v>
      </c>
      <c r="G123" s="3">
        <v>1.157</v>
      </c>
      <c r="I123" s="3">
        <f t="shared" si="7"/>
        <v>0.45999999999999996</v>
      </c>
      <c r="J123" s="3">
        <f t="shared" si="5"/>
        <v>1.8800000000000003</v>
      </c>
      <c r="K123" s="3"/>
      <c r="L123" s="3"/>
      <c r="M123" s="3"/>
      <c r="N123" s="3"/>
      <c r="O123" s="3"/>
      <c r="P123" s="3"/>
    </row>
    <row r="124" spans="1:16" x14ac:dyDescent="0.25">
      <c r="A124" s="5">
        <f t="shared" si="6"/>
        <v>46185</v>
      </c>
      <c r="B124" t="s">
        <v>140</v>
      </c>
      <c r="C124" s="2">
        <v>4.83</v>
      </c>
      <c r="D124" s="2">
        <v>3</v>
      </c>
      <c r="E124" s="2">
        <v>4.4800000000000004</v>
      </c>
      <c r="F124" s="3">
        <v>1.3412999999999999</v>
      </c>
      <c r="G124" s="3">
        <v>1.1589</v>
      </c>
      <c r="I124" s="3">
        <f t="shared" si="7"/>
        <v>0.34999999999999964</v>
      </c>
      <c r="J124" s="3">
        <f t="shared" si="5"/>
        <v>1.83</v>
      </c>
      <c r="K124" s="3"/>
      <c r="L124" s="3"/>
      <c r="M124" s="3"/>
      <c r="N124" s="3"/>
      <c r="O124" s="3"/>
      <c r="P124" s="3"/>
    </row>
    <row r="125" spans="1:16" x14ac:dyDescent="0.25">
      <c r="A125" s="5">
        <f t="shared" si="6"/>
        <v>46188</v>
      </c>
      <c r="B125" t="s">
        <v>141</v>
      </c>
      <c r="C125" s="2">
        <v>4.82</v>
      </c>
      <c r="D125" s="2">
        <v>2.97</v>
      </c>
      <c r="E125" s="2">
        <v>4.47</v>
      </c>
      <c r="F125" s="3">
        <v>1.3441000000000001</v>
      </c>
      <c r="G125" s="3">
        <v>1.1578999999999999</v>
      </c>
      <c r="I125" s="3">
        <f t="shared" si="7"/>
        <v>0.35000000000000053</v>
      </c>
      <c r="J125" s="3">
        <f t="shared" si="5"/>
        <v>1.85</v>
      </c>
      <c r="K125" s="3"/>
      <c r="L125" s="3"/>
      <c r="M125" s="3"/>
      <c r="N125" s="3"/>
      <c r="O125" s="3"/>
      <c r="P125" s="3"/>
    </row>
    <row r="126" spans="1:16" x14ac:dyDescent="0.25">
      <c r="A126" s="5">
        <f t="shared" si="6"/>
        <v>46189</v>
      </c>
      <c r="B126" t="s">
        <v>142</v>
      </c>
      <c r="C126" s="2">
        <v>4.7699999999999996</v>
      </c>
      <c r="D126" s="2">
        <v>2.93</v>
      </c>
      <c r="E126" s="2">
        <v>4.43</v>
      </c>
      <c r="F126" s="3">
        <v>1.3428</v>
      </c>
      <c r="G126" s="3">
        <v>1.1568000000000001</v>
      </c>
      <c r="I126" s="3">
        <f t="shared" si="7"/>
        <v>0.33999999999999986</v>
      </c>
      <c r="J126" s="3">
        <f t="shared" si="5"/>
        <v>1.8399999999999994</v>
      </c>
      <c r="K126" s="3"/>
      <c r="L126" s="3"/>
      <c r="M126" s="3"/>
      <c r="N126" s="3"/>
      <c r="O126" s="3"/>
      <c r="P126" s="3"/>
    </row>
    <row r="127" spans="1:16" x14ac:dyDescent="0.25">
      <c r="A127" s="5">
        <f t="shared" si="6"/>
        <v>46190</v>
      </c>
      <c r="B127" t="s">
        <v>143</v>
      </c>
      <c r="C127" s="2">
        <v>4.75</v>
      </c>
      <c r="D127" s="2">
        <v>2.93</v>
      </c>
      <c r="E127" s="2">
        <v>4.49</v>
      </c>
      <c r="F127" s="3">
        <v>1.3393999999999999</v>
      </c>
      <c r="G127" s="3">
        <v>1.1556999999999999</v>
      </c>
      <c r="I127" s="3">
        <f t="shared" si="7"/>
        <v>0.25999999999999979</v>
      </c>
      <c r="J127" s="3">
        <f t="shared" si="5"/>
        <v>1.8199999999999998</v>
      </c>
      <c r="K127" s="3"/>
      <c r="L127" s="3"/>
      <c r="M127" s="3"/>
      <c r="N127" s="3"/>
      <c r="O127" s="3"/>
      <c r="P127" s="3"/>
    </row>
    <row r="128" spans="1:16" x14ac:dyDescent="0.25">
      <c r="A128" s="5">
        <f t="shared" si="6"/>
        <v>46191</v>
      </c>
      <c r="B128" t="s">
        <v>144</v>
      </c>
      <c r="C128" s="2">
        <v>4.76</v>
      </c>
      <c r="D128" s="2">
        <v>2.94</v>
      </c>
      <c r="E128" s="2">
        <v>4.46</v>
      </c>
      <c r="F128" s="3">
        <v>1.3252999999999999</v>
      </c>
      <c r="G128" s="3">
        <v>1.1536999999999999</v>
      </c>
      <c r="I128" s="3">
        <f t="shared" si="7"/>
        <v>0.29999999999999982</v>
      </c>
      <c r="J128" s="3">
        <f t="shared" si="5"/>
        <v>1.8199999999999998</v>
      </c>
      <c r="K128" s="3"/>
      <c r="L128" s="3"/>
      <c r="M128" s="3"/>
      <c r="N128" s="3"/>
      <c r="O128" s="3"/>
      <c r="P128" s="3"/>
    </row>
    <row r="129" spans="1:16" x14ac:dyDescent="0.25">
      <c r="A129" s="5">
        <f t="shared" si="6"/>
        <v>46192</v>
      </c>
      <c r="B129" t="s">
        <v>145</v>
      </c>
      <c r="C129" s="2">
        <v>4.84</v>
      </c>
      <c r="D129" s="2">
        <v>2.99</v>
      </c>
      <c r="E129" s="2" t="e">
        <v>#N/A</v>
      </c>
      <c r="F129" s="3">
        <v>1.3230999999999999</v>
      </c>
      <c r="G129" s="3">
        <v>1.1536</v>
      </c>
      <c r="I129" s="3" t="e">
        <f t="shared" si="7"/>
        <v>#N/A</v>
      </c>
      <c r="J129" s="3">
        <f t="shared" si="5"/>
        <v>1.8499999999999996</v>
      </c>
      <c r="K129" s="3"/>
      <c r="L129" s="3"/>
      <c r="M129" s="3"/>
      <c r="N129" s="3"/>
      <c r="O129" s="3"/>
      <c r="P129" s="3"/>
    </row>
    <row r="130" spans="1:16" x14ac:dyDescent="0.25">
      <c r="A130" s="5">
        <f t="shared" si="6"/>
        <v>46195</v>
      </c>
      <c r="B130" t="s">
        <v>146</v>
      </c>
      <c r="C130" s="2">
        <v>4.8099999999999996</v>
      </c>
      <c r="D130" s="2">
        <v>2.96</v>
      </c>
      <c r="E130" s="2">
        <v>4.51</v>
      </c>
      <c r="F130" s="3">
        <v>1.3262</v>
      </c>
      <c r="G130" s="3">
        <v>1.1588000000000001</v>
      </c>
      <c r="I130" s="3">
        <f t="shared" si="7"/>
        <v>0.29999999999999982</v>
      </c>
      <c r="J130" s="3">
        <f t="shared" si="5"/>
        <v>1.8499999999999996</v>
      </c>
      <c r="K130" s="3"/>
      <c r="L130" s="3"/>
      <c r="M130" s="3"/>
      <c r="N130" s="3"/>
      <c r="O130" s="3"/>
      <c r="P130" s="3"/>
    </row>
    <row r="131" spans="1:16" x14ac:dyDescent="0.25">
      <c r="A131" s="5">
        <f t="shared" si="6"/>
        <v>46196</v>
      </c>
      <c r="B131" t="s">
        <v>147</v>
      </c>
      <c r="C131" s="2">
        <v>4.75</v>
      </c>
      <c r="D131" s="2">
        <v>2.92</v>
      </c>
      <c r="E131" s="2">
        <v>4.5</v>
      </c>
      <c r="F131" s="3">
        <v>1.3201000000000001</v>
      </c>
      <c r="G131" s="3">
        <v>1.1597999999999999</v>
      </c>
      <c r="I131" s="3">
        <f t="shared" si="7"/>
        <v>0.25</v>
      </c>
      <c r="J131" s="3">
        <f t="shared" si="5"/>
        <v>1.83</v>
      </c>
      <c r="K131" s="3"/>
      <c r="L131" s="3"/>
      <c r="M131" s="3"/>
      <c r="N131" s="3"/>
      <c r="O131" s="3"/>
      <c r="P131" s="3"/>
    </row>
    <row r="132" spans="1:16" x14ac:dyDescent="0.25">
      <c r="A132" s="5">
        <f t="shared" si="6"/>
        <v>46197</v>
      </c>
      <c r="B132" t="s">
        <v>157</v>
      </c>
      <c r="C132" s="2">
        <v>4.6900000000000004</v>
      </c>
      <c r="D132" s="2">
        <v>2.87</v>
      </c>
      <c r="E132" s="2">
        <v>4.41</v>
      </c>
      <c r="F132" s="3">
        <v>1.3148</v>
      </c>
      <c r="G132" s="3">
        <v>1.1592</v>
      </c>
      <c r="I132" s="3">
        <f t="shared" ref="I132" si="8">C132-E132</f>
        <v>0.28000000000000025</v>
      </c>
      <c r="J132" s="3">
        <f t="shared" ref="J132" si="9">C132-D132</f>
        <v>1.8200000000000003</v>
      </c>
    </row>
    <row r="133" spans="1:16" x14ac:dyDescent="0.25">
      <c r="A133" s="5">
        <f t="shared" si="6"/>
        <v>46198</v>
      </c>
      <c r="B133" t="s">
        <v>161</v>
      </c>
      <c r="C133" s="2">
        <v>4.71</v>
      </c>
      <c r="D133" s="2">
        <v>2.86</v>
      </c>
      <c r="E133" s="2">
        <v>4.4000000000000004</v>
      </c>
      <c r="F133" s="3">
        <v>1.3208</v>
      </c>
      <c r="G133" s="3">
        <v>1.1599999999999999</v>
      </c>
      <c r="I133" s="3">
        <f t="shared" ref="I133" si="10">C133-E133</f>
        <v>0.30999999999999961</v>
      </c>
      <c r="J133" s="3">
        <f t="shared" ref="J133" si="11">C133-D133</f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HAVERD</vt:lpstr>
      <vt:lpstr>Chart - gilt spread_panel</vt:lpstr>
      <vt:lpstr>Chart - gilt spread</vt:lpstr>
      <vt:lpstr>Chart - FX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2026-06-24T17:15:40Z</dcterms:created>
  <dcterms:modified xsi:type="dcterms:W3CDTF">2026-06-26T09:21:26Z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2026-06-24T17:17:46Z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d52c40bf-ab43-4d37-a154-a3783f2d924e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